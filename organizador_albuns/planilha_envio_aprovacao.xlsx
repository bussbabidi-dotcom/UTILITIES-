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 ENVIOS" sheetId="1" r:id="rId5"/>
    <sheet state="visible" name="Página46" sheetId="2" r:id="rId6"/>
    <sheet state="visible" name="COTRATOS ALBUNS 25.2" sheetId="3" r:id="rId7"/>
    <sheet state="visible" name="LISTAGEM IMPRESSÃO" sheetId="4" r:id="rId8"/>
    <sheet state="visible" name="IMPRESSÃO" sheetId="5" r:id="rId9"/>
  </sheets>
  <definedNames>
    <definedName hidden="1" localSheetId="0" name="_xlnm._FilterDatabase">'GERAL ENVIOS'!$A$18:$R$571</definedName>
    <definedName hidden="1" localSheetId="2" name="_xlnm._FilterDatabase">'COTRATOS ALBUNS 25.2'!$A$31:$I$682</definedName>
  </definedNames>
  <calcPr/>
</workbook>
</file>

<file path=xl/sharedStrings.xml><?xml version="1.0" encoding="utf-8"?>
<sst xmlns="http://schemas.openxmlformats.org/spreadsheetml/2006/main" count="9056" uniqueCount="3199">
  <si>
    <t>STATUS</t>
  </si>
  <si>
    <t>QUANT</t>
  </si>
  <si>
    <t>CAPA</t>
  </si>
  <si>
    <t>QUANTIDADE</t>
  </si>
  <si>
    <t>APROVADO</t>
  </si>
  <si>
    <t>EM DIAGRAMAÇÃO</t>
  </si>
  <si>
    <t>Aguardando Aprovação</t>
  </si>
  <si>
    <t>EM PRODUÇÃO</t>
  </si>
  <si>
    <t>DIAGRAMADO</t>
  </si>
  <si>
    <t>CAPA ENTREGUE</t>
  </si>
  <si>
    <t>Sem álbum</t>
  </si>
  <si>
    <t>TOTAL</t>
  </si>
  <si>
    <t>Com Modificações</t>
  </si>
  <si>
    <t>Finalizado</t>
  </si>
  <si>
    <t>IMPRESSÃO</t>
  </si>
  <si>
    <t>PRONTO PARA ENVIO</t>
  </si>
  <si>
    <t>COM A BARBARA</t>
  </si>
  <si>
    <t>AGUARDANDO FOTO</t>
  </si>
  <si>
    <t xml:space="preserve">     </t>
  </si>
  <si>
    <t>DOWNLOAD</t>
  </si>
  <si>
    <t>DATA</t>
  </si>
  <si>
    <t>CLIENTE</t>
  </si>
  <si>
    <t>CONT</t>
  </si>
  <si>
    <t>SGE</t>
  </si>
  <si>
    <t>TAMANHO</t>
  </si>
  <si>
    <t>CURSO</t>
  </si>
  <si>
    <t>CPF</t>
  </si>
  <si>
    <t>MAISBOOK</t>
  </si>
  <si>
    <t>Cliente</t>
  </si>
  <si>
    <t>LOTE</t>
  </si>
  <si>
    <t>POSTERS</t>
  </si>
  <si>
    <t>PRAZO DE ENVIO</t>
  </si>
  <si>
    <t>DATA DO ENVIO</t>
  </si>
  <si>
    <t>DATA DA APROVAÇÃO</t>
  </si>
  <si>
    <t>PRAZO DE ENTREGA</t>
  </si>
  <si>
    <t xml:space="preserve"> Tiago Afonso Vasconcelos De Souza</t>
  </si>
  <si>
    <t>Studio Day Moscou 30x20</t>
  </si>
  <si>
    <t>PSICOLOGIA</t>
  </si>
  <si>
    <t>XAEFDS6J</t>
  </si>
  <si>
    <t>Adagilza Beatriz bispo da Silva</t>
  </si>
  <si>
    <t>Prime Book 30X20</t>
  </si>
  <si>
    <t>BIOMEDICINA</t>
  </si>
  <si>
    <t>ECKTEZTU</t>
  </si>
  <si>
    <t>Adileny nathacha Costa de Miranda</t>
  </si>
  <si>
    <t>Essencial Book 20x20</t>
  </si>
  <si>
    <t>ENFERMAGEM</t>
  </si>
  <si>
    <t>E7EUQX4V</t>
  </si>
  <si>
    <t>Lote 9</t>
  </si>
  <si>
    <t>Adine Nascimento Belo</t>
  </si>
  <si>
    <t>BHG3GVEA</t>
  </si>
  <si>
    <t>Lote 3</t>
  </si>
  <si>
    <t>Adison Da Silva Sobrinho Machado</t>
  </si>
  <si>
    <t>DIREITO</t>
  </si>
  <si>
    <t>P4AYNW2C</t>
  </si>
  <si>
    <t>Lote 2</t>
  </si>
  <si>
    <t>Ádria Caroline Silva Gomes</t>
  </si>
  <si>
    <t>Diamond Book 24X34</t>
  </si>
  <si>
    <t>FISIOTERAPIA</t>
  </si>
  <si>
    <t>ZTWDXHZW</t>
  </si>
  <si>
    <t>Adria Stefane Palheta Gomes</t>
  </si>
  <si>
    <t>LOGISTICA</t>
  </si>
  <si>
    <t>UWT65Y36</t>
  </si>
  <si>
    <t>Adriane Correa Lobo</t>
  </si>
  <si>
    <t>PEDAGOGIA</t>
  </si>
  <si>
    <t>EWQHF8KY</t>
  </si>
  <si>
    <t>Adriele Fernanda Guedes Dos Santos</t>
  </si>
  <si>
    <t>Studio Day Berlim 24x34</t>
  </si>
  <si>
    <t>CIÊNCIAS CONTÁBEIS</t>
  </si>
  <si>
    <t>TVFXAXHA</t>
  </si>
  <si>
    <t>Lote 8</t>
  </si>
  <si>
    <t>Airon Samuel Martins Corrêa</t>
  </si>
  <si>
    <t>EDUCAÇAO FISICA</t>
  </si>
  <si>
    <t>3EPS3RXU</t>
  </si>
  <si>
    <t>Alan Justino Nascimento</t>
  </si>
  <si>
    <t>Moscou 30X20</t>
  </si>
  <si>
    <t>8H4YYU7N</t>
  </si>
  <si>
    <t>Alanna Da Silva Do Vale</t>
  </si>
  <si>
    <t>4ZF6AY2T</t>
  </si>
  <si>
    <t>Lote 13</t>
  </si>
  <si>
    <t>Alberto Nícollas Jhoyos Sarubbi De Almeida</t>
  </si>
  <si>
    <t>ENGENHARIA CIVIL</t>
  </si>
  <si>
    <t>3ANNCRNA</t>
  </si>
  <si>
    <t>Aldenise Silva de Nazaré</t>
  </si>
  <si>
    <t>57HRM4BF</t>
  </si>
  <si>
    <t>Alessandro Batista Lira</t>
  </si>
  <si>
    <t>KFZDPAC5</t>
  </si>
  <si>
    <t>Aléx Paulo Costa de Nazaré</t>
  </si>
  <si>
    <t>ADMINISTRAÇÃO</t>
  </si>
  <si>
    <t>D7F6WZRH</t>
  </si>
  <si>
    <t>Lote 15</t>
  </si>
  <si>
    <t>Alice Da Silva E Souza</t>
  </si>
  <si>
    <t>FARMÁCIA</t>
  </si>
  <si>
    <t>PHDXKU5M</t>
  </si>
  <si>
    <t>Lote 4</t>
  </si>
  <si>
    <t>Alice Gabriely Frota de Oliveira</t>
  </si>
  <si>
    <t>DESIGN GRAFICO</t>
  </si>
  <si>
    <t>UZBU6RHR</t>
  </si>
  <si>
    <t>Aline da Costa Viana</t>
  </si>
  <si>
    <t>7DEHCLLA</t>
  </si>
  <si>
    <t>Aline Da Rocha Lemos</t>
  </si>
  <si>
    <t>63VRYPE8</t>
  </si>
  <si>
    <t>Lote 12</t>
  </si>
  <si>
    <t>Aline Katrini Ramos Menezes</t>
  </si>
  <si>
    <t>59BL4WYM</t>
  </si>
  <si>
    <t>Alinne Carvalho Siqueira</t>
  </si>
  <si>
    <t>939PX9PU</t>
  </si>
  <si>
    <t>Allan Da Silva Marvão</t>
  </si>
  <si>
    <t>WJGND7JX</t>
  </si>
  <si>
    <t>Lote 1</t>
  </si>
  <si>
    <t>Allan Delon Corrêa Ramos</t>
  </si>
  <si>
    <t>ADS- ANALISE E DESENVOLVIMENTO DE SISTEMA</t>
  </si>
  <si>
    <t>RMUPKBU3</t>
  </si>
  <si>
    <t>Allanda Danielle Ferreira Cohen</t>
  </si>
  <si>
    <t>9WT6FNE7</t>
  </si>
  <si>
    <t>Álvaro Juan Pimentel Paixão</t>
  </si>
  <si>
    <t>M8FJ6MP2</t>
  </si>
  <si>
    <t>Amanda Janaina Silva Lobato</t>
  </si>
  <si>
    <t>NUTRIÇÃO</t>
  </si>
  <si>
    <t>YD6NK3R6</t>
  </si>
  <si>
    <t>Amanda Larisa Sousa De Paiva</t>
  </si>
  <si>
    <t>GJZFDJ2T</t>
  </si>
  <si>
    <t>Lote 7</t>
  </si>
  <si>
    <t>Amanda Larissa Caldas Duarte</t>
  </si>
  <si>
    <t>ODONTOLOGIA</t>
  </si>
  <si>
    <t>GYCP3TAQ</t>
  </si>
  <si>
    <t>Amanda Vitória Alves Gil</t>
  </si>
  <si>
    <t>RELAÇÕES INTERNACIONAIS</t>
  </si>
  <si>
    <t>GW3LGJNF</t>
  </si>
  <si>
    <t>Amarildo Lobo Pantoja</t>
  </si>
  <si>
    <t>PW9C8V3U</t>
  </si>
  <si>
    <t>Ana Beatriz Canto Lopes</t>
  </si>
  <si>
    <t>256S26QC</t>
  </si>
  <si>
    <t>Lote 14</t>
  </si>
  <si>
    <t>Ana Caroline De Sousa Cohen</t>
  </si>
  <si>
    <t>RADIOLOGIA</t>
  </si>
  <si>
    <t>3693AA65</t>
  </si>
  <si>
    <t>Ana Claudia Carneiro De Aquino</t>
  </si>
  <si>
    <t>AET2VSWL</t>
  </si>
  <si>
    <t>Ana Cláudia Dos Santos Couto</t>
  </si>
  <si>
    <t>73S9MB6F</t>
  </si>
  <si>
    <t>Ana Claudia Reis Rocha</t>
  </si>
  <si>
    <t>HZCHW7RC</t>
  </si>
  <si>
    <t>Ana da Silva Araújo</t>
  </si>
  <si>
    <t>VREUQR7M</t>
  </si>
  <si>
    <t>Aprovado</t>
  </si>
  <si>
    <t>Ana Karolina Carlos Garcez</t>
  </si>
  <si>
    <t>B2LJC8NN</t>
  </si>
  <si>
    <t>Ana Luiza Pinheiro Barreto</t>
  </si>
  <si>
    <t>TN58YTWA</t>
  </si>
  <si>
    <t>Ana Maria Perna do Amaral dos Santos</t>
  </si>
  <si>
    <t>HRZPY97H</t>
  </si>
  <si>
    <t>ANA MERCEDES MONTEIRO DE CASTRO</t>
  </si>
  <si>
    <t>7P89S7TL</t>
  </si>
  <si>
    <t>Ana Paula Alves Garcia</t>
  </si>
  <si>
    <t>MEDICINA VETERINARIA</t>
  </si>
  <si>
    <t>24CE7L5Z</t>
  </si>
  <si>
    <t>Lote 16</t>
  </si>
  <si>
    <t>Ana Paula Brito Medino</t>
  </si>
  <si>
    <t>23YC6WUQ</t>
  </si>
  <si>
    <t>Ana paula dos Santos Macedo</t>
  </si>
  <si>
    <t>2L3L52KF</t>
  </si>
  <si>
    <t>ANA PAULA SANTOS FARIAS</t>
  </si>
  <si>
    <t>E2W9WCMN</t>
  </si>
  <si>
    <t>Ana Ruth Assis Da Costa</t>
  </si>
  <si>
    <t>XRKYZ6FJ</t>
  </si>
  <si>
    <t>Ana Sheyla Pinho De Menezes</t>
  </si>
  <si>
    <t>YQQTUVDC</t>
  </si>
  <si>
    <t>Ana Silva Dos Santos</t>
  </si>
  <si>
    <t>ARQUITETURA E URBANISMO</t>
  </si>
  <si>
    <t>WKCF8SAM</t>
  </si>
  <si>
    <t>Ananda Amoedo Przybysz</t>
  </si>
  <si>
    <t>9AA96MZ7</t>
  </si>
  <si>
    <t>Andre Augusto Dos Santos Zimmer</t>
  </si>
  <si>
    <t>358CBZCX</t>
  </si>
  <si>
    <t>Andréa Do Socorro Martins Peres</t>
  </si>
  <si>
    <t>ESTETICA E COSMETICA</t>
  </si>
  <si>
    <t>KFUQZCFF</t>
  </si>
  <si>
    <t>Andreia Santana De Lima</t>
  </si>
  <si>
    <t>GX6ZF4Q3</t>
  </si>
  <si>
    <t>Andrêina Emilly Dantas Dos Santos</t>
  </si>
  <si>
    <t>MBJMPNBQ</t>
  </si>
  <si>
    <t>Andressa Da Costa Monteiro</t>
  </si>
  <si>
    <t>LZVQAGLW</t>
  </si>
  <si>
    <t>Andrey Borges Do Rosario Dos Reis</t>
  </si>
  <si>
    <t>WRAG5X5Z</t>
  </si>
  <si>
    <t>Andreza Kerolayne Rodrigues De Moraes</t>
  </si>
  <si>
    <t>U2YVF4XA</t>
  </si>
  <si>
    <t>Anna Thereza Feliz Furtado</t>
  </si>
  <si>
    <t>KTGZH8D8</t>
  </si>
  <si>
    <t>Anny Caroline Moura Rodrigues</t>
  </si>
  <si>
    <t>7CLDN9UT</t>
  </si>
  <si>
    <t>Antonio Claudio Da Silva Sousa</t>
  </si>
  <si>
    <t>JY9SDCRN</t>
  </si>
  <si>
    <t>Lote 10</t>
  </si>
  <si>
    <t>Antonio Rômulo Costa Alves</t>
  </si>
  <si>
    <t>M8BAJSSU</t>
  </si>
  <si>
    <t>Ariel Maria Da Silva Pacheco</t>
  </si>
  <si>
    <t>Z923BPUX</t>
  </si>
  <si>
    <t>Ariel Silva Diniz</t>
  </si>
  <si>
    <t>T7RNKTCV</t>
  </si>
  <si>
    <t>Arthur Diniz Campos De Souza</t>
  </si>
  <si>
    <t>EEQ6LUMT</t>
  </si>
  <si>
    <t>Arthur Silva De Souza</t>
  </si>
  <si>
    <t>SFXN3CPU</t>
  </si>
  <si>
    <t>Arthur Sousa Do Nascimento</t>
  </si>
  <si>
    <t>T3YBDMF3</t>
  </si>
  <si>
    <t>Artur Diniz Araujo De Vilhena</t>
  </si>
  <si>
    <t>CIENCIA DA COMPUTAÇÃO</t>
  </si>
  <si>
    <t>UMMCFBQS</t>
  </si>
  <si>
    <t>Aryadne Cristine Salgado Gonçalves</t>
  </si>
  <si>
    <t>L6ABZTWJ</t>
  </si>
  <si>
    <t>Beatriz Coimbra Silva De Almeida</t>
  </si>
  <si>
    <t>EEZG7TRP</t>
  </si>
  <si>
    <t>Benedita Batista Ferreira</t>
  </si>
  <si>
    <t>GASTRONOMIA</t>
  </si>
  <si>
    <t>NAZY3FZF</t>
  </si>
  <si>
    <t>Bianca Padilha Duarte da Silva</t>
  </si>
  <si>
    <t>LLMEMUMF</t>
  </si>
  <si>
    <t>Lote 11</t>
  </si>
  <si>
    <t>Bianca Pereira De Souza</t>
  </si>
  <si>
    <t>BBXL9FKU</t>
  </si>
  <si>
    <t>Brenda Cunha Siqueira</t>
  </si>
  <si>
    <t>44XDE6HX</t>
  </si>
  <si>
    <t>Brenda Dryelle De Melo Rocha</t>
  </si>
  <si>
    <t>4Q7UT3ZZ</t>
  </si>
  <si>
    <t>BRENDA MESQUITA DE SOUSA</t>
  </si>
  <si>
    <t>URTPPGYH</t>
  </si>
  <si>
    <t>Brendon Kayky Marinho Sarmento</t>
  </si>
  <si>
    <t>5ZW3CMJA</t>
  </si>
  <si>
    <t>Bruna Lorrany Dias da Silva</t>
  </si>
  <si>
    <t>7RB3VLX9</t>
  </si>
  <si>
    <t>Bruna Marcelly Sales Matias</t>
  </si>
  <si>
    <t>8HBDCK53</t>
  </si>
  <si>
    <t>Bruna Michelle De Souza Bitencourt</t>
  </si>
  <si>
    <t>K4PN3P5W</t>
  </si>
  <si>
    <t>Camilly Freire Araújo</t>
  </si>
  <si>
    <t>2BCRCVC3</t>
  </si>
  <si>
    <t>Camily Lira dos Anjos Rodrigues</t>
  </si>
  <si>
    <t>EL96PUV3</t>
  </si>
  <si>
    <t>Carlos Alberto Monteiro De LIMA Junior</t>
  </si>
  <si>
    <t>8GT27HX4</t>
  </si>
  <si>
    <t>Carolina Gouvêa Figueira</t>
  </si>
  <si>
    <t>H5QF3M7N</t>
  </si>
  <si>
    <t>Caroline Larissa Da Silva Dos Santos</t>
  </si>
  <si>
    <t>DSRVPBBV</t>
  </si>
  <si>
    <t>Caroliny De Souza Silva</t>
  </si>
  <si>
    <t>UTPFYQ74</t>
  </si>
  <si>
    <t>CASSIO CARVALHO MARINHO</t>
  </si>
  <si>
    <t>KS8S7P74</t>
  </si>
  <si>
    <t>Cássio Kleinlein Lins Garcia</t>
  </si>
  <si>
    <t>LETRAS</t>
  </si>
  <si>
    <t>FAXXWRB8</t>
  </si>
  <si>
    <t>Cecília Da Cunha Magalhães</t>
  </si>
  <si>
    <t>X88K86A4</t>
  </si>
  <si>
    <t>Chrissyt evelyn da silva ramos</t>
  </si>
  <si>
    <t>CURSO VAZIO</t>
  </si>
  <si>
    <t>HZ9RZCQP</t>
  </si>
  <si>
    <t>Christian Albuquerque Da Silva</t>
  </si>
  <si>
    <t>WJJMAESH</t>
  </si>
  <si>
    <t>Clara Santana Soares Oliveira</t>
  </si>
  <si>
    <t>4BEXTCJY</t>
  </si>
  <si>
    <t>Cláudia Camila Cruz Lobo</t>
  </si>
  <si>
    <t>SMYBPAHU</t>
  </si>
  <si>
    <t>Claudia Guedes Braga</t>
  </si>
  <si>
    <t>XVUPUYLF</t>
  </si>
  <si>
    <t>Claudiane Silva Reis</t>
  </si>
  <si>
    <t>HWRX6AJ3</t>
  </si>
  <si>
    <t>Clecione Damasceno Menezes</t>
  </si>
  <si>
    <t>7K4SWB4B</t>
  </si>
  <si>
    <t>Cleiton Oliveira Lima</t>
  </si>
  <si>
    <t>JBS4V7XY</t>
  </si>
  <si>
    <t>Cleizy Vitória Pequeno Peres</t>
  </si>
  <si>
    <t>SXJ5QY99</t>
  </si>
  <si>
    <t>Dadyanne de Oliveira Dantas</t>
  </si>
  <si>
    <t>RECURSOS HUMANOS</t>
  </si>
  <si>
    <t>HD8247FS</t>
  </si>
  <si>
    <t>Daise Nunes Fernandes</t>
  </si>
  <si>
    <t>D3RCXCZS</t>
  </si>
  <si>
    <t>Dalvalice Braga Da Gama Da Silva</t>
  </si>
  <si>
    <t>TVDAW7UE</t>
  </si>
  <si>
    <t>Dandara Natyara Nunes Marques</t>
  </si>
  <si>
    <t>BXKNFW25</t>
  </si>
  <si>
    <t>Daniel Lucas De Souza Afonso</t>
  </si>
  <si>
    <t>NBDRVHJW</t>
  </si>
  <si>
    <t>Daniela Arcangela Ribeiro</t>
  </si>
  <si>
    <t>99C7JSQF</t>
  </si>
  <si>
    <t>Daniele Barroso Mendonça</t>
  </si>
  <si>
    <t>CLB29FT6</t>
  </si>
  <si>
    <t>Daniele Gonçalves Da Silva</t>
  </si>
  <si>
    <t xml:space="preserve">Pacote Berlim 24x34 </t>
  </si>
  <si>
    <t>MODA</t>
  </si>
  <si>
    <t>5Z43783J</t>
  </si>
  <si>
    <t>Danielle Cristina Da Silva reis Costa</t>
  </si>
  <si>
    <t>MK7237FR</t>
  </si>
  <si>
    <t>Danton Feitosa Pereira Neves</t>
  </si>
  <si>
    <t>FKB6Y4C9</t>
  </si>
  <si>
    <t>Darliane da cruz de oliveira</t>
  </si>
  <si>
    <t>DXT2UYBM</t>
  </si>
  <si>
    <t>Dayana Da Silva Mendes Negreiros</t>
  </si>
  <si>
    <t>PVWB9N7N</t>
  </si>
  <si>
    <t>DEBORA CRISTINA ALFAIA MENDES</t>
  </si>
  <si>
    <t>G8LTQURU</t>
  </si>
  <si>
    <t>Débora Da Silva Moraes</t>
  </si>
  <si>
    <t>MVPTBGDP</t>
  </si>
  <si>
    <t>Débora Rodrigues Libório</t>
  </si>
  <si>
    <t>675RULH4</t>
  </si>
  <si>
    <t>Deise da costa Gonçalves</t>
  </si>
  <si>
    <t>5T3XTHRH</t>
  </si>
  <si>
    <t>Deivid Martins Costa</t>
  </si>
  <si>
    <t>C8M85NYX</t>
  </si>
  <si>
    <t>DIANA NASCIMENTO DA SILVA</t>
  </si>
  <si>
    <t>YFQG3LN2</t>
  </si>
  <si>
    <t>Diffila Camily Dos Santos De Oliveira</t>
  </si>
  <si>
    <t>SERVIÇO SOCIAL</t>
  </si>
  <si>
    <t>5MG7MM7P</t>
  </si>
  <si>
    <t>Diosne Marlon Furtado dos Santos</t>
  </si>
  <si>
    <t>T7YL3LYR</t>
  </si>
  <si>
    <t>Douglas Ronan Mendes De Oliveira</t>
  </si>
  <si>
    <t>PEENEQZQ</t>
  </si>
  <si>
    <t>Duani Leao Martins</t>
  </si>
  <si>
    <t>S8KDHFPW</t>
  </si>
  <si>
    <t>Edêmia de Fátima de Oliveira Nuayed</t>
  </si>
  <si>
    <t>3F54AHS7</t>
  </si>
  <si>
    <t>Ediane Dos Santos Coelho</t>
  </si>
  <si>
    <t>JQPAEWFW</t>
  </si>
  <si>
    <t>Édila Mikaely Farias de Sousa</t>
  </si>
  <si>
    <t>MXGWK3FP</t>
  </si>
  <si>
    <t>Edileia Franco Da Gama Da Silva</t>
  </si>
  <si>
    <t>44BZK5JP</t>
  </si>
  <si>
    <t>Eduarda Cristina Carvalho Mendes</t>
  </si>
  <si>
    <t>3GAXRKEV</t>
  </si>
  <si>
    <t>Eduarda Gabriella Pereira Virgolino</t>
  </si>
  <si>
    <t>VDE2XGCN</t>
  </si>
  <si>
    <t>Eime Nayeny Brandão De Vasconcelos Leão De Souza</t>
  </si>
  <si>
    <t>R29P6GNC</t>
  </si>
  <si>
    <t>Elaine Trindade Guedes</t>
  </si>
  <si>
    <t>LEPN2WE3</t>
  </si>
  <si>
    <t>Elissandra Magalhães Da Costa</t>
  </si>
  <si>
    <t>HVVS67ND</t>
  </si>
  <si>
    <t>Ellen Patrícia Gonçalves Ribeiro</t>
  </si>
  <si>
    <t>JMKADRXJ</t>
  </si>
  <si>
    <t>Elley Nândela Brito Guimarães</t>
  </si>
  <si>
    <t>ZST8U56D</t>
  </si>
  <si>
    <t>ELMA DA SILVA CARVALHO</t>
  </si>
  <si>
    <t>HKR6NEVB</t>
  </si>
  <si>
    <t>Emanuelle Camille Da Silva De Melo</t>
  </si>
  <si>
    <t>VPKJ5FFU</t>
  </si>
  <si>
    <t>Emanuelly Vitoria Damasceno Viana</t>
  </si>
  <si>
    <t>KS5KBBGB</t>
  </si>
  <si>
    <t>Emerson Castro dos Santos</t>
  </si>
  <si>
    <t>ENGENHARIA ELÉTRICA</t>
  </si>
  <si>
    <t>Y8JC8GAG</t>
  </si>
  <si>
    <t>Emilly De Alcântara Assunção</t>
  </si>
  <si>
    <t>6AELW4CD</t>
  </si>
  <si>
    <t>Emilly Vitoria Gama de Oliveira</t>
  </si>
  <si>
    <t>KAFA4HXL</t>
  </si>
  <si>
    <t>Emily Hillary Almeida Da Costa</t>
  </si>
  <si>
    <t>T2J8Q7V6</t>
  </si>
  <si>
    <t>Emmily Esther Batista Pereira</t>
  </si>
  <si>
    <t>JRDY4S2E</t>
  </si>
  <si>
    <t>Êndila Reis Pantoja</t>
  </si>
  <si>
    <t>8NVGNC3S</t>
  </si>
  <si>
    <t>Endryll Felipe Brito De Sousa</t>
  </si>
  <si>
    <t>GLGKSP69</t>
  </si>
  <si>
    <t>Enock Mesquita Ferraz Junior</t>
  </si>
  <si>
    <t>8NCC5SLD</t>
  </si>
  <si>
    <t>Erika Obadia Lopes</t>
  </si>
  <si>
    <t>A73VSG3G</t>
  </si>
  <si>
    <t>Esther Maria Jorge Gomes</t>
  </si>
  <si>
    <t>65A4BX4X</t>
  </si>
  <si>
    <t>Eulália Gabriella Carneiro Gomes</t>
  </si>
  <si>
    <t>CBLJDJ5J</t>
  </si>
  <si>
    <t>Evellyn Kallyny Da Silva Mousinho</t>
  </si>
  <si>
    <t>3GD3PV8H</t>
  </si>
  <si>
    <t>Evelyn Andrade Cota</t>
  </si>
  <si>
    <t>MDAKHBTV</t>
  </si>
  <si>
    <t>Everton Castro De Moraes</t>
  </si>
  <si>
    <t>S4EVE2PV</t>
  </si>
  <si>
    <t>Fabrizio Rommel Brito De Moraes</t>
  </si>
  <si>
    <t>N2HL8BSJ</t>
  </si>
  <si>
    <t>Felipe Gabriel Oliveira de Souza</t>
  </si>
  <si>
    <t>38CUFW5V</t>
  </si>
  <si>
    <t>Felipe Rodrigues Macedo</t>
  </si>
  <si>
    <t>PNJ4MDFY</t>
  </si>
  <si>
    <t>Fernanda Da Silva Larais</t>
  </si>
  <si>
    <t>LQSRN6PK</t>
  </si>
  <si>
    <t>Fernanda Ewelyn Almada Monteiro</t>
  </si>
  <si>
    <t>47KH4LYU</t>
  </si>
  <si>
    <t>FERNANDO INGLESSON SILVA OLIVEIRA</t>
  </si>
  <si>
    <t>4NH3UUCW</t>
  </si>
  <si>
    <t>Fernando Svein Silva Dos Santos</t>
  </si>
  <si>
    <t>EQK77TRS</t>
  </si>
  <si>
    <t>Flávia Gabrielly Da Silva Oliveira</t>
  </si>
  <si>
    <t>PKU8ZQG6</t>
  </si>
  <si>
    <t>Flavia Yane Quintela Penante</t>
  </si>
  <si>
    <t>LWG43HE8</t>
  </si>
  <si>
    <t>Flávio Moraes Ramos</t>
  </si>
  <si>
    <t>DSZXWX9D</t>
  </si>
  <si>
    <t>Francileude Saraiva Serafim</t>
  </si>
  <si>
    <t>CPN7S4JN</t>
  </si>
  <si>
    <t>Francirlei Dos Santos Da Costa Junior</t>
  </si>
  <si>
    <t>XN5YQTC4</t>
  </si>
  <si>
    <t>Gabriel Dantas Marinho</t>
  </si>
  <si>
    <t>ENGENHARIA DA COMPUTAÇAO</t>
  </si>
  <si>
    <t>R8RR9PCW</t>
  </si>
  <si>
    <t>Gabriel Pessoa De Oliveira</t>
  </si>
  <si>
    <t>WALBN7PS</t>
  </si>
  <si>
    <t>Gabriel Santos De Ribamar</t>
  </si>
  <si>
    <t>ZU389VTR</t>
  </si>
  <si>
    <t>Gabriela Rocha Bezerra</t>
  </si>
  <si>
    <t>MALVG5WT</t>
  </si>
  <si>
    <t>Gabriella Maria Cruz De Lima</t>
  </si>
  <si>
    <t>XHYR9FH4</t>
  </si>
  <si>
    <t>Geibson Moreira Mafra Farias</t>
  </si>
  <si>
    <t>X2WBSVNE</t>
  </si>
  <si>
    <t>Geiciane Laysa Barros Dos Santos</t>
  </si>
  <si>
    <t>9V956Z59</t>
  </si>
  <si>
    <t>Gelvany Dos Santos Mota</t>
  </si>
  <si>
    <t>3CXHKUDW</t>
  </si>
  <si>
    <t>George Di Carlo Alho Santos</t>
  </si>
  <si>
    <t>Y56N4FDE</t>
  </si>
  <si>
    <t xml:space="preserve">George Lucas Macedo Vale
</t>
  </si>
  <si>
    <t>3DAYDGQJ</t>
  </si>
  <si>
    <t>Geovani Pompeu Pinheiro</t>
  </si>
  <si>
    <t>ETN9QF83</t>
  </si>
  <si>
    <t>Geovanna Farias Siqueira</t>
  </si>
  <si>
    <t>65VSRUDA</t>
  </si>
  <si>
    <t>Geudivana Kelly Raiol Dos Santos</t>
  </si>
  <si>
    <t>3JBVRYRU</t>
  </si>
  <si>
    <t>Gian Luca Erruas Trindade</t>
  </si>
  <si>
    <t>KZ7A48ZR</t>
  </si>
  <si>
    <t>Gildenia De Araujo Guimaraes</t>
  </si>
  <si>
    <t>8QL5MMYP</t>
  </si>
  <si>
    <t>Gilvania De Medeiros Lopes</t>
  </si>
  <si>
    <t>XBWDUP58</t>
  </si>
  <si>
    <t>Glenda Alice Lisboa Corrêa</t>
  </si>
  <si>
    <t>MPFKG33A</t>
  </si>
  <si>
    <t>Glenda Kelly Da Costa Maquine</t>
  </si>
  <si>
    <t>PSNR882M</t>
  </si>
  <si>
    <t>Grace Adilce Cunha De Sousa</t>
  </si>
  <si>
    <t>A2SJ95M8</t>
  </si>
  <si>
    <t>Gustavo Henrique da Silva Barros</t>
  </si>
  <si>
    <t>9RDMNSUF</t>
  </si>
  <si>
    <t>HAYANDRA SORAYA CASTRO DOSEIDE</t>
  </si>
  <si>
    <t>ZVFV6QAU</t>
  </si>
  <si>
    <t>Helen Oliveira Albuquerque</t>
  </si>
  <si>
    <t>5N8JPXE8</t>
  </si>
  <si>
    <t>Herleanne Do Rosário Oliveira Tapajós</t>
  </si>
  <si>
    <t>C358J9CP</t>
  </si>
  <si>
    <t>Hernane Ferreira Dos Santos</t>
  </si>
  <si>
    <t>QQP8QFEW</t>
  </si>
  <si>
    <t>Hugo Benedito Tenório Sousa</t>
  </si>
  <si>
    <t>GS3A7N23</t>
  </si>
  <si>
    <t>Hugo Lopes Eleotério</t>
  </si>
  <si>
    <t>AP6JHGDG</t>
  </si>
  <si>
    <t>Hugo Vinicius De Oliveira Rocha</t>
  </si>
  <si>
    <t>REDE DE COMPUTADORES</t>
  </si>
  <si>
    <t>AK8TGG3W</t>
  </si>
  <si>
    <t>Iago Carvalho Da Silva</t>
  </si>
  <si>
    <t>UZFAWHQ5</t>
  </si>
  <si>
    <t>Ian Cláudio Nascimento Araújo</t>
  </si>
  <si>
    <t>7TPSWXZN</t>
  </si>
  <si>
    <t>Ian Gabriel Oliveira de Sousa</t>
  </si>
  <si>
    <t>A37ZFAUS</t>
  </si>
  <si>
    <t>Iasmin Pinheiro Cantanhede</t>
  </si>
  <si>
    <t>J8GPQK3K</t>
  </si>
  <si>
    <t>ILANE KELLY MIRA DE SOUZA</t>
  </si>
  <si>
    <t>HL32XB5S</t>
  </si>
  <si>
    <t>Ingredy Sabrina De Oliveira Silva Da Silva</t>
  </si>
  <si>
    <t>MAYQ6N94</t>
  </si>
  <si>
    <t>Ingrid Jayna Dos Santos Lima</t>
  </si>
  <si>
    <t>HFNAWQWA</t>
  </si>
  <si>
    <t>Ingrid Morais De Souza</t>
  </si>
  <si>
    <t>2CWBESZY</t>
  </si>
  <si>
    <t>Ingrid Santos do Nascimento</t>
  </si>
  <si>
    <t>V5QGFB2W</t>
  </si>
  <si>
    <t>Ingrid Vanessa Lima De Sousa</t>
  </si>
  <si>
    <t>SADS5ANE</t>
  </si>
  <si>
    <t>Ingride Baia Santa Rosa</t>
  </si>
  <si>
    <t>GPCFWY3F</t>
  </si>
  <si>
    <t>Ingridi Yohanne Garcia Vale</t>
  </si>
  <si>
    <t>WCAQT7ML</t>
  </si>
  <si>
    <t>Iolanda Fernandes De Alencar</t>
  </si>
  <si>
    <t>XN5Z29X7</t>
  </si>
  <si>
    <t>Iorran Galvão Do Rosário</t>
  </si>
  <si>
    <t>SYT6BBU8</t>
  </si>
  <si>
    <t>Isabela Maia Pinto</t>
  </si>
  <si>
    <t>7FBMQU3N</t>
  </si>
  <si>
    <t>Isabella do Nascimento Campos Daniel</t>
  </si>
  <si>
    <t>R7Q557GH</t>
  </si>
  <si>
    <t>Isabelly Da Silva Oliveira</t>
  </si>
  <si>
    <t>BY7UJ2ND</t>
  </si>
  <si>
    <t>Isaliane Coelho Cardoso</t>
  </si>
  <si>
    <t>ZYTJ57N4</t>
  </si>
  <si>
    <t>Ismael Costa Lira</t>
  </si>
  <si>
    <t>F99X8ZGD</t>
  </si>
  <si>
    <t>Ismael Isaque Dias Freitas</t>
  </si>
  <si>
    <t>VFPW4R3T</t>
  </si>
  <si>
    <t>Istefani Dyuli De Lima Lopes</t>
  </si>
  <si>
    <t>2K4TGJQJ</t>
  </si>
  <si>
    <t>Ítalo Balieiro de Macedo</t>
  </si>
  <si>
    <t>4ACU9LJA</t>
  </si>
  <si>
    <t>Italo Sousa Gomes Costa</t>
  </si>
  <si>
    <t>XC3ZKHKZ</t>
  </si>
  <si>
    <t>Itamar Assunção Martins</t>
  </si>
  <si>
    <t>PET6ZPSG</t>
  </si>
  <si>
    <t>Ivan nazareno de Almeida Pantoja</t>
  </si>
  <si>
    <t>99GK9KBN</t>
  </si>
  <si>
    <t>Ivane Da Silva Carrera</t>
  </si>
  <si>
    <t>NE4CSBWH</t>
  </si>
  <si>
    <t>Jadylla Luany Dias Oliveira</t>
  </si>
  <si>
    <t>KPPG49AE</t>
  </si>
  <si>
    <t>Jailson Marlon Rodrigues Amorim</t>
  </si>
  <si>
    <t>QGQRMVMP</t>
  </si>
  <si>
    <t>Jamilly Roaslie Vieira Andrade</t>
  </si>
  <si>
    <t>MU55N3YX</t>
  </si>
  <si>
    <t>Jamily Gonçalves Barbosa</t>
  </si>
  <si>
    <t>SNHYYK68</t>
  </si>
  <si>
    <t>Janaina Almeida Silva</t>
  </si>
  <si>
    <t>PUAAAAGS</t>
  </si>
  <si>
    <t>Janaína Vieira Da Costa</t>
  </si>
  <si>
    <t>Z7ZBJVT6</t>
  </si>
  <si>
    <t>JANDIRA PEREIRA CASTRO</t>
  </si>
  <si>
    <t>9G44R699</t>
  </si>
  <si>
    <t>Jayne Marina Pinto Da Silva</t>
  </si>
  <si>
    <t>7FD3E9D2</t>
  </si>
  <si>
    <t>Jean Carlo Coelho Benício</t>
  </si>
  <si>
    <t>TAKJ2NCP</t>
  </si>
  <si>
    <t>Jeiciane Lopes da Silva Costa</t>
  </si>
  <si>
    <t>69CET5EE</t>
  </si>
  <si>
    <t>Jennifer Santos Sampaio</t>
  </si>
  <si>
    <t>7DCQ44AG</t>
  </si>
  <si>
    <t>Jessica Pereira Rodrigues</t>
  </si>
  <si>
    <t>DAVENUP4</t>
  </si>
  <si>
    <t>Jheyna Wesleys Silva Da Costa</t>
  </si>
  <si>
    <t>AMUX2Z4C</t>
  </si>
  <si>
    <t>Jhimy Nogueira dos Santos</t>
  </si>
  <si>
    <t>Z57NJFMN</t>
  </si>
  <si>
    <t>Joamilly Barreto De Oliveira</t>
  </si>
  <si>
    <t>UUQKHQCQ</t>
  </si>
  <si>
    <t>João alves dos santos</t>
  </si>
  <si>
    <t>XXFFXW9R</t>
  </si>
  <si>
    <t>João Antonio Dos Santos Monteiro</t>
  </si>
  <si>
    <t>L3GAD396</t>
  </si>
  <si>
    <t>João Italo Freitas Dos Santos</t>
  </si>
  <si>
    <t>RYQW6J2X</t>
  </si>
  <si>
    <t>João Victor Cabral do Nascimento</t>
  </si>
  <si>
    <t>5C8T9HKA</t>
  </si>
  <si>
    <t>João Victor Vieira Barbosa</t>
  </si>
  <si>
    <t>X7WRHEQH</t>
  </si>
  <si>
    <t>João Vitor Coelho Antunes</t>
  </si>
  <si>
    <t>JSW8RKLE</t>
  </si>
  <si>
    <t>Jocicleia Viana Taveira</t>
  </si>
  <si>
    <t>U6SJASMT</t>
  </si>
  <si>
    <t>Joelma do Socorro dos Reis Silva Lira</t>
  </si>
  <si>
    <t>SFGPF9W9</t>
  </si>
  <si>
    <t>Jonas Nascimento De Carvalho</t>
  </si>
  <si>
    <t>GVJGZRVU</t>
  </si>
  <si>
    <t>José Guilherme De Souza Lopes</t>
  </si>
  <si>
    <t>G65QSF5H</t>
  </si>
  <si>
    <t>José Manoel Pereira Coelho Neto</t>
  </si>
  <si>
    <t>BQEGAK2T</t>
  </si>
  <si>
    <t>Josiane Pereira Lopes Sousa</t>
  </si>
  <si>
    <t>BVMMS3R4</t>
  </si>
  <si>
    <t>Osvaldo Juan Lopes Figueira dos Santos</t>
  </si>
  <si>
    <t>HAX64CMX</t>
  </si>
  <si>
    <t>JÚLIA CÁSSIA TEIXEIRA LIMA</t>
  </si>
  <si>
    <t>9NKLVFH9</t>
  </si>
  <si>
    <t>Julia da Silva Oliveira</t>
  </si>
  <si>
    <t>Q8YAT7Y2</t>
  </si>
  <si>
    <t>Julia Gabrielly Oliveira Araújo</t>
  </si>
  <si>
    <t>4EDCGQW9</t>
  </si>
  <si>
    <t>Julio César Pimentel Lima</t>
  </si>
  <si>
    <t>T6MERZKR</t>
  </si>
  <si>
    <t>Julyana Brenda Do Nascimento Siqueira</t>
  </si>
  <si>
    <t>YETFV32X</t>
  </si>
  <si>
    <t>Kaèlem brito Oliveira</t>
  </si>
  <si>
    <t>7XHGRDGF</t>
  </si>
  <si>
    <t>Kaline Pereira Leao</t>
  </si>
  <si>
    <t>AX3MEC4H</t>
  </si>
  <si>
    <t>kamila yumi almeida kubo</t>
  </si>
  <si>
    <t>WDA3KTTG</t>
  </si>
  <si>
    <t>Kamilly Dayana Da Cruz Ferreira</t>
  </si>
  <si>
    <t>VQTFUKDW</t>
  </si>
  <si>
    <t>Karla Beatriz Melo Garcia</t>
  </si>
  <si>
    <t>95P5SYP6</t>
  </si>
  <si>
    <t>Karla Letícia Oliveira Vinente</t>
  </si>
  <si>
    <t>PZLWAX4C</t>
  </si>
  <si>
    <t>Karolayne Cristina Dos Remédios Figueiredo</t>
  </si>
  <si>
    <t>4SY7VUM4</t>
  </si>
  <si>
    <t>Kassia Luanda Ferreira Sousa</t>
  </si>
  <si>
    <t>WQLKAPKV</t>
  </si>
  <si>
    <t>Kauan Almeida Sozinho</t>
  </si>
  <si>
    <t>6XMUN9NS</t>
  </si>
  <si>
    <t>Kauan Ferreira Pacheco</t>
  </si>
  <si>
    <t>Z4RDS2QB</t>
  </si>
  <si>
    <t>Kaylanne Gomes Silva</t>
  </si>
  <si>
    <t>BEDGHBGM</t>
  </si>
  <si>
    <t>Kelen Raquel Soares Cardoso</t>
  </si>
  <si>
    <t>6CLACZCU</t>
  </si>
  <si>
    <t>Kelly De Souza Cordovil</t>
  </si>
  <si>
    <t>LLFKGJWZ</t>
  </si>
  <si>
    <t>Klissia Tayane Pereira Dias</t>
  </si>
  <si>
    <t>JSD35YQG</t>
  </si>
  <si>
    <t>Laís Inaê Magalhães do Nascimento</t>
  </si>
  <si>
    <t>ACX3VVPW</t>
  </si>
  <si>
    <t>Lana Evelise Dos Santos Figueira</t>
  </si>
  <si>
    <t>Y6TZ4QXP</t>
  </si>
  <si>
    <t>Larice Dourado Oliveira</t>
  </si>
  <si>
    <t>HE5KPYEL</t>
  </si>
  <si>
    <t>Larissa Da Silva Barros</t>
  </si>
  <si>
    <t>G5E9NRLH</t>
  </si>
  <si>
    <t>Layla Yhasmim Silva Da Silva</t>
  </si>
  <si>
    <t>Z9846LUT</t>
  </si>
  <si>
    <t>Layse Helena Barbosa Da Costa</t>
  </si>
  <si>
    <t>DMQG5N6J</t>
  </si>
  <si>
    <t>LEANDRO DE SANTANA PEREIRA</t>
  </si>
  <si>
    <t>TSHU64LT</t>
  </si>
  <si>
    <t>Leidiana Da Rosa Mendes Da Silva</t>
  </si>
  <si>
    <t>MSPYNW3D</t>
  </si>
  <si>
    <t>Leidiana De Abreu E Souza</t>
  </si>
  <si>
    <t>W5BAFMCK</t>
  </si>
  <si>
    <t>Leidiane Silva do Nascimento Marciano</t>
  </si>
  <si>
    <t>W9C8L3XQ</t>
  </si>
  <si>
    <t>Lena Andreia Barbosa de Brito</t>
  </si>
  <si>
    <t>KXYTWF9R</t>
  </si>
  <si>
    <t>Leonardo Miller Lyra Maciel</t>
  </si>
  <si>
    <t>2SPDSLF2</t>
  </si>
  <si>
    <t>Leonardo Pereira da Silva</t>
  </si>
  <si>
    <t>T4SC5C5N</t>
  </si>
  <si>
    <t>Leonardo Rodrigues Da Silva</t>
  </si>
  <si>
    <t>FJ7ZQC7A</t>
  </si>
  <si>
    <t>Letícia de Cássia Melo Tavares</t>
  </si>
  <si>
    <t>Y3VDXCU4</t>
  </si>
  <si>
    <t>Letícia Torres Auzier</t>
  </si>
  <si>
    <t>HWS3W5G5</t>
  </si>
  <si>
    <t>Lídia De Assis Lima</t>
  </si>
  <si>
    <t>E2NUJ7E8</t>
  </si>
  <si>
    <t>Ligia Maciel de Souza</t>
  </si>
  <si>
    <t>QUA4X3F4</t>
  </si>
  <si>
    <t>Livia Saner Santos Ribeiro</t>
  </si>
  <si>
    <t>DLBK4N8L</t>
  </si>
  <si>
    <t>Lohana Christine Nogueira Queiroz</t>
  </si>
  <si>
    <t>9VDCBJ9W</t>
  </si>
  <si>
    <t>Lorena Albuquerque Campos</t>
  </si>
  <si>
    <t>V8W9XPYY</t>
  </si>
  <si>
    <t>Lorena De Pinho Amorim</t>
  </si>
  <si>
    <t>9PUV52DH</t>
  </si>
  <si>
    <t>Lorena Fabiani Bahia Sandes</t>
  </si>
  <si>
    <t>QQX7B2C9</t>
  </si>
  <si>
    <t>Luana Cristina Lopes Vieira</t>
  </si>
  <si>
    <t>92BBLU6Q</t>
  </si>
  <si>
    <t>Luana Fraga Barata</t>
  </si>
  <si>
    <t>RWXX53KJ</t>
  </si>
  <si>
    <t>Luana Rebeca Araújo Freitas</t>
  </si>
  <si>
    <t>E29VNCRM</t>
  </si>
  <si>
    <t>Lucas Mateus De Almeida Amorim</t>
  </si>
  <si>
    <t>2BSSH89N</t>
  </si>
  <si>
    <t>Lucas Mateus Ferreira de Oliveira</t>
  </si>
  <si>
    <t>MAVEAKTX</t>
  </si>
  <si>
    <t>Lucas Mendes Da Silva Vinhote</t>
  </si>
  <si>
    <t>AMQPUJLF</t>
  </si>
  <si>
    <t>Lucas Rodrigues Da Rocha</t>
  </si>
  <si>
    <t>JJ9U4XLN</t>
  </si>
  <si>
    <t>Luciane Camila Silva De Sousa</t>
  </si>
  <si>
    <t>GESTÃO DE RELAÇÕES HUMANAS</t>
  </si>
  <si>
    <t>WV2DVLJ9</t>
  </si>
  <si>
    <t>Luhana Guimarães Souza</t>
  </si>
  <si>
    <t>J4B7BEM2</t>
  </si>
  <si>
    <t>Luís André De Souza Albuquerque</t>
  </si>
  <si>
    <t>B9NKFWQF</t>
  </si>
  <si>
    <t>Luis Henrique Farias De Andrade Junior</t>
  </si>
  <si>
    <t>TK2H6MR3</t>
  </si>
  <si>
    <t>Luisa Silva Braga</t>
  </si>
  <si>
    <t>KXT2G3CB</t>
  </si>
  <si>
    <t>Luiz Carlos Araújo Tomaz</t>
  </si>
  <si>
    <t>5YBA4UVZ</t>
  </si>
  <si>
    <t>Luiz Fernando Oliveira Cardenes</t>
  </si>
  <si>
    <t>2MAEPQKM</t>
  </si>
  <si>
    <t>Luiza Karine Silva De Oliveira</t>
  </si>
  <si>
    <t>KMRJ45EJ</t>
  </si>
  <si>
    <t>Luma Bastos Vaz</t>
  </si>
  <si>
    <t>ZSTV38YC</t>
  </si>
  <si>
    <t>Luma Sachie Oliveira Toda</t>
  </si>
  <si>
    <t>6MRJZB5F</t>
  </si>
  <si>
    <t>Luzekellem Vinente de Sousa</t>
  </si>
  <si>
    <t>27YG8FAC</t>
  </si>
  <si>
    <t>MADSON THIAGO SILVA DE ALMEIDA</t>
  </si>
  <si>
    <t>R3TH3JUD</t>
  </si>
  <si>
    <t>Maisa Da Silva E Sa</t>
  </si>
  <si>
    <t>MHDDCC5Y</t>
  </si>
  <si>
    <t>Mara Magilania Coelho De Abreu Salgado</t>
  </si>
  <si>
    <t>J3VY5ZYV</t>
  </si>
  <si>
    <t>Marcela Da Cruz Ferreira</t>
  </si>
  <si>
    <t>LTZRW8E9</t>
  </si>
  <si>
    <t>Marcela Patricia Correa Dos Santos</t>
  </si>
  <si>
    <t>9NJQUNDJ</t>
  </si>
  <si>
    <t>Marceli Batista Dos Santos Ribeiro</t>
  </si>
  <si>
    <t>99ESZLRE</t>
  </si>
  <si>
    <t>Marcelle Rayla Baia Filgueira</t>
  </si>
  <si>
    <t>C6XY7S35</t>
  </si>
  <si>
    <t>Marcelli Yasmin Da Silva Barbosa</t>
  </si>
  <si>
    <t>ZF5VUJZY</t>
  </si>
  <si>
    <t>Marcelo Costa Santos</t>
  </si>
  <si>
    <t>XLD5PAJE</t>
  </si>
  <si>
    <t>MARCELO ROCHA DE MENDONCA</t>
  </si>
  <si>
    <t>AZJCMZ8J</t>
  </si>
  <si>
    <t>Marco Antônio Araújo Dos Santos</t>
  </si>
  <si>
    <t>7WLBUWNK</t>
  </si>
  <si>
    <t xml:space="preserve">Marcos Souza Dos Santos
</t>
  </si>
  <si>
    <t>UW5YBMDU</t>
  </si>
  <si>
    <t>Maria Aparecida benjamim dos Santos</t>
  </si>
  <si>
    <t>ASHY4TLV</t>
  </si>
  <si>
    <t>Maria Da Conceição De Lima Magalhães</t>
  </si>
  <si>
    <t>2J2FAAED</t>
  </si>
  <si>
    <t>Maria De Fátima Xavier Da Silva</t>
  </si>
  <si>
    <t>ULLQB3P8</t>
  </si>
  <si>
    <t>Maria De Lourdes Macedo de Meireles</t>
  </si>
  <si>
    <t>2U9TKUSK</t>
  </si>
  <si>
    <t>Maria de Nazaré de Barros Baia</t>
  </si>
  <si>
    <t>9EBZCAA7</t>
  </si>
  <si>
    <t>Maria Eduarda Lobato De Mattos</t>
  </si>
  <si>
    <t>NUL8MFGV</t>
  </si>
  <si>
    <t>Maria Heloisa Silva de Paiva</t>
  </si>
  <si>
    <t>PDLD3NSV</t>
  </si>
  <si>
    <t>Maria José Dos Santos Lima</t>
  </si>
  <si>
    <t>R2EVC3AA</t>
  </si>
  <si>
    <t>Maria Lidiane Matos Dos Santos</t>
  </si>
  <si>
    <t>MD3YRFFA</t>
  </si>
  <si>
    <t>Maria Luísa Valente de Moraes</t>
  </si>
  <si>
    <t>HJ6QPBFQ</t>
  </si>
  <si>
    <t>Maria Luiza Da Silva Mendes</t>
  </si>
  <si>
    <t>X6J697TC</t>
  </si>
  <si>
    <t>Maria Luzia de Lima Oliveira</t>
  </si>
  <si>
    <t>AHF22LRP</t>
  </si>
  <si>
    <t>Maria Raimunda De Melo Almeida</t>
  </si>
  <si>
    <t>FCLN7GD7</t>
  </si>
  <si>
    <t>Maria Rita Lobato Pimentel</t>
  </si>
  <si>
    <t>4CBUBTUM</t>
  </si>
  <si>
    <t>Mariana Caroline Sales De Brito</t>
  </si>
  <si>
    <t>Y639RFUT</t>
  </si>
  <si>
    <t>MARIANY BEATRIZ VILHENA CARDOSO</t>
  </si>
  <si>
    <t>EPSRAK8E</t>
  </si>
  <si>
    <t>Maricleide Lobato Gomes</t>
  </si>
  <si>
    <t>NA3NHQFR</t>
  </si>
  <si>
    <t>Marilene Da Silva Pimentel</t>
  </si>
  <si>
    <t>8JA6Z7FD</t>
  </si>
  <si>
    <t>Marluce Miranda De Sousa Corrêa</t>
  </si>
  <si>
    <t>5LWH7GRR</t>
  </si>
  <si>
    <t>Marlyane Batista Mendes</t>
  </si>
  <si>
    <t>SRRTSHND</t>
  </si>
  <si>
    <t>Marlyson Jean Monteiro Nogueira</t>
  </si>
  <si>
    <t>HN3ECY64</t>
  </si>
  <si>
    <t>Matheus Vinicius Teixeira Da Silva</t>
  </si>
  <si>
    <t>JORNALISMO</t>
  </si>
  <si>
    <t>3AZAP7U6</t>
  </si>
  <si>
    <t>Max De Souza Soares</t>
  </si>
  <si>
    <t>MFFSHAHM</t>
  </si>
  <si>
    <t>Maxirley Cambraia da Costa</t>
  </si>
  <si>
    <t>3BFEY38M</t>
  </si>
  <si>
    <t>Mayane De Oliveira Melo</t>
  </si>
  <si>
    <t>4G5XD39E</t>
  </si>
  <si>
    <t>Maysa Almeida Barbosa Serrão</t>
  </si>
  <si>
    <t>BHGEY2YW</t>
  </si>
  <si>
    <t>Melissa Paula Alhadef feijão De Oliveira</t>
  </si>
  <si>
    <t>589FQJKX</t>
  </si>
  <si>
    <t>Mellissa Pannielli De Matos Azevedo</t>
  </si>
  <si>
    <t>6AKARZBA</t>
  </si>
  <si>
    <t>Michelle Adriana Rayol Moraes</t>
  </si>
  <si>
    <t>JVZTW9SJ</t>
  </si>
  <si>
    <t>Milena Caldas Froz</t>
  </si>
  <si>
    <t>3ZFEZCLB</t>
  </si>
  <si>
    <t>Milena Nobre De Sousa</t>
  </si>
  <si>
    <t>JHMZFDMS</t>
  </si>
  <si>
    <t>Mônica Da Silva Nunes</t>
  </si>
  <si>
    <t>5BMKXGXJ</t>
  </si>
  <si>
    <t>Morgana de Souza dos Santos</t>
  </si>
  <si>
    <t>C6DYHC3J</t>
  </si>
  <si>
    <t>Murilo Cauã Dos Santos Gomes</t>
  </si>
  <si>
    <t>DYMAC6XH</t>
  </si>
  <si>
    <t>Murilo Emanuel Xavier De Oliveira</t>
  </si>
  <si>
    <t>GPCFC8SJ</t>
  </si>
  <si>
    <t xml:space="preserve">Mykaely Manuely Costa De Jesus        </t>
  </si>
  <si>
    <t>7U7FL3BQ</t>
  </si>
  <si>
    <t>Naiara Ramos Leite</t>
  </si>
  <si>
    <t>SZAP3TGZ</t>
  </si>
  <si>
    <t>Natália Cecília Dos Santos Alencar</t>
  </si>
  <si>
    <t>MJTPGZCG</t>
  </si>
  <si>
    <t>Natalia Souza Lima</t>
  </si>
  <si>
    <t>PZZCPK66</t>
  </si>
  <si>
    <t>Natallia Mota De Andrade</t>
  </si>
  <si>
    <t>4Q5YC6CW</t>
  </si>
  <si>
    <t>Nathália Vieira Barboza</t>
  </si>
  <si>
    <t>LZ5ZHJT8</t>
  </si>
  <si>
    <t>Nayara Ilana Sales</t>
  </si>
  <si>
    <t>SQKRKBSW</t>
  </si>
  <si>
    <t>Naylane Andrade Da Silva Costa</t>
  </si>
  <si>
    <t>JVU4B7MS</t>
  </si>
  <si>
    <t>NAYLANE COSTA DA SILVA</t>
  </si>
  <si>
    <t>A6F6GLNT</t>
  </si>
  <si>
    <t>Neuciene Augusta da Silva</t>
  </si>
  <si>
    <t>E9AW2ZPV</t>
  </si>
  <si>
    <t>Nicoli Costa Silva</t>
  </si>
  <si>
    <t>VHJS4Q7L</t>
  </si>
  <si>
    <t>NIKOLE LARISSA MIRANDA SILVA</t>
  </si>
  <si>
    <t>C8GZF59F</t>
  </si>
  <si>
    <t>Oneliuso Herculano de sales</t>
  </si>
  <si>
    <t>MPN456JD</t>
  </si>
  <si>
    <t>Patrícia Cardoso de Oliveira</t>
  </si>
  <si>
    <t>MHEVS7F8</t>
  </si>
  <si>
    <t>Patricia Fonseca Pinheiro Amoras</t>
  </si>
  <si>
    <t>COMPUTAÇÃO</t>
  </si>
  <si>
    <t>U4EYKLBT</t>
  </si>
  <si>
    <t>Patricia Sluce</t>
  </si>
  <si>
    <t>SXR7DJPU</t>
  </si>
  <si>
    <t>Paula Regiany Machado Maia</t>
  </si>
  <si>
    <t>5PV62H4Q</t>
  </si>
  <si>
    <t>Paulo Artur Wanderley Santos</t>
  </si>
  <si>
    <t>26CVQTXY</t>
  </si>
  <si>
    <t>Paulo Da Silva Quadros Neto</t>
  </si>
  <si>
    <t>FQQ84PA7</t>
  </si>
  <si>
    <t>Paulo Erick Pereira Malheiros</t>
  </si>
  <si>
    <t>WE8BXCPT</t>
  </si>
  <si>
    <t>Paulo Roberto Monteiro Da Cunha</t>
  </si>
  <si>
    <t>LCAJFZKS</t>
  </si>
  <si>
    <t>Pedro Henrique Barroso Fernandes</t>
  </si>
  <si>
    <t>PNE3DK9R</t>
  </si>
  <si>
    <t>PEDRO ÍTALO FREITAS NAVEGANTE</t>
  </si>
  <si>
    <t>M5DBUQLZ</t>
  </si>
  <si>
    <t>Pedro Lucas de Jesus Oliveira</t>
  </si>
  <si>
    <t>CR3JVHVC</t>
  </si>
  <si>
    <t>Pedro Willian Oliveira de Carvalho</t>
  </si>
  <si>
    <t>VHEND53E</t>
  </si>
  <si>
    <t>Rafael Da Silva Sousa</t>
  </si>
  <si>
    <t>XN823SUG</t>
  </si>
  <si>
    <t>Rafaella Da Silva Santos</t>
  </si>
  <si>
    <t>YZCBKRQD</t>
  </si>
  <si>
    <t>Raflesia Rodrigues de Oliveira</t>
  </si>
  <si>
    <t>R57HGYJK</t>
  </si>
  <si>
    <t>Raimy Fernanda Ribeiro Andrade</t>
  </si>
  <si>
    <t>AQPUQ6JJ</t>
  </si>
  <si>
    <t>Raissa Seabra De Oliveira</t>
  </si>
  <si>
    <t>MVFXPZ7R</t>
  </si>
  <si>
    <t>Ramonna Ranielle Carolina Costa Rodrigues</t>
  </si>
  <si>
    <t>AD96YX7J</t>
  </si>
  <si>
    <t>Raquel Santos Gama</t>
  </si>
  <si>
    <t>7J7LH9CA</t>
  </si>
  <si>
    <t>Rauan Lucas Oliveira Lima</t>
  </si>
  <si>
    <t>QDN4KQHH</t>
  </si>
  <si>
    <t xml:space="preserve">Rebeca de Souza Lopes </t>
  </si>
  <si>
    <t>ZCDZ5T6F</t>
  </si>
  <si>
    <t>Regina Rubia Amaral Silva Almeida</t>
  </si>
  <si>
    <t>8RVWNND8</t>
  </si>
  <si>
    <t>Relbert Flan Melo Costa</t>
  </si>
  <si>
    <t>QM4N3JNP</t>
  </si>
  <si>
    <t>Renata Alcantara De Oliveira</t>
  </si>
  <si>
    <t>DSZU7E9R</t>
  </si>
  <si>
    <t>Renata Cristina Miranda Dos Santos</t>
  </si>
  <si>
    <t>DEP2PB3H</t>
  </si>
  <si>
    <t>Renata De Sousa Favacho</t>
  </si>
  <si>
    <t>H2G4XCEY</t>
  </si>
  <si>
    <t>RENATA FURTADO COSTA</t>
  </si>
  <si>
    <t>LKTXPQ4A</t>
  </si>
  <si>
    <t>Rey Hall Araujo Ferreira</t>
  </si>
  <si>
    <t>FFD2D6UB</t>
  </si>
  <si>
    <t>Roberto Cezar Bentes Arce Junior</t>
  </si>
  <si>
    <t>T9A6NSAW</t>
  </si>
  <si>
    <t>Roberto Monteiro Carvalho Junior</t>
  </si>
  <si>
    <t>U8RTNJPH</t>
  </si>
  <si>
    <t>Robson Fernandes Nóbrega</t>
  </si>
  <si>
    <t>6WQAC4N4</t>
  </si>
  <si>
    <t>Ronaldo Silveira Gonçalves</t>
  </si>
  <si>
    <t>GHGAX2M4</t>
  </si>
  <si>
    <t>Rosana Silva Dos Santos</t>
  </si>
  <si>
    <t>5XK55Q8Z</t>
  </si>
  <si>
    <t>Rosicléa Barbosa Cardoso Fulco</t>
  </si>
  <si>
    <t>8YS8TKAD</t>
  </si>
  <si>
    <t>Ruan Gabriel Do Amaral Barros</t>
  </si>
  <si>
    <t>G8ZZC4ZA</t>
  </si>
  <si>
    <t>Ruan Luiz Mendes Mourão</t>
  </si>
  <si>
    <t>KJYDZGS7</t>
  </si>
  <si>
    <t>Sabrina Alves dos Santos</t>
  </si>
  <si>
    <t>9WZ297YQ</t>
  </si>
  <si>
    <t>Samir Deodato Moura Maia</t>
  </si>
  <si>
    <t>4DFKLZU8</t>
  </si>
  <si>
    <t>Sanara Oliveira Araújo</t>
  </si>
  <si>
    <t>PNZK7GCV</t>
  </si>
  <si>
    <t>Sandra Maria Liz Gadelha</t>
  </si>
  <si>
    <t>CP2GD224</t>
  </si>
  <si>
    <t>Sandy Stelman Carneiro Barros</t>
  </si>
  <si>
    <t>3HLS2ZK5</t>
  </si>
  <si>
    <t>Sara Costa De Sousa</t>
  </si>
  <si>
    <t>JFPYU3VX</t>
  </si>
  <si>
    <t>Sara Lavigne Bezerra De Almeida</t>
  </si>
  <si>
    <t>EFRZQFQK</t>
  </si>
  <si>
    <t>Sarah Rebeca Lima Raiol</t>
  </si>
  <si>
    <t>MESS7GLB</t>
  </si>
  <si>
    <t>Sarah Samille Da Costa Rego</t>
  </si>
  <si>
    <t>UCNUAM3Y</t>
  </si>
  <si>
    <t>Shamyla Paula Braga Ricardo</t>
  </si>
  <si>
    <t>R2SB8D3B</t>
  </si>
  <si>
    <t>shayra diovanna vieira Marques</t>
  </si>
  <si>
    <t>T6PJKHXJ</t>
  </si>
  <si>
    <t>Simone Sampaio Castro</t>
  </si>
  <si>
    <t>3UH2V3CN</t>
  </si>
  <si>
    <t>Sinval Palheta Farias</t>
  </si>
  <si>
    <t>XKMYDQW3</t>
  </si>
  <si>
    <t>Socorro de Nazaré Nonato Dias</t>
  </si>
  <si>
    <t>SZRYG6G3</t>
  </si>
  <si>
    <t>Sofia Gabriele De Cristo Lobo</t>
  </si>
  <si>
    <t>FJWNHPXC</t>
  </si>
  <si>
    <t>Sofia Pereira Da Silva Pinho</t>
  </si>
  <si>
    <t>9CCEKTM5</t>
  </si>
  <si>
    <t>Susy Jennifer Silva Cardoso</t>
  </si>
  <si>
    <t>FGJKEUY3</t>
  </si>
  <si>
    <t>SUYLANNE CRISTINA SOARES RAMOS</t>
  </si>
  <si>
    <t>BBHMKPVS</t>
  </si>
  <si>
    <t>Suzana Maia Dos anjos</t>
  </si>
  <si>
    <t>P5QLXSXT</t>
  </si>
  <si>
    <t>Suziane Góes Da Silva</t>
  </si>
  <si>
    <t>LLJP9WLE</t>
  </si>
  <si>
    <t>Thainá Coimbra da Silva de Souza</t>
  </si>
  <si>
    <t>VQ5UGMW4</t>
  </si>
  <si>
    <t>Thainã Mendonça Vaz</t>
  </si>
  <si>
    <t>MFBY79JF</t>
  </si>
  <si>
    <t>Thaísa Costa De Souza</t>
  </si>
  <si>
    <t>ZZXYMPP6</t>
  </si>
  <si>
    <t>Thalita Belo Gadelha</t>
  </si>
  <si>
    <t>LSHUAE7T</t>
  </si>
  <si>
    <t>Thalyta Santos da Silva</t>
  </si>
  <si>
    <t>MEP9QWR6</t>
  </si>
  <si>
    <t>Thamara De Souza Ribeiro</t>
  </si>
  <si>
    <t>JWC95L8H</t>
  </si>
  <si>
    <t>Thamyris Dos Santos Cunha</t>
  </si>
  <si>
    <t>N3EFQJLL</t>
  </si>
  <si>
    <t>Thayane Carolina Costa Paiva</t>
  </si>
  <si>
    <t>GQV9VC85</t>
  </si>
  <si>
    <t>UNINORTE</t>
  </si>
  <si>
    <t>THAYNA SOARES SAMPAIO</t>
  </si>
  <si>
    <t>5GF89ZZW</t>
  </si>
  <si>
    <t>Thayse Sanches</t>
  </si>
  <si>
    <t>YAW5MCAA</t>
  </si>
  <si>
    <t>Thiago Dos Santos Bandeira</t>
  </si>
  <si>
    <t>U4FX4NTV</t>
  </si>
  <si>
    <t>Thiago Pereira de Araújo</t>
  </si>
  <si>
    <t>YA9SXK3R</t>
  </si>
  <si>
    <t>Thyffany Daiana Barbosa Da Silva Santos</t>
  </si>
  <si>
    <t>FHKCD7Y7</t>
  </si>
  <si>
    <t>Tiago Da Silva Pereira</t>
  </si>
  <si>
    <t>XHXEHZ9V</t>
  </si>
  <si>
    <t>Triniti Del Valle Marquez Zabala</t>
  </si>
  <si>
    <t>35345C76</t>
  </si>
  <si>
    <t>Vanderlon Rodrigues Da Silva</t>
  </si>
  <si>
    <t>M7N6GKGL</t>
  </si>
  <si>
    <t>vaneia fragoso de oliveira</t>
  </si>
  <si>
    <t>MUQBE48S</t>
  </si>
  <si>
    <t>Vanir eleonor oliveira Mendes</t>
  </si>
  <si>
    <t>CIÊNCIAS BIOLÓGICAS</t>
  </si>
  <si>
    <t>TDW7Q2MT</t>
  </si>
  <si>
    <t>Verônica Maria De Araújo Oliveira</t>
  </si>
  <si>
    <t>U33PV6L4</t>
  </si>
  <si>
    <t>Victor Hugo Lopes e Souza</t>
  </si>
  <si>
    <t>HCPQBBRF</t>
  </si>
  <si>
    <t>Victor Sousa Silva</t>
  </si>
  <si>
    <t>HPS5JFN4</t>
  </si>
  <si>
    <t>Victoria Cristina França Cavalcante</t>
  </si>
  <si>
    <t>GZ6JTJ7G</t>
  </si>
  <si>
    <t>Vinicius Afonso Soledade Lopes</t>
  </si>
  <si>
    <t>7YJ5JPJZ</t>
  </si>
  <si>
    <t>Vinícius Rodrigues Costa</t>
  </si>
  <si>
    <t>SCYXYPYT</t>
  </si>
  <si>
    <t>Vitor Eduardo Neves Avelino</t>
  </si>
  <si>
    <t>T7D2MXYP</t>
  </si>
  <si>
    <t>Vitoria Cristina Carneiro Moura</t>
  </si>
  <si>
    <t>4QZNV3S8</t>
  </si>
  <si>
    <t>Vitória Santos Pacheco</t>
  </si>
  <si>
    <t>TME5CUNW</t>
  </si>
  <si>
    <t>Viviane Pereira De Souza</t>
  </si>
  <si>
    <t>LMZ54JA9</t>
  </si>
  <si>
    <t>Vyctor Kelvyn De Almeida Carvalho</t>
  </si>
  <si>
    <t>N64WPF9C</t>
  </si>
  <si>
    <t>Wallace Garcia Dos Santos</t>
  </si>
  <si>
    <t>AAD3MZW4</t>
  </si>
  <si>
    <t>Walter Mesquita de Almeida</t>
  </si>
  <si>
    <t>RAQ3T9FF</t>
  </si>
  <si>
    <t>Wanessa Lira Nascimento</t>
  </si>
  <si>
    <t>3ZY4P2T5</t>
  </si>
  <si>
    <t>Welder Maia Ferreira</t>
  </si>
  <si>
    <t>C9CK8AER</t>
  </si>
  <si>
    <t xml:space="preserve">Wellington Silva De Souza
</t>
  </si>
  <si>
    <t>9GZSAKXU</t>
  </si>
  <si>
    <t>Wendy Gabriela Figueiredo Tavares</t>
  </si>
  <si>
    <t>G63UP69P</t>
  </si>
  <si>
    <t>Wesley Silva De Lima</t>
  </si>
  <si>
    <t>2C86JW2W</t>
  </si>
  <si>
    <t>Wesneyanny Eduarda Ramos Pires</t>
  </si>
  <si>
    <t>NFRAPJJH</t>
  </si>
  <si>
    <t>Willames Castro De Souza</t>
  </si>
  <si>
    <t>S668KSCT</t>
  </si>
  <si>
    <t>Willer Meireles Campos</t>
  </si>
  <si>
    <t>SCP6JKTL</t>
  </si>
  <si>
    <t>YARA KAROLYNE RUFINO DE AZEVEDO</t>
  </si>
  <si>
    <t>QCX8QXPX</t>
  </si>
  <si>
    <t>Yasmim Malak Cantanhede Da Penha</t>
  </si>
  <si>
    <t>XVLM4BWR</t>
  </si>
  <si>
    <t>Yasmin Celline de Lima Teles</t>
  </si>
  <si>
    <t>W4UC2KRT</t>
  </si>
  <si>
    <t>Yasmin Da Silva Alves</t>
  </si>
  <si>
    <t>5A37DLGV</t>
  </si>
  <si>
    <t>Luiz gustavo saraiva ribeiro</t>
  </si>
  <si>
    <t>FPT63QNC</t>
  </si>
  <si>
    <t>Dankford Navarro De Oliveira Filho</t>
  </si>
  <si>
    <t>LX7XWRTD</t>
  </si>
  <si>
    <t>Sara Cabral Portela</t>
  </si>
  <si>
    <t>U8SEQSX8</t>
  </si>
  <si>
    <t>Jefferson De Lima Silva Júnior</t>
  </si>
  <si>
    <t>VEMMEHAG</t>
  </si>
  <si>
    <t>Erick Da Silva Mendonça</t>
  </si>
  <si>
    <t>ENGENHARIA MECÂNICA</t>
  </si>
  <si>
    <t>TG47SZ6V</t>
  </si>
  <si>
    <t>BEATRIZ PIMENTEL DE OLIVEIRA</t>
  </si>
  <si>
    <t>D3TAY7Y2</t>
  </si>
  <si>
    <t>Bárbara Kamilly Paes De Abreu</t>
  </si>
  <si>
    <t>EBLCSWFE</t>
  </si>
  <si>
    <t>Andréa Camile De Almeida Neves</t>
  </si>
  <si>
    <t>YEC84HWM</t>
  </si>
  <si>
    <t>Ádria Cristinne Mendonça Frazão</t>
  </si>
  <si>
    <t>UVD2F8BC</t>
  </si>
  <si>
    <t>Renan De Souza Setuba Moura</t>
  </si>
  <si>
    <t>HG9XQSMF</t>
  </si>
  <si>
    <t>ALAIN GABRIEL DE SOUSA GALUCIO</t>
  </si>
  <si>
    <t>S2CE3MU9</t>
  </si>
  <si>
    <t>Eliton Lima Monteiro</t>
  </si>
  <si>
    <t>TGFPEU72</t>
  </si>
  <si>
    <t>Danielly Vanessa Correa de Arauj</t>
  </si>
  <si>
    <t>VNA4KJBD</t>
  </si>
  <si>
    <t>Adrielly marques de oliveira</t>
  </si>
  <si>
    <t>QFH3EJQT</t>
  </si>
  <si>
    <t>Mayene maria vasconcelos da silva</t>
  </si>
  <si>
    <t>SUTTNMBA</t>
  </si>
  <si>
    <t>Vanessa Lobato Furtado</t>
  </si>
  <si>
    <t>EUT96PP3</t>
  </si>
  <si>
    <t>Regina Célia Farias da Silva</t>
  </si>
  <si>
    <t>ETKFD3JC</t>
  </si>
  <si>
    <t>Renata Lameira Ferreira</t>
  </si>
  <si>
    <t>EFK3UN27</t>
  </si>
  <si>
    <t>Isabela Luciany Da Costa Silva</t>
  </si>
  <si>
    <t>D7LFUGE3</t>
  </si>
  <si>
    <t>Cleicione Gonçalves Dos Santos</t>
  </si>
  <si>
    <t>REEBS9UE</t>
  </si>
  <si>
    <t>Yasmin Moreira dos Santos</t>
  </si>
  <si>
    <t>GTGR8VXL</t>
  </si>
  <si>
    <t>Gleyce Kelly Pires Ferreira</t>
  </si>
  <si>
    <t>S2LPE63Y</t>
  </si>
  <si>
    <t>Gabriela Neves Jeffryes</t>
  </si>
  <si>
    <t>VQLNPVH2</t>
  </si>
  <si>
    <t>Natália Dos Santos De Oliveira</t>
  </si>
  <si>
    <t>JQCUWFHQ</t>
  </si>
  <si>
    <t>Mayara Cristina Noronha Carneiro</t>
  </si>
  <si>
    <t>X9YY9CU8</t>
  </si>
  <si>
    <t>Thaís Regina Farias Lima</t>
  </si>
  <si>
    <t>6FT5VN8W</t>
  </si>
  <si>
    <t>liandra santos dos reis</t>
  </si>
  <si>
    <t>PTJNBSEC</t>
  </si>
  <si>
    <t>Carla Roberta Cruz Da Rocha</t>
  </si>
  <si>
    <t>ES86JF8A</t>
  </si>
  <si>
    <t>Tiely Brenda Dias Cardoso</t>
  </si>
  <si>
    <t>QSHZZJYY</t>
  </si>
  <si>
    <t>Amanda Cunha Seabra</t>
  </si>
  <si>
    <t>KJKPTKHK</t>
  </si>
  <si>
    <t>Jade Cascais Amazonas</t>
  </si>
  <si>
    <t>SBLMZKFX</t>
  </si>
  <si>
    <t>Milena Dos Santos Andrade</t>
  </si>
  <si>
    <t>PUBLICIDADE E PROPAGANDA</t>
  </si>
  <si>
    <t>GCT352PA</t>
  </si>
  <si>
    <t>Eliana Cristina Barroso de Araújo</t>
  </si>
  <si>
    <t>76UBA2C8</t>
  </si>
  <si>
    <t>Fabricio Cruz Correia</t>
  </si>
  <si>
    <t>N7A8MA6B</t>
  </si>
  <si>
    <t>Laiz Lima de Lira</t>
  </si>
  <si>
    <t>YMHDA3MV</t>
  </si>
  <si>
    <t>GABRIEL GERALDO ALMEIDA GONCALVES DA SILVA</t>
  </si>
  <si>
    <t>PMSAP3ZJ</t>
  </si>
  <si>
    <t>Emily Senado Marques</t>
  </si>
  <si>
    <t>ZAHMCMWJ</t>
  </si>
  <si>
    <t>Klebeson Rubens Lopes</t>
  </si>
  <si>
    <t>LOGÍSTICA</t>
  </si>
  <si>
    <t>JW87SAQ4</t>
  </si>
  <si>
    <t>Ana Carolina Dos Santos Silva</t>
  </si>
  <si>
    <t>BYKW5Y4A</t>
  </si>
  <si>
    <t>Vania Santos Do Nascimento Cardoso</t>
  </si>
  <si>
    <t>BEBF2H9L</t>
  </si>
  <si>
    <t>Alex Barradas Da Silva Farias</t>
  </si>
  <si>
    <t>TECNOLOGIA DE INFORMAÇÃO</t>
  </si>
  <si>
    <t>HSTUQ7TN</t>
  </si>
  <si>
    <t>Rayssa Correa Oliveira</t>
  </si>
  <si>
    <t>CFEJAHXT</t>
  </si>
  <si>
    <t>Êmily Meneses Barbosa</t>
  </si>
  <si>
    <t>K2NKQ5C7</t>
  </si>
  <si>
    <t>Maria Vitória Pimentel dos Santos</t>
  </si>
  <si>
    <t>9T6XB3SJ</t>
  </si>
  <si>
    <t>JOSE NAZARENO VIANA WANZELER</t>
  </si>
  <si>
    <t>NMJWCGXJ</t>
  </si>
  <si>
    <t>Domingas De Nazaré Almeida Gaspar</t>
  </si>
  <si>
    <t>FHK3BRSU</t>
  </si>
  <si>
    <t>ana carolina pereira da silva</t>
  </si>
  <si>
    <t>JL6W54CM</t>
  </si>
  <si>
    <t>Jéssica Gomes Teixeira</t>
  </si>
  <si>
    <t>MDQDWYMT</t>
  </si>
  <si>
    <t>Antônia Lucidalva Ribeiro Medeiros</t>
  </si>
  <si>
    <t>L35VCDWU</t>
  </si>
  <si>
    <t>Ozires Correa Da Silva Filho</t>
  </si>
  <si>
    <t>FAACV8P3</t>
  </si>
  <si>
    <t>Thainara Gomes Marques</t>
  </si>
  <si>
    <t>050.312.132-05</t>
  </si>
  <si>
    <t>EJY8A8KY</t>
  </si>
  <si>
    <t>Layandria Caroline Brito Da Silva</t>
  </si>
  <si>
    <t>42CBYCZL</t>
  </si>
  <si>
    <t>FACULDADES — RESUMO DE VENDAS E PRODUÇÃO 25.2</t>
  </si>
  <si>
    <t>Contrato</t>
  </si>
  <si>
    <t>INSTITUIÇÃO</t>
  </si>
  <si>
    <t>Total Vendido</t>
  </si>
  <si>
    <t>Pendente 
de Escolha</t>
  </si>
  <si>
    <t>Entregue</t>
  </si>
  <si>
    <t>Em IMPRESÃO</t>
  </si>
  <si>
    <t>IMPRESSO</t>
  </si>
  <si>
    <t>Em Aprovação</t>
  </si>
  <si>
    <t>DIAGRAMADOS</t>
  </si>
  <si>
    <t>Cancelados</t>
  </si>
  <si>
    <t>UNIP BELEM</t>
  </si>
  <si>
    <t>UNAMA GENTIL</t>
  </si>
  <si>
    <t>ESTACIO</t>
  </si>
  <si>
    <t>R</t>
  </si>
  <si>
    <t>UNMA PARQUE SHOPPING</t>
  </si>
  <si>
    <t>MANAUS</t>
  </si>
  <si>
    <t>COSMOPOLITA</t>
  </si>
  <si>
    <t>UNAMA ANANIDEUA</t>
  </si>
  <si>
    <t>UNAMA SANTAREM</t>
  </si>
  <si>
    <t>UNIP MACAPA</t>
  </si>
  <si>
    <t>UNIP PARAGOMINAS</t>
  </si>
  <si>
    <t>UNAMA ALCINDO C</t>
  </si>
  <si>
    <t>UNIP CASTANHAL</t>
  </si>
  <si>
    <t>BOA VISTA</t>
  </si>
  <si>
    <t>SÃO LUIZ</t>
  </si>
  <si>
    <t>SMAC</t>
  </si>
  <si>
    <t>INDICADORES GERAIS</t>
  </si>
  <si>
    <t>Total de vendas</t>
  </si>
  <si>
    <t>Total entregue</t>
  </si>
  <si>
    <t>Total pendente de escolha</t>
  </si>
  <si>
    <t>Total em IMPRESSAO</t>
  </si>
  <si>
    <t>Total IMPRESSOS</t>
  </si>
  <si>
    <t>Total EM APROVAÇAO</t>
  </si>
  <si>
    <t>Total DIAGRAMADOS</t>
  </si>
  <si>
    <t xml:space="preserve">TOTAL CANCELADOS </t>
  </si>
  <si>
    <t xml:space="preserve">CURSO </t>
  </si>
  <si>
    <t>ITEMS</t>
  </si>
  <si>
    <t>Status</t>
  </si>
  <si>
    <t>Cód. Cliente</t>
  </si>
  <si>
    <t>NOME</t>
  </si>
  <si>
    <t>E-mail</t>
  </si>
  <si>
    <t>Celular</t>
  </si>
  <si>
    <t>CONTRATO</t>
  </si>
  <si>
    <t>PACOTE BERLIM</t>
  </si>
  <si>
    <t>Enviado</t>
  </si>
  <si>
    <t>Andreia Da Silva Ferreira</t>
  </si>
  <si>
    <t>andreiaferreira66442@gmail.com</t>
  </si>
  <si>
    <t>(91) 981152574</t>
  </si>
  <si>
    <t>953 - UNIP BELÉM</t>
  </si>
  <si>
    <t>PACOTE MOSCOU</t>
  </si>
  <si>
    <t>Deolinda Dos Santos Borges</t>
  </si>
  <si>
    <t>deolinda.sborges@gmail.com</t>
  </si>
  <si>
    <t>(91) 980316385</t>
  </si>
  <si>
    <t>Deyse Thayane Bezerra Pontes</t>
  </si>
  <si>
    <t>pontesdeyse6@gmail.com</t>
  </si>
  <si>
    <t>(91) 991095971</t>
  </si>
  <si>
    <t>Donizete Henrique Bezerra Pontes</t>
  </si>
  <si>
    <t>donizetepontes2@gmail.com</t>
  </si>
  <si>
    <t>(91) 991933743</t>
  </si>
  <si>
    <t>PLANO DIAMOND BOOK</t>
  </si>
  <si>
    <t>Solicitado</t>
  </si>
  <si>
    <t>Eneida Viana Costa</t>
  </si>
  <si>
    <t>eneidavianaviana49@gmail.com</t>
  </si>
  <si>
    <t>(91) 98616-5775</t>
  </si>
  <si>
    <t>Erivan Santana Brito</t>
  </si>
  <si>
    <t>erivanbrito24@gmail.com</t>
  </si>
  <si>
    <t>(91) 98015-8304</t>
  </si>
  <si>
    <t>Fabio De Castro Oliveira</t>
  </si>
  <si>
    <t>fabiodecastro406@gmail.com</t>
  </si>
  <si>
    <t>(91) 98525-5582</t>
  </si>
  <si>
    <t>Fredson Luis Garcia Ribeiro</t>
  </si>
  <si>
    <t>fredsonnakata02@gmail.com</t>
  </si>
  <si>
    <t>(91) 984912140</t>
  </si>
  <si>
    <t>Gabriela Lima Do Nascimento</t>
  </si>
  <si>
    <t>gabifitevolution@gmail.com</t>
  </si>
  <si>
    <t>(91) 980628643</t>
  </si>
  <si>
    <t>Jamilly Cristine Souza Silva</t>
  </si>
  <si>
    <t>jamillysouzasilva93@gmail.com</t>
  </si>
  <si>
    <t>(91) 985663920</t>
  </si>
  <si>
    <t>Kamile Macedo Da Silva</t>
  </si>
  <si>
    <t>silvaakamile@gmail.com</t>
  </si>
  <si>
    <t>(91) 985845044</t>
  </si>
  <si>
    <t>Karolyne Pantoja Macedo</t>
  </si>
  <si>
    <t>karolynemacedo7@hotmail.com</t>
  </si>
  <si>
    <t>(91) 98457-1978</t>
  </si>
  <si>
    <t>Larissa Cristine Oliveira Dos Santos</t>
  </si>
  <si>
    <t>larissacristine866@gmail.com</t>
  </si>
  <si>
    <t>(91) 984460923</t>
  </si>
  <si>
    <t>Larissa De Melo</t>
  </si>
  <si>
    <t>larimelo0808@gmail.com</t>
  </si>
  <si>
    <t>(91) 991541217</t>
  </si>
  <si>
    <t>Lilia Patricia Candeira Bouillet</t>
  </si>
  <si>
    <t>patybouillet@hotmail.com</t>
  </si>
  <si>
    <t>(91) 980818232</t>
  </si>
  <si>
    <t>Maria Elenice Araújo Santos Borges</t>
  </si>
  <si>
    <t>maria16borges81@gmail.com</t>
  </si>
  <si>
    <t>(91) 983899062</t>
  </si>
  <si>
    <t>Melquizedek De Souza Martins</t>
  </si>
  <si>
    <t>melkmartins2016@gmail.com</t>
  </si>
  <si>
    <t>(91) 982232445</t>
  </si>
  <si>
    <t>Paula Francyneth Freitas Campelo</t>
  </si>
  <si>
    <t>paullacampello@yahoo.com</t>
  </si>
  <si>
    <t>(91) 985413466</t>
  </si>
  <si>
    <t>Rayara Reis Da Silva</t>
  </si>
  <si>
    <t>rayarareis42@gmail.com</t>
  </si>
  <si>
    <t>(91) 981205858</t>
  </si>
  <si>
    <t>Rosana De Sousa Serafim</t>
  </si>
  <si>
    <t>andrezabrito05@gmail.com</t>
  </si>
  <si>
    <t>(91) 982751095</t>
  </si>
  <si>
    <t>suzanaanjos215@gmail.com</t>
  </si>
  <si>
    <t>(91) 998052192</t>
  </si>
  <si>
    <t>ZELMA Lúcia Trindade</t>
  </si>
  <si>
    <t>zelmalucia3@gmail.com</t>
  </si>
  <si>
    <t>(91) 980582554</t>
  </si>
  <si>
    <t>alanna.vale@hotmail.com</t>
  </si>
  <si>
    <t>(91) 996294115</t>
  </si>
  <si>
    <t>Em Impressão</t>
  </si>
  <si>
    <t>carlos.alberto.lima.jr10@gmail.com</t>
  </si>
  <si>
    <t>(91) 985698204</t>
  </si>
  <si>
    <t>dalvalicebragadagama@gmail.com</t>
  </si>
  <si>
    <t>(91) 999822066</t>
  </si>
  <si>
    <t>francileudesaraiva2017@gmail.com</t>
  </si>
  <si>
    <t>(91) 992937114</t>
  </si>
  <si>
    <t>pantojacbpm@gmail.com</t>
  </si>
  <si>
    <t>(91) 988506247</t>
  </si>
  <si>
    <t>jamilygoncalvesbarbosa5@gmail.com</t>
  </si>
  <si>
    <t>(91) 982716676</t>
  </si>
  <si>
    <t>Enviado para Aprovação</t>
  </si>
  <si>
    <t>jheynasilva1308@gmail.com</t>
  </si>
  <si>
    <t>(91) 982788048</t>
  </si>
  <si>
    <t>luhvieira991@gmail.com</t>
  </si>
  <si>
    <t>(91) 984929430</t>
  </si>
  <si>
    <t>LUCIANE CONCEIÇÃO PINTO DA SILVA</t>
  </si>
  <si>
    <t>luciane0104@gmail.com</t>
  </si>
  <si>
    <t>(91) 983034749</t>
  </si>
  <si>
    <t>mariajosesl1985@gmail.com</t>
  </si>
  <si>
    <t>(91) 989541825</t>
  </si>
  <si>
    <t>nataliaalencar029@gmail.com</t>
  </si>
  <si>
    <t>(91) 981906844</t>
  </si>
  <si>
    <t>raissaseabra961@gmail.com</t>
  </si>
  <si>
    <t>(91) 989434402</t>
  </si>
  <si>
    <t>RONISE LIMA AFLALO BATISTA</t>
  </si>
  <si>
    <t>roniselim@hotmail.com</t>
  </si>
  <si>
    <t>(91) 992008184</t>
  </si>
  <si>
    <t>ruanluismendes.2@gmail.com</t>
  </si>
  <si>
    <t>(91) 984636746</t>
  </si>
  <si>
    <t>admsanaraoliveira@gmail.com</t>
  </si>
  <si>
    <t>(91) 984275400</t>
  </si>
  <si>
    <t>thamara.ribeiro@icloud.com</t>
  </si>
  <si>
    <t>(91) 98032-8306</t>
  </si>
  <si>
    <t>thyffanysantos@outlook.com</t>
  </si>
  <si>
    <t>(91) 986141222</t>
  </si>
  <si>
    <t>telesyasmin16@gmail.com</t>
  </si>
  <si>
    <t>(91) 984227042</t>
  </si>
  <si>
    <t>Ana Beatriz Serpa de Freitas</t>
  </si>
  <si>
    <t>anabtriz.freitas@gmail.com</t>
  </si>
  <si>
    <t>(91) 984257183</t>
  </si>
  <si>
    <t>964 - UNAMA GENTIL</t>
  </si>
  <si>
    <t>Andresa Fernandes Pinheiro</t>
  </si>
  <si>
    <t>andresaf27@gmail.com</t>
  </si>
  <si>
    <t>(91) 99111-9254</t>
  </si>
  <si>
    <t>ednafap58@gmail.com</t>
  </si>
  <si>
    <t>(91) 98874-1391</t>
  </si>
  <si>
    <t>Ester Ribeiro Dos Santos</t>
  </si>
  <si>
    <t>ribeiroester.sto@gmail.com</t>
  </si>
  <si>
    <t>(91) 98960-9373</t>
  </si>
  <si>
    <t>Isaac Andreyson Vieira De Souza</t>
  </si>
  <si>
    <t>ivomisael443@gmail.com</t>
  </si>
  <si>
    <t>(91) 98463-2533</t>
  </si>
  <si>
    <t>Jessica vitória Diniz da Silva</t>
  </si>
  <si>
    <t>jessicadiniz480@gmail.com</t>
  </si>
  <si>
    <t>(91) 987541431</t>
  </si>
  <si>
    <t>João Gabriel Pereira Melo</t>
  </si>
  <si>
    <t>alertmoss958@gmail.com</t>
  </si>
  <si>
    <t>(91) 988846164</t>
  </si>
  <si>
    <t>João Víctor Trindade Silva</t>
  </si>
  <si>
    <t>jvt20020@gmail.com</t>
  </si>
  <si>
    <t>(91) 991326557</t>
  </si>
  <si>
    <t>Josiana Lamarão Dias Souza</t>
  </si>
  <si>
    <t>josildsouza@yahoo.com.br</t>
  </si>
  <si>
    <t>(91) 98369-5356</t>
  </si>
  <si>
    <t>Laís Melissa Teles da Fonseca</t>
  </si>
  <si>
    <t>laisfonsec@hotmail.com</t>
  </si>
  <si>
    <t>(91) 98762-2448</t>
  </si>
  <si>
    <t>Luis Felipe Faria dos Santos</t>
  </si>
  <si>
    <t>lfs95194@gmail.com</t>
  </si>
  <si>
    <t>(91) 99907-3999</t>
  </si>
  <si>
    <t>Marcelo Do Rosário E Souza</t>
  </si>
  <si>
    <t>marcelodorosario96@gmail.com</t>
  </si>
  <si>
    <t>(91) 980337359</t>
  </si>
  <si>
    <t>Marilene Da Silva Freitas</t>
  </si>
  <si>
    <t>lene.sfreitas@hotmail.com</t>
  </si>
  <si>
    <t>(91) 98030-9464</t>
  </si>
  <si>
    <t>Mayla De Fátima Dos Santos Brito</t>
  </si>
  <si>
    <t>may.dsb31@gmail.com</t>
  </si>
  <si>
    <t>(91) 98547-3959</t>
  </si>
  <si>
    <t>Nayara Mendonca Machado</t>
  </si>
  <si>
    <t>naymaxado@gmail.com</t>
  </si>
  <si>
    <t>(91) 98327-8563</t>
  </si>
  <si>
    <t>Queila de Sousa Peres</t>
  </si>
  <si>
    <t>perezqanna04@gmail.com</t>
  </si>
  <si>
    <t>(91) 988206665</t>
  </si>
  <si>
    <t>ronaldo23154@gmail.com</t>
  </si>
  <si>
    <t>(91) 988179844</t>
  </si>
  <si>
    <t>madsontsa@gmail.com</t>
  </si>
  <si>
    <t>(91) 98419-2614</t>
  </si>
  <si>
    <t>adriele.fernanda1995@gmail.com</t>
  </si>
  <si>
    <t>(91) 99335-1605</t>
  </si>
  <si>
    <t>Agricia Adrieth Pimenta Yoshino</t>
  </si>
  <si>
    <t>fisioagriciayoshino@gmail.com</t>
  </si>
  <si>
    <t>(91) 98187-9492</t>
  </si>
  <si>
    <t>PLANO PRIME BOOK</t>
  </si>
  <si>
    <t>ckleinlins@gmail.com</t>
  </si>
  <si>
    <t>(91) 98392-8108</t>
  </si>
  <si>
    <t>cleicem1982@gmail.com</t>
  </si>
  <si>
    <t>(91) 98314-1261</t>
  </si>
  <si>
    <t>daniellucass2000@gmail.com</t>
  </si>
  <si>
    <t>(91) 98607-2941</t>
  </si>
  <si>
    <t>georgedicarlo98@gmail.com</t>
  </si>
  <si>
    <t>(91) 986127893</t>
  </si>
  <si>
    <t>giantrindade@outlook.com.br</t>
  </si>
  <si>
    <t>(91) 981266416</t>
  </si>
  <si>
    <t>ianclaudio575@gmail.com</t>
  </si>
  <si>
    <t>(91) 98542-7733</t>
  </si>
  <si>
    <t>Layana Marry Gomes Dos Santos Penalber</t>
  </si>
  <si>
    <t>layanapenalber@gmail.com</t>
  </si>
  <si>
    <t>(91) 98324-7474</t>
  </si>
  <si>
    <t>Lucas Mateus de Almeida Amorim</t>
  </si>
  <si>
    <t>azeno299@gmail.com</t>
  </si>
  <si>
    <t>(91) 98605-2811</t>
  </si>
  <si>
    <t>luisasbraga.estu@gmail.com</t>
  </si>
  <si>
    <t>(91) 98976-5854</t>
  </si>
  <si>
    <t>socorrodiasprof@gmail.com</t>
  </si>
  <si>
    <t>(91) 98848-3771</t>
  </si>
  <si>
    <t>thallesmonteirobamdeira28@gmail.com</t>
  </si>
  <si>
    <t>(91) 98603-2937</t>
  </si>
  <si>
    <t>Tiago Afonso Vasconcelos De Souza</t>
  </si>
  <si>
    <t>tiagoafonso5789@gmail.com</t>
  </si>
  <si>
    <t>(91) 98548-6420</t>
  </si>
  <si>
    <t>denisebaia@hotmail.com</t>
  </si>
  <si>
    <t>(91) 98150-9920</t>
  </si>
  <si>
    <t>1084 - UNAMA PS</t>
  </si>
  <si>
    <t>allanmarvao77@hotmail.com</t>
  </si>
  <si>
    <t>(91) 98126-5140</t>
  </si>
  <si>
    <t>ANA CLARA DANTAS DE PINHO FURTADO</t>
  </si>
  <si>
    <t>anapinho.direito@gmail.com</t>
  </si>
  <si>
    <t>(91) 933009264</t>
  </si>
  <si>
    <t>No Estoque</t>
  </si>
  <si>
    <t>annaclaudiaaquino12@gmail.com</t>
  </si>
  <si>
    <t>(91) 998285566</t>
  </si>
  <si>
    <t>paulamedinoenf@gmail.com</t>
  </si>
  <si>
    <t>(91) 99191-3964</t>
  </si>
  <si>
    <t>andreiasantana450@gmail.com</t>
  </si>
  <si>
    <t>(91) 98422-2776</t>
  </si>
  <si>
    <t>vet.felizfurtado@gmail.com</t>
  </si>
  <si>
    <t>(91) 98415-0444</t>
  </si>
  <si>
    <t>Beatriz Corrêa Gomes</t>
  </si>
  <si>
    <t>biacggomes@gmail.com</t>
  </si>
  <si>
    <t>(91) 989141427</t>
  </si>
  <si>
    <t>Benedito Setuba Moura Junior</t>
  </si>
  <si>
    <t>983372436j@gmail.com</t>
  </si>
  <si>
    <t>(91) 985164393</t>
  </si>
  <si>
    <t>Camillo Matheus Campelo Matos Do Vale</t>
  </si>
  <si>
    <t>camillocampeloo@gmail.com</t>
  </si>
  <si>
    <t>cleitonoliveira2117@gmail.com</t>
  </si>
  <si>
    <t>(91) 98367-6572</t>
  </si>
  <si>
    <t>diosnemarlon@gmail.com</t>
  </si>
  <si>
    <t>(91) 99353-2987</t>
  </si>
  <si>
    <t>eusouomendes@gmail.com</t>
  </si>
  <si>
    <t>(91) 99237-6462</t>
  </si>
  <si>
    <t>nuayededemia@gmail.com</t>
  </si>
  <si>
    <t>(91) 98422-2335</t>
  </si>
  <si>
    <t>ELISANGELA MARIA SANTOS DA SILVA</t>
  </si>
  <si>
    <t>elismss@yahoo.com.br</t>
  </si>
  <si>
    <t>(91) 981172787</t>
  </si>
  <si>
    <t>emilyhillary8@gmail.com</t>
  </si>
  <si>
    <t>(91) 98123-6114</t>
  </si>
  <si>
    <t>Eslley Patrick Cardoso Pinto</t>
  </si>
  <si>
    <t>eslley.patrickk@gmail.com</t>
  </si>
  <si>
    <t>(91) 98184-5040</t>
  </si>
  <si>
    <t>PACOTE BALI</t>
  </si>
  <si>
    <t>evertonmoraes99@hotmail.com</t>
  </si>
  <si>
    <t>(91) 98228-3718</t>
  </si>
  <si>
    <t>Gyellen De Nazaré Rodrigues Matos</t>
  </si>
  <si>
    <t>gyellenmatos@gmail.com</t>
  </si>
  <si>
    <t>(91) 991282984</t>
  </si>
  <si>
    <t>ingrid592santos@gmail.com</t>
  </si>
  <si>
    <t>(91) 984057400</t>
  </si>
  <si>
    <t>jailsonamorim37@gmail.com</t>
  </si>
  <si>
    <t>(91) 98724-6685</t>
  </si>
  <si>
    <t>Cancelado</t>
  </si>
  <si>
    <t>Jessica Larissa Picanco</t>
  </si>
  <si>
    <t>feer.walendorff@gmail.com</t>
  </si>
  <si>
    <t>(91) 98535-3597</t>
  </si>
  <si>
    <t>José Felipe Pereira Lima</t>
  </si>
  <si>
    <t>jfelipe.lima@gmail.com</t>
  </si>
  <si>
    <t>(91) 98186-5469</t>
  </si>
  <si>
    <t>kaelembrito017@gmail.com</t>
  </si>
  <si>
    <t>(91) 99916-0156</t>
  </si>
  <si>
    <t>Larissa Helena Paes Pantoja</t>
  </si>
  <si>
    <t>larissahppantoja@outlook.com</t>
  </si>
  <si>
    <t>(94) 999796121</t>
  </si>
  <si>
    <t>Lauriene Karina Ramos Da Costa Ferreira</t>
  </si>
  <si>
    <t>lauriene_costaferreira@yahoo.com.br</t>
  </si>
  <si>
    <t>(91) 98171-0795</t>
  </si>
  <si>
    <t>laylasantt01@gmail.com</t>
  </si>
  <si>
    <t>(91) 98600-6626</t>
  </si>
  <si>
    <t>Pronto</t>
  </si>
  <si>
    <t>Leonardo Pereira Da Silva</t>
  </si>
  <si>
    <t>leonardopereira.direito@gmail.com</t>
  </si>
  <si>
    <t>(91) 98482-4920</t>
  </si>
  <si>
    <t>luskatnt@gmail.com</t>
  </si>
  <si>
    <t>(91) 99130-3533</t>
  </si>
  <si>
    <t>lumasachie@gmail.com</t>
  </si>
  <si>
    <t>(91) 98144-1714</t>
  </si>
  <si>
    <t>Pendente</t>
  </si>
  <si>
    <t>marianycardoso01@outlook.com</t>
  </si>
  <si>
    <t>(91) 98457-7179</t>
  </si>
  <si>
    <t>PLANO ESSENCIAL BOOK</t>
  </si>
  <si>
    <t>anaylane9@gmail.com</t>
  </si>
  <si>
    <t>(91) 98340-0450</t>
  </si>
  <si>
    <t>junior555fg@gmail.com</t>
  </si>
  <si>
    <t>(91) 98502-7623</t>
  </si>
  <si>
    <t>Taiça do Socorro Cunha Gonçalves</t>
  </si>
  <si>
    <t>taica.cunha@gmail.com</t>
  </si>
  <si>
    <t>(91) 98250-8983</t>
  </si>
  <si>
    <t>Vanessa da Silva Saldanha</t>
  </si>
  <si>
    <t>nessasaldanha2@gmail.com</t>
  </si>
  <si>
    <t>(91) 984147900</t>
  </si>
  <si>
    <t>vitmoura@icloud.com</t>
  </si>
  <si>
    <t>(93) 992173948</t>
  </si>
  <si>
    <t>anacastro33mont@hotmail.com</t>
  </si>
  <si>
    <t>(91) 983817908</t>
  </si>
  <si>
    <t>988 - COSMOPOLITA</t>
  </si>
  <si>
    <t>Aucilene do Socorro Menezes Guimarães Pinto</t>
  </si>
  <si>
    <t>aucilene.menezes23@gmail.com</t>
  </si>
  <si>
    <t>(91) 991271934</t>
  </si>
  <si>
    <t>carlos alberto do nascimento fonseca</t>
  </si>
  <si>
    <t>carlos_tmalberto@hotmail.com</t>
  </si>
  <si>
    <t>(91) 982892068</t>
  </si>
  <si>
    <t>ribeirodaniela876@gmail.com</t>
  </si>
  <si>
    <t>(91) 983584501</t>
  </si>
  <si>
    <t>Emilly Thaissa Da Silva André</t>
  </si>
  <si>
    <t>emillyandre1012@gmail.com</t>
  </si>
  <si>
    <t>(91) 984937297</t>
  </si>
  <si>
    <t>Erika Vaneza Costa da cruz Penelva</t>
  </si>
  <si>
    <t>erikapenelva@gmail.com</t>
  </si>
  <si>
    <t>(91) 99809-0600</t>
  </si>
  <si>
    <t>GABRIEL SILVA DA SILVA FEITOSA</t>
  </si>
  <si>
    <t>gabrielkouros29@gmail.com</t>
  </si>
  <si>
    <t>(91) 98606-1192</t>
  </si>
  <si>
    <t>Gysele Do Socorro Pimentel De Souza Machado</t>
  </si>
  <si>
    <t>gysele.alves@escola.seduc.pa.gov.br</t>
  </si>
  <si>
    <t>(91) 981963166</t>
  </si>
  <si>
    <t>iasminpinheiro9@gmail.com</t>
  </si>
  <si>
    <t>(91) 993041912</t>
  </si>
  <si>
    <t>isabelladaniel1103@gmail.com</t>
  </si>
  <si>
    <t>(91) 985007875</t>
  </si>
  <si>
    <t>vi.joao11@gmail.com</t>
  </si>
  <si>
    <t>(91) 983006427</t>
  </si>
  <si>
    <t>Maria Clara Ferreira Guimarães</t>
  </si>
  <si>
    <t>claritaferreira169@gmail.com</t>
  </si>
  <si>
    <t>(91) 988071218</t>
  </si>
  <si>
    <t>lala_lobato@yahoo.com.br</t>
  </si>
  <si>
    <t>(91) 982105265</t>
  </si>
  <si>
    <t>MAIS BOOK DIGITAL</t>
  </si>
  <si>
    <t>paulofisiow01@gmail.com</t>
  </si>
  <si>
    <t>(91) 982281587</t>
  </si>
  <si>
    <t>quadros_paulo@yahoo.com.br</t>
  </si>
  <si>
    <t>(91) 983774483</t>
  </si>
  <si>
    <t>pedro willian oliveira de carvalho</t>
  </si>
  <si>
    <t>pedrocarvalho3837@gmail.com</t>
  </si>
  <si>
    <t>(91) 99300-1154</t>
  </si>
  <si>
    <t>Sônia Larissa Estacio Amazonas</t>
  </si>
  <si>
    <t>larissaestacio@hotmail.com</t>
  </si>
  <si>
    <t>(91) 980439221</t>
  </si>
  <si>
    <t>suzianegoes84@gmail.com</t>
  </si>
  <si>
    <t>(91) 98035-2041</t>
  </si>
  <si>
    <t>Robson Cantão Gonçalves</t>
  </si>
  <si>
    <t>robsoncantao@yahoo.com.br</t>
  </si>
  <si>
    <t>(91) 980799467</t>
  </si>
  <si>
    <t>1019 - ESMAC</t>
  </si>
  <si>
    <t>deboramoraes733@gmail.com</t>
  </si>
  <si>
    <t>(91) 993148640</t>
  </si>
  <si>
    <t>karla beatriz melo garcia</t>
  </si>
  <si>
    <t>beatrizzgarcia1322@gmail.com</t>
  </si>
  <si>
    <t>(21) 976084734</t>
  </si>
  <si>
    <t>carvalho_elma@yahoo.com.br</t>
  </si>
  <si>
    <t>(91) 99110-1822</t>
  </si>
  <si>
    <t>Edilena Viana das Merces</t>
  </si>
  <si>
    <t>edilenaviana20@gmail.com</t>
  </si>
  <si>
    <t>(91) 985404412</t>
  </si>
  <si>
    <t>Cláudia Nazaré Silva Vieira</t>
  </si>
  <si>
    <t>ressoar@hotmail.com</t>
  </si>
  <si>
    <t>(91) 98127-3798</t>
  </si>
  <si>
    <t>dady.dantas@hotmail.com</t>
  </si>
  <si>
    <t>(91) 98238-8774</t>
  </si>
  <si>
    <t>endila.pantoja.ep@gmail.com</t>
  </si>
  <si>
    <t>(91) 985570775</t>
  </si>
  <si>
    <t>lucianecamilass@gmail.com</t>
  </si>
  <si>
    <t>(91) 985153939</t>
  </si>
  <si>
    <t>walteralmeidaxvii@gmail.com</t>
  </si>
  <si>
    <t>(91) 98966-2574</t>
  </si>
  <si>
    <t>Josiel das Neves Pinheiro</t>
  </si>
  <si>
    <t>josieljp16@gmail.com</t>
  </si>
  <si>
    <t>(96) 988294769</t>
  </si>
  <si>
    <t>emillyalcantara37@gmail.com</t>
  </si>
  <si>
    <t>(91) 98426-4558</t>
  </si>
  <si>
    <t>sdpatriciapinheiro@hotmail.com</t>
  </si>
  <si>
    <t>(91) 98481-1709</t>
  </si>
  <si>
    <t>simonesc05@yahoo.com.br</t>
  </si>
  <si>
    <t>(91) 99917-3011</t>
  </si>
  <si>
    <t>Erica Pereira da Silva</t>
  </si>
  <si>
    <t>ericaassispc@gmail.com</t>
  </si>
  <si>
    <t>(91) 988505857</t>
  </si>
  <si>
    <t>Gisele Barbosa Corrêa</t>
  </si>
  <si>
    <t>giselebcorrea21@gmail.com</t>
  </si>
  <si>
    <t>(91) 99244-2783</t>
  </si>
  <si>
    <t>marcela.patricia.correia21@gmail.com</t>
  </si>
  <si>
    <t>(92) 974002579</t>
  </si>
  <si>
    <t>1172 - MANAUS</t>
  </si>
  <si>
    <t>danielemendonca5@gmail.com</t>
  </si>
  <si>
    <t>(92) 984521211</t>
  </si>
  <si>
    <t>fernandesrobson193@gmail.com</t>
  </si>
  <si>
    <t>(92) 981721031</t>
  </si>
  <si>
    <t>thainaramarquess@outlook.com</t>
  </si>
  <si>
    <t>(92) 985506792</t>
  </si>
  <si>
    <t>lemos1307a@gmail.com</t>
  </si>
  <si>
    <t>(92) 984469866</t>
  </si>
  <si>
    <t>Em Produção</t>
  </si>
  <si>
    <t>ju.uninorte13@gmail.com</t>
  </si>
  <si>
    <t>(92) 988328220</t>
  </si>
  <si>
    <t>analuizabarreto887@gmail.com</t>
  </si>
  <si>
    <t>(92) 994462244</t>
  </si>
  <si>
    <t>cabomarcelosantos@gmail.com</t>
  </si>
  <si>
    <t>(92) 991925048</t>
  </si>
  <si>
    <t>edi_santos85@hotmail.com</t>
  </si>
  <si>
    <t>(92) 984006994</t>
  </si>
  <si>
    <t>victorssam1@gmail.com</t>
  </si>
  <si>
    <t>(92) 984520861</t>
  </si>
  <si>
    <t>carolinysouzasilva8@gmail.com</t>
  </si>
  <si>
    <t>(92) 99364-9602</t>
  </si>
  <si>
    <t>nanda.amoedo0707@gmail.com</t>
  </si>
  <si>
    <t>(92) 984062905</t>
  </si>
  <si>
    <t>eimenayenyvasco@gmail.com</t>
  </si>
  <si>
    <t>(92) 984350872</t>
  </si>
  <si>
    <t>Vitória Layandra Ferreira Guimarães</t>
  </si>
  <si>
    <t>fisiolayandra06@gmail.com</t>
  </si>
  <si>
    <t>(92) 98503-1593</t>
  </si>
  <si>
    <t>Lorena da Silva Nascimento</t>
  </si>
  <si>
    <t>lorenasilva.nasci@gmail.com</t>
  </si>
  <si>
    <t>(92) 98448-4522</t>
  </si>
  <si>
    <t>Thiago de Aguiar Barbosa</t>
  </si>
  <si>
    <t>thiagosesbarbosa@gmail.com</t>
  </si>
  <si>
    <t>(92) 984976688</t>
  </si>
  <si>
    <t>Maria Luzia De Lima Oliveira</t>
  </si>
  <si>
    <t>isadoramaria2030luh@icloud.com</t>
  </si>
  <si>
    <t>(97) 991989765</t>
  </si>
  <si>
    <t>julyanabrenda27@gmail.com</t>
  </si>
  <si>
    <t>(92) 993104473</t>
  </si>
  <si>
    <t>shamylapaula75@gmail.com</t>
  </si>
  <si>
    <t>(92) 984046523</t>
  </si>
  <si>
    <t>vviniciusafonso@hotmail.com</t>
  </si>
  <si>
    <t>(92) 98521-3375</t>
  </si>
  <si>
    <t>kaline pereira leao</t>
  </si>
  <si>
    <t>Kalineleao0305@gmail.com</t>
  </si>
  <si>
    <t>(97) 991566757</t>
  </si>
  <si>
    <t>alessandrobatista.lira@gmail.com</t>
  </si>
  <si>
    <t>(92) 994630073</t>
  </si>
  <si>
    <t>Diana Nascimento Da Silva</t>
  </si>
  <si>
    <t>dhysilva371@gmail.com</t>
  </si>
  <si>
    <t>(92) 993641184</t>
  </si>
  <si>
    <t>fcavalcantev@gmail.com</t>
  </si>
  <si>
    <t>(92) 993208154</t>
  </si>
  <si>
    <t>Adriana Matos Da Silva</t>
  </si>
  <si>
    <t>adryanamatosx3@gmail.com</t>
  </si>
  <si>
    <t>(92) 981175478</t>
  </si>
  <si>
    <t>marianasales018@gmail.comm</t>
  </si>
  <si>
    <t>mariamhsp15@gmail.com</t>
  </si>
  <si>
    <t>(92) 995135529</t>
  </si>
  <si>
    <t>Taise Simão Dias</t>
  </si>
  <si>
    <t>taisediassimao@icloud.com</t>
  </si>
  <si>
    <t>(92) 98517-0519</t>
  </si>
  <si>
    <t>aline mayra amaral</t>
  </si>
  <si>
    <t>alinemayra31@gmail.com</t>
  </si>
  <si>
    <t>(92) 98640-8178</t>
  </si>
  <si>
    <t>amandacaldasd3@gmail.com</t>
  </si>
  <si>
    <t>(92) 99255-3539</t>
  </si>
  <si>
    <t>Railson Henrique Sarrazim Eliziario</t>
  </si>
  <si>
    <t>railson_sarrazim@hotmail.com</t>
  </si>
  <si>
    <t>(92) 994037638</t>
  </si>
  <si>
    <t>luiz fernando oliveira cardenes</t>
  </si>
  <si>
    <t>luizfernandooliveiracardenes@gmail.com</t>
  </si>
  <si>
    <t>(92) 984643854</t>
  </si>
  <si>
    <t>thainacoimbra.ss@gmail.com</t>
  </si>
  <si>
    <t>(92) 993041051</t>
  </si>
  <si>
    <t>Cristiellem Veras Fiêsca</t>
  </si>
  <si>
    <t>tielly.veras5@gmail.com</t>
  </si>
  <si>
    <t>albuquerqueluisandre@gmail.com</t>
  </si>
  <si>
    <t>(92) 981459889</t>
  </si>
  <si>
    <t>Jonilton Carvalho Silva</t>
  </si>
  <si>
    <t>joniltoncarvalhosilva@gmail.com</t>
  </si>
  <si>
    <t>(92) 994854791</t>
  </si>
  <si>
    <t>victorlopesff@icloud.com</t>
  </si>
  <si>
    <t>(92) 985089691</t>
  </si>
  <si>
    <t>vaninhafragoso@gmail.com</t>
  </si>
  <si>
    <t>(92) 99303-5443</t>
  </si>
  <si>
    <t>Alvessantos.holiver@gmail.com</t>
  </si>
  <si>
    <t>(92) 984783324</t>
  </si>
  <si>
    <t>andre.zimmer.lrc@gmail.com</t>
  </si>
  <si>
    <t>(92) 991385550</t>
  </si>
  <si>
    <t>willamescastro9@gmail.com</t>
  </si>
  <si>
    <t>(92) 982366454</t>
  </si>
  <si>
    <t>Richard Perez Pereira</t>
  </si>
  <si>
    <t>richardpere913@gmail.com</t>
  </si>
  <si>
    <t>(92) 986036361</t>
  </si>
  <si>
    <t>Andrelyssa Suellen De Lima Almeida</t>
  </si>
  <si>
    <t>suellen.almeidavf@gmail.com</t>
  </si>
  <si>
    <t>(92) 994770395</t>
  </si>
  <si>
    <t>pedroifnavegante33@gmail.com</t>
  </si>
  <si>
    <t>(92) 981636390</t>
  </si>
  <si>
    <t>maiaisabela256@gmail.com</t>
  </si>
  <si>
    <t>(92) 99113-5838</t>
  </si>
  <si>
    <t>maxdesouza.s21@gmail.com</t>
  </si>
  <si>
    <t>(92) 98171-0799</t>
  </si>
  <si>
    <t>Luanda Damasceno Costa</t>
  </si>
  <si>
    <t>luandadamasceno49@gmail.com</t>
  </si>
  <si>
    <t>(92) 994914155</t>
  </si>
  <si>
    <t>marcia rafaelen barbosa dos santos</t>
  </si>
  <si>
    <t>marciarbsantos17@gmail.com</t>
  </si>
  <si>
    <t>(92) 99153-3151</t>
  </si>
  <si>
    <t>Emelly Geovana Oliveira Da Silva</t>
  </si>
  <si>
    <t>emellygeo0510@gmail.com</t>
  </si>
  <si>
    <t>(92) 992497031</t>
  </si>
  <si>
    <t>pandorasilva1617@gmail.com</t>
  </si>
  <si>
    <t>kellycosta.lg@gmail.com</t>
  </si>
  <si>
    <t>(92) 981983450</t>
  </si>
  <si>
    <t>Moisés Da Costa Santos</t>
  </si>
  <si>
    <t>moise-santos@hotmail.com</t>
  </si>
  <si>
    <t>(92) 99335-8420</t>
  </si>
  <si>
    <t>DENISON CARVALHO COUTINHO</t>
  </si>
  <si>
    <t>carvalhocoutinhod@gmail.com</t>
  </si>
  <si>
    <t>(92) 982647948</t>
  </si>
  <si>
    <t>Deusnágila Da Silveira Moura</t>
  </si>
  <si>
    <t>deusnagilamoura@gmail.com</t>
  </si>
  <si>
    <t>(92) 995373366</t>
  </si>
  <si>
    <t>maysaalmeida242@gmail.com</t>
  </si>
  <si>
    <t>(92) 994744135</t>
  </si>
  <si>
    <t>Joice Costa Dos Santos</t>
  </si>
  <si>
    <t>joycesanttos.js6@gmail.com</t>
  </si>
  <si>
    <t>(92) 988487325</t>
  </si>
  <si>
    <t>kamila.kubo93@gmail.com</t>
  </si>
  <si>
    <t>(92) 98108-7639</t>
  </si>
  <si>
    <t>kallyny.mousinho12@gmail.com</t>
  </si>
  <si>
    <t>(92) 991212589</t>
  </si>
  <si>
    <t>Alessandra Amaral Machado Souza</t>
  </si>
  <si>
    <t>alessandraamaralmachado@hotmail.com</t>
  </si>
  <si>
    <t>(92) 98134-0779</t>
  </si>
  <si>
    <t>kaylannegs3@gmail.com</t>
  </si>
  <si>
    <t>(92) 981479213</t>
  </si>
  <si>
    <t>mmagilania13@gmail.com</t>
  </si>
  <si>
    <t>(92) 981215629</t>
  </si>
  <si>
    <t>campos07lorena@gmail.com</t>
  </si>
  <si>
    <t>(92) 984493440</t>
  </si>
  <si>
    <t>helenalbuquerque1@gmail.com</t>
  </si>
  <si>
    <t>(92) 993141389</t>
  </si>
  <si>
    <t>taisacosta.am@gmail.com</t>
  </si>
  <si>
    <t>(92) 98418-5355</t>
  </si>
  <si>
    <t>brunamarcelly439@gmail.com</t>
  </si>
  <si>
    <t>(92) 982509239</t>
  </si>
  <si>
    <t>wanessalira02@gmail.com</t>
  </si>
  <si>
    <t>(92) 993011120</t>
  </si>
  <si>
    <t>leomaciel864@gmail.com</t>
  </si>
  <si>
    <t>(92) 984978879</t>
  </si>
  <si>
    <t>marceli.bsr@gmail.com</t>
  </si>
  <si>
    <t>(92) 92429536</t>
  </si>
  <si>
    <t>ruthcosta0902@gmail.com</t>
  </si>
  <si>
    <t>(92) 981912428</t>
  </si>
  <si>
    <t>Paulo Victor Freitas Pereira</t>
  </si>
  <si>
    <t>pvictorpereira99@gmail.com</t>
  </si>
  <si>
    <t>(92) 992556425</t>
  </si>
  <si>
    <t>gabrieldm123.gdm@gmail.com</t>
  </si>
  <si>
    <t>(92) 98839-8100</t>
  </si>
  <si>
    <t>Luiz Kennedy Cavalcante Cortez</t>
  </si>
  <si>
    <t>lukenbr@gmail.com</t>
  </si>
  <si>
    <t>(92) 99484-3796</t>
  </si>
  <si>
    <t>daise_isa@hotmail.com</t>
  </si>
  <si>
    <t>(92) 981290715</t>
  </si>
  <si>
    <t>rodrigo da silva rocha</t>
  </si>
  <si>
    <t>rodrigorocha1617@gmail.com</t>
  </si>
  <si>
    <t>(92) 995187963</t>
  </si>
  <si>
    <t>Maria Clara Diniz Urias de Vasconcelos Lima</t>
  </si>
  <si>
    <t>mmclaraurias@gmail.com</t>
  </si>
  <si>
    <t>(92) 988545714</t>
  </si>
  <si>
    <t>Deborah Marselle Ribeiro Pantoja</t>
  </si>
  <si>
    <t>deborahmrpantoja@gmail.com</t>
  </si>
  <si>
    <t>(92) 992327004</t>
  </si>
  <si>
    <t>vermanaus@yahoo.com.br</t>
  </si>
  <si>
    <t>(92) 99171-7441</t>
  </si>
  <si>
    <t>Beatriz De Souza Barauna</t>
  </si>
  <si>
    <t>beatrizbarauna99@gmail.com</t>
  </si>
  <si>
    <t>(92) 99426-0768</t>
  </si>
  <si>
    <t>mellissa_pannielli@hotmail.com</t>
  </si>
  <si>
    <t>(92) 981799126</t>
  </si>
  <si>
    <t>Ana Maria Ribeiro Andrade</t>
  </si>
  <si>
    <t>anamaria04.ra03@gmail.com</t>
  </si>
  <si>
    <t>(92) 993292428</t>
  </si>
  <si>
    <t>neuciene augusta da silva</t>
  </si>
  <si>
    <t>neuaugusta@gmail.com</t>
  </si>
  <si>
    <t>(92) 984590692</t>
  </si>
  <si>
    <t>gabrielpessoa1102@gmail.com</t>
  </si>
  <si>
    <t>(92) 981820753</t>
  </si>
  <si>
    <t>biancapereiradesouza24@gmail.com</t>
  </si>
  <si>
    <t>(92) 99243-9820</t>
  </si>
  <si>
    <t>andreialena700@gmail.com</t>
  </si>
  <si>
    <t>(92) 981993494</t>
  </si>
  <si>
    <t>camily.anjos24@gmail.com</t>
  </si>
  <si>
    <t>(92) 984076229</t>
  </si>
  <si>
    <t>FERNANDO RIBEIRO DO NASCIMENTO</t>
  </si>
  <si>
    <t>fnascimento.contabil@gmail.com</t>
  </si>
  <si>
    <t>(92) 994762348</t>
  </si>
  <si>
    <t>Luciana Barreto De Mendonça Carlos</t>
  </si>
  <si>
    <t>lucianabmc9@gmail.com</t>
  </si>
  <si>
    <t>(92) 985993030</t>
  </si>
  <si>
    <t>Fernando Da Mota Souza</t>
  </si>
  <si>
    <t>fernando_motasouza@hotmail.com</t>
  </si>
  <si>
    <t>(92) 985964369</t>
  </si>
  <si>
    <t>Rebeca de Souza Lopes</t>
  </si>
  <si>
    <t>rebecalopesfamily311@gmail.com</t>
  </si>
  <si>
    <t>(92) 995018070</t>
  </si>
  <si>
    <t>Josilane Pessoa Damião</t>
  </si>
  <si>
    <t>josilanemissanori2018@gmail.com</t>
  </si>
  <si>
    <t>(97) 991695581</t>
  </si>
  <si>
    <t>trinitidelvalecc@gmail.com</t>
  </si>
  <si>
    <t>(92) 984783460</t>
  </si>
  <si>
    <t>emerr.castro@gmail.com</t>
  </si>
  <si>
    <t>(92) 999065247</t>
  </si>
  <si>
    <t>luiztomazcontato04@gmail.com</t>
  </si>
  <si>
    <t>(92) 984525901</t>
  </si>
  <si>
    <t>gabriel araujo cavalcante</t>
  </si>
  <si>
    <t>gabriel.araujo.2003.2003@gmail.com</t>
  </si>
  <si>
    <t>Mariany Tavares Soares</t>
  </si>
  <si>
    <t>marianytavares29@gmail.com</t>
  </si>
  <si>
    <t>(92) 982013553</t>
  </si>
  <si>
    <t>Eva Vilma Braga Brandão</t>
  </si>
  <si>
    <t>evabraga452418@gmail.com</t>
  </si>
  <si>
    <t>(92) 98446-7382</t>
  </si>
  <si>
    <t>cmsdayanamendes@gmail.com</t>
  </si>
  <si>
    <t>(92) 981714422</t>
  </si>
  <si>
    <t>wallace.lion123@gmail.com</t>
  </si>
  <si>
    <t>(92) 994363612</t>
  </si>
  <si>
    <t>ana.sfarias15@gmail.com</t>
  </si>
  <si>
    <t>(92) 994353541</t>
  </si>
  <si>
    <t>Yhury Farnney do Nascimento Pereira</t>
  </si>
  <si>
    <t>yhuryfarney22@gmail.com</t>
  </si>
  <si>
    <t>(97) 98422-1372</t>
  </si>
  <si>
    <t>Thaís Kelly Campos Brito</t>
  </si>
  <si>
    <t>thaaais.jonathas2017@gmail.com</t>
  </si>
  <si>
    <t>(92) 992437379</t>
  </si>
  <si>
    <t>Hemmily Victoria De Almeida Costa</t>
  </si>
  <si>
    <t>victoriafacul12@gmail.com</t>
  </si>
  <si>
    <t>(92) 985884947</t>
  </si>
  <si>
    <t>Jane Kelly Pinheiro De Moura</t>
  </si>
  <si>
    <t>janekellymoura2003@gmail.com</t>
  </si>
  <si>
    <t>(92) 99175-1694</t>
  </si>
  <si>
    <t>alice.gabriely77@gmail.com</t>
  </si>
  <si>
    <t>(92) 994055757</t>
  </si>
  <si>
    <t>Raiza Vasconcelos De Lima</t>
  </si>
  <si>
    <t>contatoraizavasconcelos@gmail.com</t>
  </si>
  <si>
    <t>(92) 99487-5471</t>
  </si>
  <si>
    <t>macielligia921@gmail.com</t>
  </si>
  <si>
    <t>(92) 984004218</t>
  </si>
  <si>
    <t>Mônica Cordeiro Pereira</t>
  </si>
  <si>
    <t>monica.cordeiro.pereira@gmail.com</t>
  </si>
  <si>
    <t>(92) 99984-7402</t>
  </si>
  <si>
    <t>isaqueidf@hotmail.com</t>
  </si>
  <si>
    <t>(92) 999075348</t>
  </si>
  <si>
    <t>thayane.paiva2005@gmail.comt</t>
  </si>
  <si>
    <t>(92) 985121069</t>
  </si>
  <si>
    <t>fernandalarais9405@gmail.com</t>
  </si>
  <si>
    <t>(92) 992131143</t>
  </si>
  <si>
    <t>iagocarvalho1975@gmail.com</t>
  </si>
  <si>
    <t>(62) 982093700</t>
  </si>
  <si>
    <t>isabellydasilvaoliveira@gmail.com</t>
  </si>
  <si>
    <t>(92) 999914059</t>
  </si>
  <si>
    <t>regina.rubia@gmail.com</t>
  </si>
  <si>
    <t>(92) 991329655</t>
  </si>
  <si>
    <t>Sabrina De Aquino Carril</t>
  </si>
  <si>
    <t>sabrina.carril17@gmail.com</t>
  </si>
  <si>
    <t>hugolopes2334@gmail.com</t>
  </si>
  <si>
    <t>(92) 98635-0461</t>
  </si>
  <si>
    <t>gabriel lucas</t>
  </si>
  <si>
    <t>gabriellucascorreia224@gmail.com</t>
  </si>
  <si>
    <t>(92) 99267-9730</t>
  </si>
  <si>
    <t>thiagotjjunho@gmail.com</t>
  </si>
  <si>
    <t>(92) 995357897</t>
  </si>
  <si>
    <t>Paulo Ricardo Damião Lima</t>
  </si>
  <si>
    <t>ezy.lima.3333@gmail.com</t>
  </si>
  <si>
    <t>(92) 98130-0953</t>
  </si>
  <si>
    <t>mloudresmacedo@gmail.com</t>
  </si>
  <si>
    <t>(92) 992722763</t>
  </si>
  <si>
    <t>Brayan Manuel Sabino Buriel</t>
  </si>
  <si>
    <t>brayansabino11@gmail.com</t>
  </si>
  <si>
    <t>(92) 988542588</t>
  </si>
  <si>
    <t>Cristina Mateus Sanchez</t>
  </si>
  <si>
    <t>tina.sanchez2806@gmail.com</t>
  </si>
  <si>
    <t>(92) 99993110</t>
  </si>
  <si>
    <t>Geovanna Cristine de Souza Soares</t>
  </si>
  <si>
    <t>geovanna.aghata@gmail.com</t>
  </si>
  <si>
    <t>(92) 984032198</t>
  </si>
  <si>
    <t>Thalissa Rocha Santos</t>
  </si>
  <si>
    <t>thalissa.rocha.m@outlook.com</t>
  </si>
  <si>
    <t>(92) 992276467</t>
  </si>
  <si>
    <t>Raquel Victória Silva Bezerra</t>
  </si>
  <si>
    <t>raquelvictoriasilva20@gmail.com</t>
  </si>
  <si>
    <t>(92) 993448935</t>
  </si>
  <si>
    <t>Rodrigo Icaro Da Silva Cunha</t>
  </si>
  <si>
    <t>rodrigo.icaro13@gmail.com</t>
  </si>
  <si>
    <t>(92) 99411-4122</t>
  </si>
  <si>
    <t>Vitor Costa Melo</t>
  </si>
  <si>
    <t>vitor_costa_melo@hotmail.com</t>
  </si>
  <si>
    <t>(92) 996180773</t>
  </si>
  <si>
    <t>weldermaia62@gmail.com</t>
  </si>
  <si>
    <t>(92) 981287308</t>
  </si>
  <si>
    <t>mayhenaye25@gmail.com</t>
  </si>
  <si>
    <t>(92) 994188221</t>
  </si>
  <si>
    <t>muriloemanuel47@gmail.com</t>
  </si>
  <si>
    <t>(92) 982507465</t>
  </si>
  <si>
    <t>slucepatricia@gmail.com</t>
  </si>
  <si>
    <t>(92) 994798025</t>
  </si>
  <si>
    <t>Aleani Cavalcante Freitas</t>
  </si>
  <si>
    <t>aleanerrcavalcante@gmail.com</t>
  </si>
  <si>
    <t>(92) 992479561</t>
  </si>
  <si>
    <t>rosana.lindinha17@hotmail.com</t>
  </si>
  <si>
    <t>(92) 993901197</t>
  </si>
  <si>
    <t>Raul Macêdo De Sena Neto</t>
  </si>
  <si>
    <t>raulneto213@gmail.com</t>
  </si>
  <si>
    <t>(92) 993100355</t>
  </si>
  <si>
    <t>Déborah Mesquita Amorin</t>
  </si>
  <si>
    <t>dm08885@gmail.com</t>
  </si>
  <si>
    <t>(92) 98588-4886</t>
  </si>
  <si>
    <t>rcbajunior@hotmail.com</t>
  </si>
  <si>
    <t>(92) 984170242</t>
  </si>
  <si>
    <t>fernandoinglesson1300@gmail.com</t>
  </si>
  <si>
    <t>(92) 995367382</t>
  </si>
  <si>
    <t>Francisca Luciene Da Silva Ferreira</t>
  </si>
  <si>
    <t>francisca.ferreira36@hotmail.com</t>
  </si>
  <si>
    <t>(92) 991941825</t>
  </si>
  <si>
    <t>milanobre99@gmail.com</t>
  </si>
  <si>
    <t>(92) 99296-8680</t>
  </si>
  <si>
    <t>marcelo.dspmao@gmail.com</t>
  </si>
  <si>
    <t>(90) 984225627</t>
  </si>
  <si>
    <t>thaynasoares36@gmail.com</t>
  </si>
  <si>
    <t>(92) 993509029</t>
  </si>
  <si>
    <t>gabriela rocha bezerra</t>
  </si>
  <si>
    <t>agapegabriela@gmail.com</t>
  </si>
  <si>
    <t>(92) 98404-3097</t>
  </si>
  <si>
    <t>andradejamilly45@gmail.com</t>
  </si>
  <si>
    <t>(92) 993820990</t>
  </si>
  <si>
    <t>dantonpereira508@gmail.com</t>
  </si>
  <si>
    <t>(92) 981289092</t>
  </si>
  <si>
    <t>Alciziane Torres De Oliveira</t>
  </si>
  <si>
    <t>alcizianeoliveira@gmail.com</t>
  </si>
  <si>
    <t>(92) 98430-7245</t>
  </si>
  <si>
    <t>carolmourar@outlook.com</t>
  </si>
  <si>
    <t>(92) 994105474</t>
  </si>
  <si>
    <t>Etiene Guedes Moreira</t>
  </si>
  <si>
    <t>etieneguedes92@gmail.com</t>
  </si>
  <si>
    <t>(92) 985089340</t>
  </si>
  <si>
    <t>paulaalves4763@gmail.com</t>
  </si>
  <si>
    <t>(41) 991427454</t>
  </si>
  <si>
    <t>julio.iza.100@gmail.com</t>
  </si>
  <si>
    <t>(92) 988543587</t>
  </si>
  <si>
    <t>Samuel Souza Dos Santos</t>
  </si>
  <si>
    <t>samuelsouzadossantos7@gmail.com</t>
  </si>
  <si>
    <t>(92) 98516-3392</t>
  </si>
  <si>
    <t>Victor Hanniery Gomes Freire</t>
  </si>
  <si>
    <t>victorhanni3006@gmail.com</t>
  </si>
  <si>
    <t>(92) 981246788</t>
  </si>
  <si>
    <t>Cassia Valeria Valentim Correa</t>
  </si>
  <si>
    <t>cassiavalentim1@gmail.com</t>
  </si>
  <si>
    <t>(92) 992928790</t>
  </si>
  <si>
    <t>amandagilsos@outlook.com</t>
  </si>
  <si>
    <t>(92) 984069711</t>
  </si>
  <si>
    <t>juniorfilho366@gmail.com</t>
  </si>
  <si>
    <t>(92) 981309544</t>
  </si>
  <si>
    <t>naiararamos10@hotmail.com</t>
  </si>
  <si>
    <t>(92) 988287032</t>
  </si>
  <si>
    <t>ismael.lira070@gmail.com</t>
  </si>
  <si>
    <t>(92) 994566521</t>
  </si>
  <si>
    <t>inae16lais@gmail.com</t>
  </si>
  <si>
    <t>(92) 984782964</t>
  </si>
  <si>
    <t>lohananogueira.200348@gmail.com</t>
  </si>
  <si>
    <t>(92) 985392699</t>
  </si>
  <si>
    <t>Claudia Farias De Oliveira</t>
  </si>
  <si>
    <t>claudia_lgeaz@hotmail.com</t>
  </si>
  <si>
    <t>(92) 993866985</t>
  </si>
  <si>
    <t>Esley Cavalcante Dos Santos</t>
  </si>
  <si>
    <t>esleycavalcante@gmail.com</t>
  </si>
  <si>
    <t>(92) 984510649</t>
  </si>
  <si>
    <t>jvantunes11@gmail.com</t>
  </si>
  <si>
    <t>(92) 999697933</t>
  </si>
  <si>
    <t>cleizyvitoria27@gmail.com</t>
  </si>
  <si>
    <t>(92) 994004552</t>
  </si>
  <si>
    <t>hernanefs@gmail.com</t>
  </si>
  <si>
    <t>Rafael Monteiro Lopes</t>
  </si>
  <si>
    <t>ytrafaelmonteiro@gmail.com</t>
  </si>
  <si>
    <t>(92) 991312175</t>
  </si>
  <si>
    <t>leticiacassiatavares18@gmail.com</t>
  </si>
  <si>
    <t>(93) 992323842</t>
  </si>
  <si>
    <t>ju.dsoli25@gmail.com</t>
  </si>
  <si>
    <t>(92) 982348692</t>
  </si>
  <si>
    <t>karlla14.ko@gmail.com</t>
  </si>
  <si>
    <t>(93) 991909434</t>
  </si>
  <si>
    <t>nathycdemiranda@gmail.com</t>
  </si>
  <si>
    <t>(91) 99809-7413</t>
  </si>
  <si>
    <t>994 - UNAMA ANANINDEUA</t>
  </si>
  <si>
    <t>Aline Taynara Morais elmescany</t>
  </si>
  <si>
    <t>elmescanyaline11@gmail.com</t>
  </si>
  <si>
    <t>(91) 984052326</t>
  </si>
  <si>
    <t>Beatriz Corrêa Da Silva De Souza</t>
  </si>
  <si>
    <t>beatriz.bec23@gmail.com</t>
  </si>
  <si>
    <t>(91) 99177-0013</t>
  </si>
  <si>
    <t>Chayna maria Beserra Machado</t>
  </si>
  <si>
    <t>chaynamaria6@gmail.com</t>
  </si>
  <si>
    <t>(91) 984499975</t>
  </si>
  <si>
    <t>Dircelia Brandão De Lima</t>
  </si>
  <si>
    <t>dircelia.brandao@hotmail.com</t>
  </si>
  <si>
    <t>(91) 98978-4639</t>
  </si>
  <si>
    <t>Elizabeth Hellen Avelar de Oliveira Melo</t>
  </si>
  <si>
    <t>elizaavelarfarma@gmail.com</t>
  </si>
  <si>
    <t>(91) 980330194</t>
  </si>
  <si>
    <t>Gilmara Barroso Gonçalves</t>
  </si>
  <si>
    <t>barrosoestudante@gmail.com</t>
  </si>
  <si>
    <t>(91) 993713078</t>
  </si>
  <si>
    <t>JUCILEA PEREIRA CAVALCANTE</t>
  </si>
  <si>
    <t>juceleacavalcante@gmail.com</t>
  </si>
  <si>
    <t>(91) 98125-4523</t>
  </si>
  <si>
    <t>Karen Thays Da Silva Sampaio</t>
  </si>
  <si>
    <t>sampaiokaren90@gmail.com</t>
  </si>
  <si>
    <t>(91) 98298-8119</t>
  </si>
  <si>
    <t>Karina Kifny Pereira Pinheiro</t>
  </si>
  <si>
    <t>karinakifny@hotmail.com</t>
  </si>
  <si>
    <t>(91) 989483236</t>
  </si>
  <si>
    <t>Maria Efigenia Gomes Iglesias</t>
  </si>
  <si>
    <t>maryeugene2009@hotmail.com</t>
  </si>
  <si>
    <t>(91) 981100466</t>
  </si>
  <si>
    <t>Rayanny De Araujo Da Silva</t>
  </si>
  <si>
    <t>rayanny.araujo18@gmail.com</t>
  </si>
  <si>
    <t>(91) 99192-1715</t>
  </si>
  <si>
    <t>Rosângela Coimbra Souza</t>
  </si>
  <si>
    <t>rcoimbra794@gmail.com</t>
  </si>
  <si>
    <t>(91) 993137490</t>
  </si>
  <si>
    <t>ruangabrielbarros596@gmail.com</t>
  </si>
  <si>
    <t>(91) 98341-3037</t>
  </si>
  <si>
    <t>Thaís Melo Amaral</t>
  </si>
  <si>
    <t>thaisamaral95m@gmail.com</t>
  </si>
  <si>
    <t>(91) 985353423</t>
  </si>
  <si>
    <t>Victoria Dos Santos Sardinha</t>
  </si>
  <si>
    <t>viccsardinha@gmail.com</t>
  </si>
  <si>
    <t>(91) 980926023</t>
  </si>
  <si>
    <t>Vinícius Sanches Assunção</t>
  </si>
  <si>
    <t>vsanches88@gmail.com</t>
  </si>
  <si>
    <t>(91) 993546693</t>
  </si>
  <si>
    <t>Wellington Vinicius Souto Tavares Gouvea</t>
  </si>
  <si>
    <t>wellingtonviniciusgouvea@gmail.com</t>
  </si>
  <si>
    <t>(91) 983004844</t>
  </si>
  <si>
    <t>Wilksan Soares De Souza</t>
  </si>
  <si>
    <t>soareswilksan@gmail.com</t>
  </si>
  <si>
    <t>(91) 98900-0846</t>
  </si>
  <si>
    <t>Yrlan Arnaud Dos Santos</t>
  </si>
  <si>
    <t>yrlansantos30@gmail.com</t>
  </si>
  <si>
    <t>(91) 99294-0617</t>
  </si>
  <si>
    <t>ENVIADO</t>
  </si>
  <si>
    <t>dine19nascimento@yahoo.com.br</t>
  </si>
  <si>
    <t>(91) 982885748</t>
  </si>
  <si>
    <t>ferreirabetty158@gmail.com</t>
  </si>
  <si>
    <t>(91) 92907578</t>
  </si>
  <si>
    <t>enviado</t>
  </si>
  <si>
    <t>debora.mendes192021@gmail.com</t>
  </si>
  <si>
    <t>(91) 984554967</t>
  </si>
  <si>
    <t>diffilacamily@gmail.comd</t>
  </si>
  <si>
    <t>(91) 98733-9304</t>
  </si>
  <si>
    <t>Elenice Da Silva Santos Cruz</t>
  </si>
  <si>
    <t>ellennicesanttos@gmail.com</t>
  </si>
  <si>
    <t>(91) 982481378</t>
  </si>
  <si>
    <t>emillygama360@gmail.com</t>
  </si>
  <si>
    <t>(91) 99260-6910</t>
  </si>
  <si>
    <t>esthermjgomes@gmail.com</t>
  </si>
  <si>
    <t>(91) 982120884</t>
  </si>
  <si>
    <t>flaviagabriellydasilvaoliveira@gmail.com</t>
  </si>
  <si>
    <t>(91) 996288311</t>
  </si>
  <si>
    <t>geicianelaysa12@gmail.com</t>
  </si>
  <si>
    <t>(91) 982603399</t>
  </si>
  <si>
    <t>geovannapaulino34@gmail.com</t>
  </si>
  <si>
    <t>(91) 98403-4461</t>
  </si>
  <si>
    <t>geudivana22@gmail.com</t>
  </si>
  <si>
    <t>(91) 98148-0999</t>
  </si>
  <si>
    <t>guimaraesgildenia@gmail.com</t>
  </si>
  <si>
    <t>(91) 98911-2950</t>
  </si>
  <si>
    <t>henriquebarros692@gmail.com</t>
  </si>
  <si>
    <t>(91) 98541-8812</t>
  </si>
  <si>
    <t>Henrique Brito da Silva</t>
  </si>
  <si>
    <t>henrique-silva16@outlook.com</t>
  </si>
  <si>
    <t>(91) 981739926</t>
  </si>
  <si>
    <t>dias.jadylla@gmail.com</t>
  </si>
  <si>
    <t>(91) 985806918</t>
  </si>
  <si>
    <t>Jaqueline Bizerra De Assis</t>
  </si>
  <si>
    <t>jakiletras@gmail.com</t>
  </si>
  <si>
    <t>(91) 99139-0965</t>
  </si>
  <si>
    <t>jessicamk672@gmail.com.br</t>
  </si>
  <si>
    <t>(91) 998152203</t>
  </si>
  <si>
    <t>jjjoaoantoniosantos103@gmail.com</t>
  </si>
  <si>
    <t>(91) 98873-8531</t>
  </si>
  <si>
    <t>joreiz@outlook.com</t>
  </si>
  <si>
    <t>(91) 98513-9283</t>
  </si>
  <si>
    <t>karolaynecristina802@gmail.com</t>
  </si>
  <si>
    <t>(91) 983083409</t>
  </si>
  <si>
    <t>laysebc2104@gmail.com</t>
  </si>
  <si>
    <t>(91) 991519905</t>
  </si>
  <si>
    <t>disantana893@gmail.com</t>
  </si>
  <si>
    <t>(91) 992070894</t>
  </si>
  <si>
    <t>luana.fragab@gmail.com</t>
  </si>
  <si>
    <t>(91) 985725213</t>
  </si>
  <si>
    <t>marcelaferreira2206@gmail.com</t>
  </si>
  <si>
    <t>(91) 991191806</t>
  </si>
  <si>
    <t>marcoaraujo1245@gmail.com</t>
  </si>
  <si>
    <t>(91) 98703-7960</t>
  </si>
  <si>
    <t>michelledrimoraes@gmail.com</t>
  </si>
  <si>
    <t>(91) 98173-9146</t>
  </si>
  <si>
    <t>morganassdias@gmail.con</t>
  </si>
  <si>
    <t>(91) 980770920</t>
  </si>
  <si>
    <t>nsales334@gmail.com</t>
  </si>
  <si>
    <t>(91) 980378820</t>
  </si>
  <si>
    <t>luanarebecaaf1@gmail.com</t>
  </si>
  <si>
    <t>(91) 985832624</t>
  </si>
  <si>
    <t>patricia.cardoso.pc3@gmail.com</t>
  </si>
  <si>
    <t>(91) 992752218</t>
  </si>
  <si>
    <t>raffaellasantos1009@gmail.com</t>
  </si>
  <si>
    <t>(91) 981693209</t>
  </si>
  <si>
    <t>rauan lucas oliveira lima</t>
  </si>
  <si>
    <t>lucasolive29@gmail.com</t>
  </si>
  <si>
    <t>(91) 988641628</t>
  </si>
  <si>
    <t>renata10favacho@gmail.com</t>
  </si>
  <si>
    <t>(91) 98025-4044</t>
  </si>
  <si>
    <t>rosiclea10cardoso@hotmail.com</t>
  </si>
  <si>
    <t>(91) 989747363</t>
  </si>
  <si>
    <t>sarahraiol09@gmail.com</t>
  </si>
  <si>
    <t>(91) 98039-2433</t>
  </si>
  <si>
    <t>Vanir Eleonor Oliveira Mendes</t>
  </si>
  <si>
    <t>vaniremendes@yahoo.com.br</t>
  </si>
  <si>
    <t>(91) 991687183</t>
  </si>
  <si>
    <t>viviane09pereira@yahoo.com.br</t>
  </si>
  <si>
    <t>(91) 989035103</t>
  </si>
  <si>
    <t>yasmim.malak07@gmail.com</t>
  </si>
  <si>
    <t>(91) 991502063</t>
  </si>
  <si>
    <t>arthurdinizcampos@hotmail.com</t>
  </si>
  <si>
    <t>(93) 992229670</t>
  </si>
  <si>
    <t>968 - UNAMA SANTAREM</t>
  </si>
  <si>
    <t>Cleberson Ramos Pereira</t>
  </si>
  <si>
    <t>clebersonramospereira@gmail.com</t>
  </si>
  <si>
    <t>(93) 992114508</t>
  </si>
  <si>
    <t>Enviado para impressão</t>
  </si>
  <si>
    <t>deividmartins374@gmail.com</t>
  </si>
  <si>
    <t>(93) 991477974</t>
  </si>
  <si>
    <t>Doralice WATANABE DIAS DE SOUSA</t>
  </si>
  <si>
    <t>donadoramil91@gmail.com</t>
  </si>
  <si>
    <t>(91) 993816393</t>
  </si>
  <si>
    <t>Fábio Argento Camargo Neto</t>
  </si>
  <si>
    <t>camargoneto.fabio@outlook.com</t>
  </si>
  <si>
    <t>(93) 991829833</t>
  </si>
  <si>
    <t>Fatiana Dias Ribeiro Da Silva</t>
  </si>
  <si>
    <t>fatiana_dias@hotmail.com</t>
  </si>
  <si>
    <t>(93) 991279749</t>
  </si>
  <si>
    <t>Jamily Gomes De Sousa</t>
  </si>
  <si>
    <t>gjamily071@gmail.com</t>
  </si>
  <si>
    <t>(93) 991827334</t>
  </si>
  <si>
    <t>Joicyelle Nathaly Dos Santos Siqueira</t>
  </si>
  <si>
    <t>joicyellenathaly@gmail.com</t>
  </si>
  <si>
    <t>(93) 99978-5613</t>
  </si>
  <si>
    <t>Juan Pablo Cruz Dos Santos</t>
  </si>
  <si>
    <t>juansantos0311@gmail.com</t>
  </si>
  <si>
    <t>(93) 992234350</t>
  </si>
  <si>
    <t>Juvenildo Moura Silva</t>
  </si>
  <si>
    <t>jivamotos@yahoo.com.br</t>
  </si>
  <si>
    <t>(93) 981295879</t>
  </si>
  <si>
    <t>Laila Adriana De Sousa Silva</t>
  </si>
  <si>
    <t>adrianalaila96@gmail.com</t>
  </si>
  <si>
    <t>(93) 992147960</t>
  </si>
  <si>
    <t>lucasvinhote20@gmail.com</t>
  </si>
  <si>
    <t>(93) 991735428</t>
  </si>
  <si>
    <t>Luiz Antônio De Sousa Marques</t>
  </si>
  <si>
    <t>soluizmarques@gmail.com</t>
  </si>
  <si>
    <t>(93) 99164-0806</t>
  </si>
  <si>
    <t>Matheus de Lima Leal</t>
  </si>
  <si>
    <t>mthsdlmll@outlook.com</t>
  </si>
  <si>
    <t>(93) 984095182</t>
  </si>
  <si>
    <t>gomesmurilo574@gmail.com</t>
  </si>
  <si>
    <t>(93) 992000802</t>
  </si>
  <si>
    <t>Raphaele Lima De Souza</t>
  </si>
  <si>
    <t>xxxraphalima@gmail.com</t>
  </si>
  <si>
    <t>(93) 984294875</t>
  </si>
  <si>
    <t>Ricardo Augusto Marinho De Alencar</t>
  </si>
  <si>
    <t>ricardoalencar2007@gmail.com</t>
  </si>
  <si>
    <t>(93) 992308699</t>
  </si>
  <si>
    <t>Robson Antônio Palmeira da Rocha</t>
  </si>
  <si>
    <t>palmeirarobson47@gmail.com</t>
  </si>
  <si>
    <t>(93) 992285664</t>
  </si>
  <si>
    <t>sarasousa2210@gmail.com</t>
  </si>
  <si>
    <t>(98) 991990164</t>
  </si>
  <si>
    <t>lavignesaralavignebezerra@gmail.com</t>
  </si>
  <si>
    <t>(93) 99146-9353</t>
  </si>
  <si>
    <t>Sirlane de Aquino Mota Santa Rosa</t>
  </si>
  <si>
    <t>sirlaneaquinosr@gmail.com</t>
  </si>
  <si>
    <t>(93) 991927653</t>
  </si>
  <si>
    <t>Suelen De Sousa Gonçalves Do Nascimento</t>
  </si>
  <si>
    <t>suelen.sgnasc@gmail.com</t>
  </si>
  <si>
    <t>(93) 991625471</t>
  </si>
  <si>
    <t>Tácio Daltro Nunes De Oliveira</t>
  </si>
  <si>
    <t>tacionunes2002@gmail.com</t>
  </si>
  <si>
    <t>(93) 99228-4113</t>
  </si>
  <si>
    <t>Thales Daltro Nunes De Oliveira</t>
  </si>
  <si>
    <t>thalesdaltro0@gmail.com</t>
  </si>
  <si>
    <t>(93) 99184-5016</t>
  </si>
  <si>
    <t>thamirisd773@gmail.com</t>
  </si>
  <si>
    <t>(93) 991923221</t>
  </si>
  <si>
    <t>Vinícius Sousa Dos Reis</t>
  </si>
  <si>
    <t>vinicius.sousa549@gmail.com</t>
  </si>
  <si>
    <t>(93) 99128-2957</t>
  </si>
  <si>
    <t>adison.mtd7@gmail.com</t>
  </si>
  <si>
    <t>(93) 981086163</t>
  </si>
  <si>
    <t>anabeatrizcanto14@gmail.com</t>
  </si>
  <si>
    <t>(93) 981152846</t>
  </si>
  <si>
    <t>carolinecohen956@gmail.com</t>
  </si>
  <si>
    <t>(93) 991619529</t>
  </si>
  <si>
    <t>PRONTO</t>
  </si>
  <si>
    <t>anapjm853@gmail.com</t>
  </si>
  <si>
    <t>(93) 99139-1631</t>
  </si>
  <si>
    <t>oarthursilva3@gmail.com</t>
  </si>
  <si>
    <t>(93) 992130731</t>
  </si>
  <si>
    <t>b.meskita15@gmail.com</t>
  </si>
  <si>
    <t>(93) 991852580</t>
  </si>
  <si>
    <t>brendonkms10@gmail.com</t>
  </si>
  <si>
    <t>(93) 992096690</t>
  </si>
  <si>
    <t>brunalorrany926@gmail.com</t>
  </si>
  <si>
    <t>(91) 99191-9141</t>
  </si>
  <si>
    <t>ENTREGUE</t>
  </si>
  <si>
    <t>christianalbuquerquedasilva@gmail.com</t>
  </si>
  <si>
    <t>(93) 98133-8473</t>
  </si>
  <si>
    <t>claudianereis1984@gmail.com</t>
  </si>
  <si>
    <t>(93) 991231472</t>
  </si>
  <si>
    <t>edilafarias595@gmail.com</t>
  </si>
  <si>
    <t>(93) 992210238</t>
  </si>
  <si>
    <t>sousaendryll8@gmail.com</t>
  </si>
  <si>
    <t>(93) 992451246</t>
  </si>
  <si>
    <t>flipe160@gmail.com</t>
  </si>
  <si>
    <t>(93) 992118489</t>
  </si>
  <si>
    <t>ATUALIZAR</t>
  </si>
  <si>
    <t>flaviomoraesramos@gmail.com</t>
  </si>
  <si>
    <t>(93) 992190991</t>
  </si>
  <si>
    <t>pronto</t>
  </si>
  <si>
    <t>gilvania.medeiros18@gmail.com</t>
  </si>
  <si>
    <t>(93) 99160-3657</t>
  </si>
  <si>
    <t>glendaallice2017@gmail.com</t>
  </si>
  <si>
    <t>(93) 991920599</t>
  </si>
  <si>
    <t>hayandradoseide@gmail.com</t>
  </si>
  <si>
    <t>(93) 988010915</t>
  </si>
  <si>
    <t>hugosousa8100@gmail.com</t>
  </si>
  <si>
    <t>(93) 991327010</t>
  </si>
  <si>
    <t>hugooliveiravinicius6@gmail.com</t>
  </si>
  <si>
    <t>(93) 981163979</t>
  </si>
  <si>
    <t>iolandafernandesalencar98@gmail.com</t>
  </si>
  <si>
    <t>(93) 991996120</t>
  </si>
  <si>
    <t>janasilva54sk@gmail.com</t>
  </si>
  <si>
    <t>(93) 99230-3748</t>
  </si>
  <si>
    <t>janavieira191@gmail.com</t>
  </si>
  <si>
    <t>(93) 992367518</t>
  </si>
  <si>
    <t>freitasjose101@gmail.com</t>
  </si>
  <si>
    <t>(93) 981183761</t>
  </si>
  <si>
    <t>jonaskarvalho26@gmail.com</t>
  </si>
  <si>
    <t>(93) 992267651</t>
  </si>
  <si>
    <t>joseneto190306@gmail.com</t>
  </si>
  <si>
    <t>(93) 992273046</t>
  </si>
  <si>
    <t>kalmeidasozinho@gmail.com</t>
  </si>
  <si>
    <t>(93) 992101020</t>
  </si>
  <si>
    <t>lanasantos825@gmail.com</t>
  </si>
  <si>
    <t>(93) 992475604</t>
  </si>
  <si>
    <t>luzekellem1975@gmail.com</t>
  </si>
  <si>
    <t>(93) 991368522</t>
  </si>
  <si>
    <t>Maikelly Martins</t>
  </si>
  <si>
    <t>maikellymartins19@gmail.com</t>
  </si>
  <si>
    <t>(93) 992250383</t>
  </si>
  <si>
    <t>smaisamarques@gmail.com</t>
  </si>
  <si>
    <t>(93) 981096650</t>
  </si>
  <si>
    <t>marialidiane01984@gmail.com</t>
  </si>
  <si>
    <t>(93) 984043631</t>
  </si>
  <si>
    <t>lulivalentedemoraes@gmail.com</t>
  </si>
  <si>
    <t>(93) 991736795</t>
  </si>
  <si>
    <t>mritalobato13@gmail.com</t>
  </si>
  <si>
    <t>(93) 991898254</t>
  </si>
  <si>
    <t>marilenepimentel2410@gmail.com</t>
  </si>
  <si>
    <t>(93) 999789900</t>
  </si>
  <si>
    <t>anemarly04@gmail.com</t>
  </si>
  <si>
    <t>(93) 991056697</t>
  </si>
  <si>
    <r>
      <rPr>
        <rFont val="Calibri"/>
        <color rgb="FF1155CC"/>
        <sz val="11.0"/>
        <u/>
      </rPr>
      <t>milenacaldas160@gmail.com</t>
    </r>
  </si>
  <si>
    <t>snaylane28@gmail.com</t>
  </si>
  <si>
    <t>(93) 991684968</t>
  </si>
  <si>
    <t>plucastm.stm@gmail.com</t>
  </si>
  <si>
    <t>(93) 984095500</t>
  </si>
  <si>
    <t>raimyandrade15@gmail.com</t>
  </si>
  <si>
    <t>(91) 992147150</t>
  </si>
  <si>
    <t>ssamilli203@gmail.com</t>
  </si>
  <si>
    <t>(93) 992269015</t>
  </si>
  <si>
    <t>i47403742@gmail.com</t>
  </si>
  <si>
    <t>(93) 991117247</t>
  </si>
  <si>
    <t>talitabelogadelha@gmail.com</t>
  </si>
  <si>
    <t>(93) 991927478</t>
  </si>
  <si>
    <t>delonstm@gmail.com</t>
  </si>
  <si>
    <t>(93) 99228-9033</t>
  </si>
  <si>
    <t>rodriguescostavinicius82@gmail.com</t>
  </si>
  <si>
    <t>(66) 992214183</t>
  </si>
  <si>
    <t>vitor2020stm@gmail.com</t>
  </si>
  <si>
    <t>(93) 991755419</t>
  </si>
  <si>
    <t>willermeireles1943@gmail.com</t>
  </si>
  <si>
    <t>(93) 991556964</t>
  </si>
  <si>
    <t>ilane-mira@hotmail.com</t>
  </si>
  <si>
    <t>(96) 99122-2240</t>
  </si>
  <si>
    <t>957 - UNIP MACAPA</t>
  </si>
  <si>
    <t>Desiery Furriel Cordovil</t>
  </si>
  <si>
    <t>desierycordovil2018@yahoo.com</t>
  </si>
  <si>
    <t>(96) 99202-7062</t>
  </si>
  <si>
    <t>elley.nandela4@gmail.com</t>
  </si>
  <si>
    <t>(96) 98415-5220</t>
  </si>
  <si>
    <t>vanubia gonçalves pereira</t>
  </si>
  <si>
    <t>vanubiapereira76@gmail.com</t>
  </si>
  <si>
    <t>(96) 98417-4744</t>
  </si>
  <si>
    <t>andressamonteiro94632@gmail.com</t>
  </si>
  <si>
    <t>(96) 99167-1381</t>
  </si>
  <si>
    <t>MÁRCIA GOMES DO NASCIMENTO AGENOR</t>
  </si>
  <si>
    <t>agenormarcia@gmail.com</t>
  </si>
  <si>
    <t>(96) 981197700</t>
  </si>
  <si>
    <t>Laucilene Moraes dos Santos Pinheiro</t>
  </si>
  <si>
    <t>laucilenepinheiro80@gmail.com</t>
  </si>
  <si>
    <t>(96) 99182-4121</t>
  </si>
  <si>
    <t>Samara Ferreira Costa</t>
  </si>
  <si>
    <t>profneizecosta@gmail.com</t>
  </si>
  <si>
    <t>(96) 984186467</t>
  </si>
  <si>
    <t>Lázaro Cauã da Silva Pereira furtado</t>
  </si>
  <si>
    <t>furtadolazaro10@gmail.com</t>
  </si>
  <si>
    <t>(96) 988019535</t>
  </si>
  <si>
    <t>Jeane Cristina Barbosa David</t>
  </si>
  <si>
    <t>jeanecbd@gmail.com</t>
  </si>
  <si>
    <t>(96) 99152-3431</t>
  </si>
  <si>
    <t>MARIA Aparecida benjamim dos Santos</t>
  </si>
  <si>
    <t>mariaaparecidabenjamim8@gmail.com</t>
  </si>
  <si>
    <t>(96) 99175-5122</t>
  </si>
  <si>
    <t>Lindalva Agenor Dos Santos</t>
  </si>
  <si>
    <t>lindalvaagenoragenor1501@gmail.com</t>
  </si>
  <si>
    <t>(96) 99198-1686</t>
  </si>
  <si>
    <t>darlyane52@gmail.com</t>
  </si>
  <si>
    <t>(96) 991475826</t>
  </si>
  <si>
    <t>flavia19yane@gmail.com</t>
  </si>
  <si>
    <t>(96) 98417-7105</t>
  </si>
  <si>
    <t>duanisouza1234@gmail.com</t>
  </si>
  <si>
    <t>(96) 99204-2831</t>
  </si>
  <si>
    <t>Joane Leilane de Freitas Alves</t>
  </si>
  <si>
    <t>joanef066@gmail.com</t>
  </si>
  <si>
    <t>(96) 99162-4140</t>
  </si>
  <si>
    <t>claudiagbraga11@gmail.com</t>
  </si>
  <si>
    <t>(96) 981039871</t>
  </si>
  <si>
    <t>Bárbara Naiana Brito De Brito</t>
  </si>
  <si>
    <t>britob2003@gmail.com</t>
  </si>
  <si>
    <t>(96) 98119-0675</t>
  </si>
  <si>
    <t>SUELLEN LOPES PANTOJA</t>
  </si>
  <si>
    <t>sullopes86@hotmail.com</t>
  </si>
  <si>
    <t>(96) 984209405</t>
  </si>
  <si>
    <t>Aldalice de matos Silva</t>
  </si>
  <si>
    <t>silvalice55@gmail.com</t>
  </si>
  <si>
    <t>(96) 988037340</t>
  </si>
  <si>
    <t>Tatiana Gomes de Lima</t>
  </si>
  <si>
    <t>tatianag.delima@gmail.com</t>
  </si>
  <si>
    <t>(96) 91242104</t>
  </si>
  <si>
    <t>Alerrandra Maciel Batista</t>
  </si>
  <si>
    <t>macielalerrandra930@gmail.com</t>
  </si>
  <si>
    <t>(96) 8426-1766</t>
  </si>
  <si>
    <t>nazarem994@gmail.com</t>
  </si>
  <si>
    <t>(96) 99201-7135</t>
  </si>
  <si>
    <t>isalianecardoso@gmail.com</t>
  </si>
  <si>
    <t>elaine.trindade6@gmail.com</t>
  </si>
  <si>
    <t>(96) 991461411</t>
  </si>
  <si>
    <t>liceesilva3@gmail.com</t>
  </si>
  <si>
    <t>Karoline iaçanã de Souza Balieiro</t>
  </si>
  <si>
    <t>karol.yacana.31@gmail.com</t>
  </si>
  <si>
    <t>(96) 991965835</t>
  </si>
  <si>
    <t>leidianadeabreuesouza@gmail.com</t>
  </si>
  <si>
    <t>(96) 999117917</t>
  </si>
  <si>
    <t>lomateus532@gmail.com</t>
  </si>
  <si>
    <t>(96) 981261228</t>
  </si>
  <si>
    <t>renat232425@gmail.com</t>
  </si>
  <si>
    <t>(96) 98419-8961</t>
  </si>
  <si>
    <t>rodriguesraflesia52@gmail.com</t>
  </si>
  <si>
    <t>(96) 981235814</t>
  </si>
  <si>
    <t>Ketia Rian Almeida dos Santos</t>
  </si>
  <si>
    <t>ketiarian@gmail.com</t>
  </si>
  <si>
    <t>(96) 99162-6559</t>
  </si>
  <si>
    <t>Marciane da Silva dos Santos</t>
  </si>
  <si>
    <t>mf9567373@gmail.com</t>
  </si>
  <si>
    <t>(96) 984139015</t>
  </si>
  <si>
    <t>Thaynara Barboza de Souza</t>
  </si>
  <si>
    <t>thaynara_03@icloud.com</t>
  </si>
  <si>
    <t>(96) 91434716</t>
  </si>
  <si>
    <t>biancaduarte907@gmail.com</t>
  </si>
  <si>
    <t>(96) 81000229</t>
  </si>
  <si>
    <t>Maria Eduarda Monteiro Fonseca</t>
  </si>
  <si>
    <t>mdudamonteiro0817@gmail.com</t>
  </si>
  <si>
    <t>Mirlene Solange Melo Pereira</t>
  </si>
  <si>
    <t>mirlenesmpereira@hotmail.com</t>
  </si>
  <si>
    <t>(96) 991352244</t>
  </si>
  <si>
    <t>Iara de Nazaré Ramos Baia</t>
  </si>
  <si>
    <t>baiaiara655@gmail.com</t>
  </si>
  <si>
    <t>(96) 984306624</t>
  </si>
  <si>
    <t>MARIA GILCIEIDE NUNES LUDOGERIO</t>
  </si>
  <si>
    <t>imariagilcieide@gmail.com</t>
  </si>
  <si>
    <t>(96) 984354288</t>
  </si>
  <si>
    <t>Jeronima cortes mendes</t>
  </si>
  <si>
    <t>gemendes1020@gmail.com</t>
  </si>
  <si>
    <t>(96) 81220412</t>
  </si>
  <si>
    <t>carol.lariss@gmail.com</t>
  </si>
  <si>
    <t>(96) 98425-4213</t>
  </si>
  <si>
    <t>kssialuanda@gmail.com</t>
  </si>
  <si>
    <t>(96) 981155052</t>
  </si>
  <si>
    <t>Victória dos santos frazão</t>
  </si>
  <si>
    <t>victoria19frazao@gmail.com</t>
  </si>
  <si>
    <t>(96) 991950205</t>
  </si>
  <si>
    <t>rchrissyt@gmail.com</t>
  </si>
  <si>
    <t>(96) 999085221</t>
  </si>
  <si>
    <t>marcelliyasmim048@gmail.com</t>
  </si>
  <si>
    <t>(96) 99201-5289</t>
  </si>
  <si>
    <t>monicasilva0701@gmail.com</t>
  </si>
  <si>
    <t>(96) 98124-0779</t>
  </si>
  <si>
    <t>deisecostagoncalves2020@gmail.com</t>
  </si>
  <si>
    <t>Gabriele barbosa brito</t>
  </si>
  <si>
    <t>gabrielebbrito@gmail.com</t>
  </si>
  <si>
    <t>(96) 99912-9585</t>
  </si>
  <si>
    <t>dandaranat2469@gmail.com</t>
  </si>
  <si>
    <t>Lorena Suares da Silva</t>
  </si>
  <si>
    <t>lorenasuares21@gmail.com</t>
  </si>
  <si>
    <t>(96) 991249439</t>
  </si>
  <si>
    <t>anaraujosilva.20@gmail.com</t>
  </si>
  <si>
    <t>(96) 991605117</t>
  </si>
  <si>
    <t>sqrbrenda@gmail.com</t>
  </si>
  <si>
    <t>(96) 98410-1823</t>
  </si>
  <si>
    <t>nataliasousali2112@gmail.com</t>
  </si>
  <si>
    <t>(94) 92505677</t>
  </si>
  <si>
    <t>thaysesanches4@gmail.com</t>
  </si>
  <si>
    <t>(96) 991994170</t>
  </si>
  <si>
    <t>nathaliav1348@gmail.com</t>
  </si>
  <si>
    <t>(96) 84302552</t>
  </si>
  <si>
    <t>eulalia.gabriella18@hotmail.com</t>
  </si>
  <si>
    <t>(96) 991999462</t>
  </si>
  <si>
    <t>Joelma Régio Rodrigues</t>
  </si>
  <si>
    <t>joelmaregio93@gmail.com</t>
  </si>
  <si>
    <t>(96) 991545072</t>
  </si>
  <si>
    <t>Gisele Cristinie Cardoso De Morais</t>
  </si>
  <si>
    <t>gisele.morais.gc@gmail.com</t>
  </si>
  <si>
    <t>(96) 99152-8980</t>
  </si>
  <si>
    <t>Suellen Da Costa Pessoa</t>
  </si>
  <si>
    <t>suellencpessoa23@gmail.com</t>
  </si>
  <si>
    <t>(96) 98412-8779</t>
  </si>
  <si>
    <t>jfrancirlei@gmail.com</t>
  </si>
  <si>
    <t>(96) 984137697</t>
  </si>
  <si>
    <t>iangabriel895@gmail.com</t>
  </si>
  <si>
    <t>(96) 984026312</t>
  </si>
  <si>
    <t>lamorim.ap05@gmail.com</t>
  </si>
  <si>
    <t>(96) 99126-3359</t>
  </si>
  <si>
    <t>Luana Camila Moura Mota Mendes</t>
  </si>
  <si>
    <t>luanacamila802@gmail.com</t>
  </si>
  <si>
    <t>(96) 991331592</t>
  </si>
  <si>
    <t>ingrid Vanessa lima de sousa</t>
  </si>
  <si>
    <t>9681121254sousa@gmail.com</t>
  </si>
  <si>
    <t>(96) 981437363</t>
  </si>
  <si>
    <t>renatalorena20112011@hotmail.com</t>
  </si>
  <si>
    <t>(91) 980927687</t>
  </si>
  <si>
    <t>961 - UNIP PARAGOMINAS</t>
  </si>
  <si>
    <t>Maria Helena de Aviz Santos</t>
  </si>
  <si>
    <t>helenaaviz29@gmail.com</t>
  </si>
  <si>
    <t>(91) 984980864</t>
  </si>
  <si>
    <t>Thais Magalhães Ramos</t>
  </si>
  <si>
    <t>thaismagalhaes619@gmail.com</t>
  </si>
  <si>
    <t>(91) 98452-8223</t>
  </si>
  <si>
    <t>jeycilindinha@gmail.com</t>
  </si>
  <si>
    <t>(91) 981595488</t>
  </si>
  <si>
    <t>Betezu de Jesus Andrade Anes</t>
  </si>
  <si>
    <t>betizu.anes@gmail.com</t>
  </si>
  <si>
    <t>(91) 99918-1099</t>
  </si>
  <si>
    <t>alexpaulo583@gmail.com</t>
  </si>
  <si>
    <t>(91) 981317493</t>
  </si>
  <si>
    <t>josiane.pls@hotmail.com</t>
  </si>
  <si>
    <t>(91) 984756676</t>
  </si>
  <si>
    <t>erveloncosta@gmail.com</t>
  </si>
  <si>
    <t>(91) 999610590</t>
  </si>
  <si>
    <t>1103 - UNIP CASTANHAL</t>
  </si>
  <si>
    <t>ingridiyohanne6@gmail.com</t>
  </si>
  <si>
    <t>(91) 984759092</t>
  </si>
  <si>
    <t>sabrinacastanhal5@hotmail.com</t>
  </si>
  <si>
    <t>(91) 984369430</t>
  </si>
  <si>
    <t>brendadryellerocha@gmail.com</t>
  </si>
  <si>
    <t>(91) 984520045</t>
  </si>
  <si>
    <t>weslleysilva12332@gmail.com</t>
  </si>
  <si>
    <t>(91) 981859716</t>
  </si>
  <si>
    <t>Francisca Lopes Farias</t>
  </si>
  <si>
    <t>franciscalopesfariasfran@gmail.com</t>
  </si>
  <si>
    <t>(91) 984489995</t>
  </si>
  <si>
    <t>Lourenço Tamer Gomes Magno</t>
  </si>
  <si>
    <t>lourencotamer735@gmail.com</t>
  </si>
  <si>
    <t>(91) 98548-4463</t>
  </si>
  <si>
    <t>marlysonjan@hotmail.com</t>
  </si>
  <si>
    <t>(91) 989705667</t>
  </si>
  <si>
    <t>geovanipompeu10@gmail.com</t>
  </si>
  <si>
    <t>(91) 986237225</t>
  </si>
  <si>
    <t>conceicaomagalhaes0512@gmail.com</t>
  </si>
  <si>
    <t>(91) 982627610</t>
  </si>
  <si>
    <t>joamillybarreto2002@gmail.com</t>
  </si>
  <si>
    <t>(91) 980592650</t>
  </si>
  <si>
    <t>Maria De Nazaré Lima Barros</t>
  </si>
  <si>
    <t>nazinhalima003@gmail.com</t>
  </si>
  <si>
    <t>(91) 99154-6432</t>
  </si>
  <si>
    <t>José Henrique Neves Vilhena</t>
  </si>
  <si>
    <t>henriqueneves974@gmail.com</t>
  </si>
  <si>
    <t>(91) 991512596</t>
  </si>
  <si>
    <t>Jose Clebton De Sousa Aguiar</t>
  </si>
  <si>
    <t>clebtonaguiar2892@gmail.com</t>
  </si>
  <si>
    <t>(91) 992864415</t>
  </si>
  <si>
    <t>claudio198329@gmail.com</t>
  </si>
  <si>
    <t>(91) 98802-9053</t>
  </si>
  <si>
    <t>itamarjuninho92@gmail.com</t>
  </si>
  <si>
    <t>(91) 98754-2236</t>
  </si>
  <si>
    <t>Jéssica Lorrana De Souza Silva</t>
  </si>
  <si>
    <t>jessica.lss33@outlook.com</t>
  </si>
  <si>
    <t>(91) 98080-7790</t>
  </si>
  <si>
    <t>guilhermesouzamortadela@gmail.com</t>
  </si>
  <si>
    <t>(91) 985615787</t>
  </si>
  <si>
    <t>Ana Carolina Das Graças Lima</t>
  </si>
  <si>
    <t>anaelimar14@gmail.com</t>
  </si>
  <si>
    <t>(91) 98575-6925</t>
  </si>
  <si>
    <t>Maria Geisa Da Silva Santos</t>
  </si>
  <si>
    <t>mariageisa1301@gmail.com</t>
  </si>
  <si>
    <t>(91) 993821372</t>
  </si>
  <si>
    <t>María Da Conceição Sena Porto</t>
  </si>
  <si>
    <t>conceicicao09@gmail.com</t>
  </si>
  <si>
    <t>(91) 99826133</t>
  </si>
  <si>
    <t>Alana Renata de Almeida Guerreiro</t>
  </si>
  <si>
    <t>alanarenata02@gmail.com</t>
  </si>
  <si>
    <t>(91) 984506466</t>
  </si>
  <si>
    <t>Mithelly Santos Nicacio Da Silva</t>
  </si>
  <si>
    <t>mithellysns@gmail.com</t>
  </si>
  <si>
    <t>(91) 991831393</t>
  </si>
  <si>
    <t>dantassemilly21@gmail.com</t>
  </si>
  <si>
    <t>(91) 984278434</t>
  </si>
  <si>
    <t>Josilene Santos De Lima</t>
  </si>
  <si>
    <t>josilene2016santos@gmail.com</t>
  </si>
  <si>
    <t>(91) 984837438</t>
  </si>
  <si>
    <t>ramonnacosta12@gmail.com</t>
  </si>
  <si>
    <t>(91) 987019275</t>
  </si>
  <si>
    <t>Bruna Gonzaga Quixaba</t>
  </si>
  <si>
    <t>(91) 98526-9943</t>
  </si>
  <si>
    <t>Leiliane Dos Santos Lima</t>
  </si>
  <si>
    <t>lima123leyla@gmail.com</t>
  </si>
  <si>
    <t>(91) 996187415</t>
  </si>
  <si>
    <t>Carla Cristina Rodrigues Barbosa</t>
  </si>
  <si>
    <t>carla.barbosa92026@gmail.com</t>
  </si>
  <si>
    <t>(91) 993149213</t>
  </si>
  <si>
    <t>Liendrew Peixoto Cunha</t>
  </si>
  <si>
    <t>liendrewpeixoto@gmail.com</t>
  </si>
  <si>
    <t>(95) 991773052</t>
  </si>
  <si>
    <t>1173 - BOA VISTA</t>
  </si>
  <si>
    <t>Évila Da Silva Almeida</t>
  </si>
  <si>
    <t>evila.07.almeida@gmail.com</t>
  </si>
  <si>
    <t>(95) 991215463</t>
  </si>
  <si>
    <t>biacoimbra2010@gmail.com</t>
  </si>
  <si>
    <t>(95) 991426935</t>
  </si>
  <si>
    <t>Gabriela Da Silva Campos</t>
  </si>
  <si>
    <t>gabrielaryananthony@gmail.com.br</t>
  </si>
  <si>
    <t>(95) 991518453</t>
  </si>
  <si>
    <t>llarice.oliveirarr1414@gmail.com</t>
  </si>
  <si>
    <t>(95) 991614328</t>
  </si>
  <si>
    <t>amandalarisa2004@gmail.com</t>
  </si>
  <si>
    <t>Daniella Do Nascimento Souza</t>
  </si>
  <si>
    <t>daniellanascimentoadv@gmail.com</t>
  </si>
  <si>
    <t>(95) 991587234</t>
  </si>
  <si>
    <t>gelvanymotta5@gmail.com</t>
  </si>
  <si>
    <t>(95) 984025497</t>
  </si>
  <si>
    <t>herleannefares08@gmail.com</t>
  </si>
  <si>
    <t>(95) 981143569</t>
  </si>
  <si>
    <t>ANA WALESKA DANTAS DE ARAÚJO PECCINI</t>
  </si>
  <si>
    <t>anaraujojp2@hotmail.com</t>
  </si>
  <si>
    <t>(95) 98111-1161</t>
  </si>
  <si>
    <t>Dafny Araújo Dantas</t>
  </si>
  <si>
    <t>dafny.araujo.dantas@gmail.com</t>
  </si>
  <si>
    <t>(95) 99127-8293</t>
  </si>
  <si>
    <t>Samira Dos Santos Ferreira</t>
  </si>
  <si>
    <t>samirasantos.santos937@gmail.com</t>
  </si>
  <si>
    <t>(95) 991542159</t>
  </si>
  <si>
    <t>ssusy371@gmail.com</t>
  </si>
  <si>
    <t>(95) 981093910</t>
  </si>
  <si>
    <t>arieldiniz16@gmail.com</t>
  </si>
  <si>
    <t>(95) 99136-5839</t>
  </si>
  <si>
    <t>let.t.auzier@gmail.com</t>
  </si>
  <si>
    <t>(95) 984282398</t>
  </si>
  <si>
    <t>arthursousabass@gmail.com</t>
  </si>
  <si>
    <t>(98) 985584602</t>
  </si>
  <si>
    <t>1177 - SÃO LUIZ</t>
  </si>
  <si>
    <t>dilmaramos6227@gmail.com</t>
  </si>
  <si>
    <t>(98) 98596-9410</t>
  </si>
  <si>
    <t>raquelsanttoss2001@gmail.com</t>
  </si>
  <si>
    <t>(98) 988719381</t>
  </si>
  <si>
    <t>pedrofb8999@gmail.com</t>
  </si>
  <si>
    <t>(99) 984465130</t>
  </si>
  <si>
    <t>aryadne.salgado@gmail.com</t>
  </si>
  <si>
    <t>(98) 984322029</t>
  </si>
  <si>
    <t>gabicruzlimao1@gmail.com</t>
  </si>
  <si>
    <t>(81) 998781536</t>
  </si>
  <si>
    <t>Dayana Barbosa Sena Carvalho</t>
  </si>
  <si>
    <t>daya.pa@hotmail.com</t>
  </si>
  <si>
    <t>(98) 987474967</t>
  </si>
  <si>
    <t>luizamendeesma@gmail.com</t>
  </si>
  <si>
    <t>(98) 985671088</t>
  </si>
  <si>
    <t>Sildemira Alexandrina Pacheco Victor</t>
  </si>
  <si>
    <t>sildemirapv@hotmail.com</t>
  </si>
  <si>
    <t>(98) 991971031</t>
  </si>
  <si>
    <t>kelensoarespsi@gmail.com</t>
  </si>
  <si>
    <t>(98) 999114073</t>
  </si>
  <si>
    <t>VILMA LOPES DE ARAÚJO DOS SANTOS</t>
  </si>
  <si>
    <t>vilmalopesdossantos78@hotmail.com</t>
  </si>
  <si>
    <t>(98) 988725420</t>
  </si>
  <si>
    <t>João Neres Santos</t>
  </si>
  <si>
    <t>neres0312@gmail.com</t>
  </si>
  <si>
    <t>Jackeline Teixeira Loureiro</t>
  </si>
  <si>
    <t>teixeiraloureiro16@gmail.com</t>
  </si>
  <si>
    <t>(91) 98495-7520</t>
  </si>
  <si>
    <t>971 - UNAMA ALCINDO</t>
  </si>
  <si>
    <t>Robertha Michelle Rodrigues Pereira</t>
  </si>
  <si>
    <t>bertha.michelle@hotmail.com</t>
  </si>
  <si>
    <t>(91) 98285-6349</t>
  </si>
  <si>
    <t>Victor Mateus De Oliveira Brandão</t>
  </si>
  <si>
    <t>victor.branda0@icloud.com</t>
  </si>
  <si>
    <t>(91) 98085-7934</t>
  </si>
  <si>
    <t>Euller Isaías Rocha Vitelli</t>
  </si>
  <si>
    <t>isaiasvitelli1994@gmail.com</t>
  </si>
  <si>
    <t>(91) 98278-2155</t>
  </si>
  <si>
    <t>marlucemirandasousa@gmail.com</t>
  </si>
  <si>
    <t>(91) 98506-6386</t>
  </si>
  <si>
    <t>Kevelinn Ohanna Carvalho Pereira de Oliveira</t>
  </si>
  <si>
    <t>cmte.jacksonfelipe@gmail.com</t>
  </si>
  <si>
    <t>(91) 99100-0601</t>
  </si>
  <si>
    <t>millebr20i@hotmail.com</t>
  </si>
  <si>
    <t>(91) 98625-4105</t>
  </si>
  <si>
    <t>ALCILENE PENA FERREIRA</t>
  </si>
  <si>
    <t>alcilenepferreira@gmail.com</t>
  </si>
  <si>
    <t>(91) 98146-3554</t>
  </si>
  <si>
    <t>virgolinoeduarda4@gmail.com</t>
  </si>
  <si>
    <t>(91) 985389954</t>
  </si>
  <si>
    <t>marcelle16filgueira@gmail.com</t>
  </si>
  <si>
    <t>(91) 98607-8358</t>
  </si>
  <si>
    <t>geibsonfarias.oficial@gmail.com</t>
  </si>
  <si>
    <t>(91) 98728-9223</t>
  </si>
  <si>
    <t>sheyla-menezes@bol.com.br</t>
  </si>
  <si>
    <t>(91) 99204-6902</t>
  </si>
  <si>
    <t>Maria Aparecida Maciel Coelho</t>
  </si>
  <si>
    <t>mcoelho.cida@gmail.com</t>
  </si>
  <si>
    <t>(91) 98336-0284</t>
  </si>
  <si>
    <t>mat41306@gmail.com</t>
  </si>
  <si>
    <t>(91) 99296-9404</t>
  </si>
  <si>
    <t>arq.pmaia@hotmail.com</t>
  </si>
  <si>
    <t>(91) 983941681</t>
  </si>
  <si>
    <t>Maria Caren Dayane Borges De Barros</t>
  </si>
  <si>
    <t>mariacaren.96@gmail.com</t>
  </si>
  <si>
    <t>(91) 980903600</t>
  </si>
  <si>
    <t>vkvyctor180@gmail.com</t>
  </si>
  <si>
    <t>(91) 98570-6272</t>
  </si>
  <si>
    <t>yasmedvet7@gmail.com</t>
  </si>
  <si>
    <t>(91) 98615-4017</t>
  </si>
  <si>
    <t>vitoriasantospacheco.vs@gmail.com</t>
  </si>
  <si>
    <t>(91) 98603-3316</t>
  </si>
  <si>
    <t>ALLAN DELON CORRÊA RAMOS</t>
  </si>
  <si>
    <t>allandelonramos@gmail.com</t>
  </si>
  <si>
    <t>(91) 98430-5884</t>
  </si>
  <si>
    <t>Arthur Rego Barros Padilha</t>
  </si>
  <si>
    <t>arthurpadilha@icloud.com</t>
  </si>
  <si>
    <t>(91) 99363-2203</t>
  </si>
  <si>
    <t>Patrícia Rafaela Valente Bittencourt</t>
  </si>
  <si>
    <t>patimcbittencourt@hotmail.com</t>
  </si>
  <si>
    <t>(91) 98493-1310</t>
  </si>
  <si>
    <t>Camilly Victoria Da Silva Costa</t>
  </si>
  <si>
    <t>camillyvicttoriass@gmail.com</t>
  </si>
  <si>
    <t>(91) 985307290</t>
  </si>
  <si>
    <t>Luciane De Oliveira Monteiro</t>
  </si>
  <si>
    <t>lucianeo64@gmail.com</t>
  </si>
  <si>
    <t>(91) 984925425</t>
  </si>
  <si>
    <t>Ana Patrícia Ramos Araújo</t>
  </si>
  <si>
    <t>aprabio@yahoo.com.br</t>
  </si>
  <si>
    <t>(91) 99201-9903</t>
  </si>
  <si>
    <t>Stheven Gabriel Souza Pinto</t>
  </si>
  <si>
    <t>stheven.gabriel10@gmail.com</t>
  </si>
  <si>
    <t>(91) 985184006</t>
  </si>
  <si>
    <t>Kauã Henrique Siqueira da Costa</t>
  </si>
  <si>
    <t>kauasiqueiradacosta@gmail.com</t>
  </si>
  <si>
    <t>(91) 98265-9109</t>
  </si>
  <si>
    <t>dupinho1@gmail.com</t>
  </si>
  <si>
    <t>(91) 98827-8989</t>
  </si>
  <si>
    <t>erika_obadia@hotmail.com</t>
  </si>
  <si>
    <t>(91) 98414-7037</t>
  </si>
  <si>
    <t>Monique Eva Maia Araújo</t>
  </si>
  <si>
    <t>moniqueevaaraujo@gmail.com</t>
  </si>
  <si>
    <t>(91) 99351-4278</t>
  </si>
  <si>
    <t>amarildo.lpf@gmail.com</t>
  </si>
  <si>
    <t>(91) 981447654</t>
  </si>
  <si>
    <t>Caroline Gonçalves Leão</t>
  </si>
  <si>
    <t>leaocaroline57@gmail.com</t>
  </si>
  <si>
    <t>(91) 991507420</t>
  </si>
  <si>
    <t>Aretusa Helena Rocha Tuma Barros</t>
  </si>
  <si>
    <t>aretusahelenatuma@hotmail.com</t>
  </si>
  <si>
    <t>(91) 99613-1873</t>
  </si>
  <si>
    <t>romuloalves032015@gmail.com</t>
  </si>
  <si>
    <t>(91) 98480-7238</t>
  </si>
  <si>
    <t>Danilo Pinheiro Diniz Tavares</t>
  </si>
  <si>
    <t>danilopdt777@gmail.com</t>
  </si>
  <si>
    <t>(91) 98639-6088</t>
  </si>
  <si>
    <t>marilobato232016@gmail.com</t>
  </si>
  <si>
    <t>(91) 982364626</t>
  </si>
  <si>
    <t>ademirf863@gmail.com</t>
  </si>
  <si>
    <t>(91) 99985-1127</t>
  </si>
  <si>
    <t>anamariapernadoamaraldossantos@gmail.com</t>
  </si>
  <si>
    <t>(91) 985006700</t>
  </si>
  <si>
    <t>lorenabahia10@gmail.com</t>
  </si>
  <si>
    <t>(91) 98389-5286</t>
  </si>
  <si>
    <t>gabriel13santos19@gmail.com</t>
  </si>
  <si>
    <t>(91) 98283-6440</t>
  </si>
  <si>
    <t>Luan Cordeiro de Freitas</t>
  </si>
  <si>
    <t>cordeiroluan33@gmail.com</t>
  </si>
  <si>
    <t>(91) 98639-6411</t>
  </si>
  <si>
    <t>Anderson Alvarenga Santos Filho</t>
  </si>
  <si>
    <t>andyfilho2003@gmail.com</t>
  </si>
  <si>
    <t>(91) 98284-0085</t>
  </si>
  <si>
    <t>Nathiely Pamplona Pinheiro</t>
  </si>
  <si>
    <t>nathielypamplona359@gmail.com</t>
  </si>
  <si>
    <t>(91) 98801-7887</t>
  </si>
  <si>
    <t>Ellen Cristina Torres Cardoso</t>
  </si>
  <si>
    <t>ttorres.ellen19@gmail.com</t>
  </si>
  <si>
    <t>(91) 98588-4998</t>
  </si>
  <si>
    <t>ARTUR DINIZ ARAUJO DE VILHENA</t>
  </si>
  <si>
    <t>artur.vilhena13@gmail.com</t>
  </si>
  <si>
    <t>(91) 98601-4378</t>
  </si>
  <si>
    <t>Ruth Helena De Souza Carvalho</t>
  </si>
  <si>
    <t>ruthhelena78@gmail.com</t>
  </si>
  <si>
    <t>(91) 98045-2741</t>
  </si>
  <si>
    <t>galvaoiorran4@gmail.com</t>
  </si>
  <si>
    <t>(91) 99963-4098</t>
  </si>
  <si>
    <t>wendyfigueiredo1999@gmail.com</t>
  </si>
  <si>
    <t>(91) 98492-3228</t>
  </si>
  <si>
    <t>Henrique Souza De Almeida</t>
  </si>
  <si>
    <t>riccosouz@gmail.com</t>
  </si>
  <si>
    <t>(91) 988924819</t>
  </si>
  <si>
    <t>SÉRGIO FERNANDO MESQUITA DA CUNHA</t>
  </si>
  <si>
    <t>sergiofernandobelem@gmail.com</t>
  </si>
  <si>
    <t>(91) 982942003</t>
  </si>
  <si>
    <t>Marcos Souza Dos Santos</t>
  </si>
  <si>
    <t>marcos.souza.2805imvp@gmail.com</t>
  </si>
  <si>
    <t>(91) 981849769</t>
  </si>
  <si>
    <t>jhimyai59@gmail.com</t>
  </si>
  <si>
    <t>(91) 992580908</t>
  </si>
  <si>
    <t>alvarojppz@gmail.com</t>
  </si>
  <si>
    <t>(91) 993623799</t>
  </si>
  <si>
    <t>João Guilherme Soares Pires Vilas Boas De Amorim</t>
  </si>
  <si>
    <t>joaoguilherme15190@gmail.com</t>
  </si>
  <si>
    <t>(91) 98916-8539</t>
  </si>
  <si>
    <t>reyh4ll@gmail.com</t>
  </si>
  <si>
    <t>(91) 98934-5058</t>
  </si>
  <si>
    <t>Armando Luiz De Souza Oliveira Filho</t>
  </si>
  <si>
    <t>armandoluizfilho@hotmail.com</t>
  </si>
  <si>
    <t>(91) 99389-0594</t>
  </si>
  <si>
    <t>sofiagabrielle1545@gmail.com</t>
  </si>
  <si>
    <t>(91) 98479-4545</t>
  </si>
  <si>
    <t>ONELIUSO HERCULANO DE SALES</t>
  </si>
  <si>
    <t>oneliusonherculano@yahoo.com.br</t>
  </si>
  <si>
    <t>(91) 98177-1508</t>
  </si>
  <si>
    <t>jeanbenicio1@gmail.com</t>
  </si>
  <si>
    <t>(91) 98948-1623</t>
  </si>
  <si>
    <t>sinvalpfarias@gmail.com</t>
  </si>
  <si>
    <t>(91) 98877-0518</t>
  </si>
  <si>
    <t>Wellington Silva De Souza</t>
  </si>
  <si>
    <t>wellington.ssouzaa@gmail.com</t>
  </si>
  <si>
    <t>(91) 98303-4025</t>
  </si>
  <si>
    <t>fabriziorommelll@gmail.com</t>
  </si>
  <si>
    <t>(91) 98373-3324</t>
  </si>
  <si>
    <t>Ana Wilma De Lima Inete</t>
  </si>
  <si>
    <t>annawilma0713@gmail.com</t>
  </si>
  <si>
    <t>(91) 99377-2044</t>
  </si>
  <si>
    <t>andreaperesfb08@gmail.com</t>
  </si>
  <si>
    <t>(91) 988095594</t>
  </si>
  <si>
    <t>ceciliacmagal@gmail.com</t>
  </si>
  <si>
    <t>(91) 98441-0238</t>
  </si>
  <si>
    <t>Giovanna Beatriz Tavares Santos</t>
  </si>
  <si>
    <t>giovannabeatriz1172@gmail.com</t>
  </si>
  <si>
    <t>(91) 984683160</t>
  </si>
  <si>
    <t>thalytasilvaxx@gmail.com</t>
  </si>
  <si>
    <t>(91) 98547-1008</t>
  </si>
  <si>
    <t>Luana Vitória Da Silva Vieira</t>
  </si>
  <si>
    <t>lua.vitoria2017@gmail.com</t>
  </si>
  <si>
    <t>(91) 981155447</t>
  </si>
  <si>
    <t>George Lucas Macedo Vale</t>
  </si>
  <si>
    <t>georgevale07@gmail.com</t>
  </si>
  <si>
    <t>(96) 99172-2388</t>
  </si>
  <si>
    <t>angelabalieiro4@gmail.com</t>
  </si>
  <si>
    <t>Rômulo Kim Ferreira Teixeira</t>
  </si>
  <si>
    <t>romulokim@hotmail.com</t>
  </si>
  <si>
    <t>(91) 985864859</t>
  </si>
  <si>
    <t>kassialb@hotmail.com</t>
  </si>
  <si>
    <t>(91) 98096-0469</t>
  </si>
  <si>
    <t>Andreia Satsuki Nagase</t>
  </si>
  <si>
    <t>andreianagase@gmail.com</t>
  </si>
  <si>
    <t>(91) 98877-4532</t>
  </si>
  <si>
    <t>luma03vaz@gmail.com</t>
  </si>
  <si>
    <t>(91) 99334-0766</t>
  </si>
  <si>
    <t>1070 - ESMAC</t>
  </si>
  <si>
    <t>felipegabr8@gmail.com</t>
  </si>
  <si>
    <t>(91) 88052720</t>
  </si>
  <si>
    <t>Fagner Mendes Da Silva</t>
  </si>
  <si>
    <t>mendesfagner@hotmail.com</t>
  </si>
  <si>
    <t>(91) 983175046</t>
  </si>
  <si>
    <t>Antony Igor Araújo Marquês</t>
  </si>
  <si>
    <t>antonyigor543@gmail.com</t>
  </si>
  <si>
    <t>Rosieni Souza De Melo</t>
  </si>
  <si>
    <t>rosieni.melo@yahoo.com.br</t>
  </si>
  <si>
    <t>(91) 982748843</t>
  </si>
  <si>
    <t>Lucas Farias Monteiro</t>
  </si>
  <si>
    <t>lucasfarias9119@gmail.com</t>
  </si>
  <si>
    <t>(91) 987113865</t>
  </si>
  <si>
    <t>PLANO DIGITAL YEAR BOOK</t>
  </si>
  <si>
    <t>ITALO SOUSA GOMES COSTA</t>
  </si>
  <si>
    <t>italosgcosta@gmail.com</t>
  </si>
  <si>
    <t>(91) 98143-2319</t>
  </si>
  <si>
    <t>taniagouvea9@gmail.com</t>
  </si>
  <si>
    <t>FAMILY DAY</t>
  </si>
  <si>
    <t>1º - Anna Carolina Monteiro Couto 20X20</t>
  </si>
  <si>
    <t>1º - Arthur Henrique Carvalho Figueiredo 20x20</t>
  </si>
  <si>
    <t>1º - Arthur Hiroshi Sousa Miyahara 20x20</t>
  </si>
  <si>
    <t>1º - Arthur Pereira Guedes 20x20</t>
  </si>
  <si>
    <t>1º - Brenda Kelly Auzier Marques 20x20</t>
  </si>
  <si>
    <t>1º - Caetano Franca Kettle 20x20</t>
  </si>
  <si>
    <t>1º - Camilly Vitoria Pereira Barbosa 30x20</t>
  </si>
  <si>
    <t>1º - Diego Benjamin Souza Pires 20x20</t>
  </si>
  <si>
    <t>1º - Emilly Vitória Assunção Nascimento 30x20</t>
  </si>
  <si>
    <t>1º - Esmael da costa fontenele e Bianca 30x20</t>
  </si>
  <si>
    <t>1º - Ester Hadassa Gonçalves do Amaral 30x20</t>
  </si>
  <si>
    <t>1º - Felipe Alhadef Matos 20x20</t>
  </si>
  <si>
    <t>1º - Gabriel abraao bezerra barbosa 20x20</t>
  </si>
  <si>
    <t>1º - Gabriela silva de Oliveira 20x20</t>
  </si>
  <si>
    <t>1º - Gabryelly Rhíamy Gouvêa Silva 20x20</t>
  </si>
  <si>
    <t>1º - Giulia da silva Costa 20x20</t>
  </si>
  <si>
    <t>1º - Heitor Franco Cassiano 20x20</t>
  </si>
  <si>
    <t>1º - Heitor Miguel Santarem Monteiro 30X20</t>
  </si>
  <si>
    <t>1º - Henry Gabriel Lopes de Farias 20x20</t>
  </si>
  <si>
    <t>1º - Isabeli Rodrigues de Matos dos Santos 20x20</t>
  </si>
  <si>
    <t>1º - Isis Vitoria Ribeiro Peralta 20x20</t>
  </si>
  <si>
    <t>1º - José Felipe Correa Leal 20X20</t>
  </si>
  <si>
    <t>1º - Lauany Thalita loureiro costa 20X20</t>
  </si>
  <si>
    <t>1º - Lucas Marcelino da Silva Nascimento 20X20</t>
  </si>
  <si>
    <t>1º - Marcelo Silva Ramos Filho 30X20</t>
  </si>
  <si>
    <t>1º - Marcus Davi da Rocha Leal 20X20</t>
  </si>
  <si>
    <t>1º - Pedro Joaquim Monteiro Ferreira 20X20</t>
  </si>
  <si>
    <t>1º - Pedro Lucas da Costa Sales 30X20</t>
  </si>
  <si>
    <t>1º - Rayane Stefane Nunes Pinto 30X20</t>
  </si>
  <si>
    <t>1º - Sofya Thamyres Simão de Freitas 20X20</t>
  </si>
  <si>
    <t>1º - Thiago de Brito Arede 20X20</t>
  </si>
  <si>
    <t>1º - Thomaz Pinheiro Saunders 20X20</t>
  </si>
  <si>
    <t>1º - Yasmin Moura Reinaldo 30X20</t>
  </si>
  <si>
    <t>2º - Ana Beatriz Goulart Sodré 20x20</t>
  </si>
  <si>
    <t>2º - Ana Lara Corbari Fidelis 20x20</t>
  </si>
  <si>
    <t>2º - Ana Laura Araújo Marques 20x20</t>
  </si>
  <si>
    <t>2º - Ana Luiza Brito Formigosa 20x20</t>
  </si>
  <si>
    <t>2º - Ana Sophia Coelho Santos 20x30</t>
  </si>
  <si>
    <t>2º - Anna beatriz cordovil koury fernandes 30x20</t>
  </si>
  <si>
    <t>2º - Filipe Pontes Costa 20X20</t>
  </si>
  <si>
    <t>2º - Giovanna Azevedo Guimarães 20x20</t>
  </si>
  <si>
    <t>2º - Gustavo Brito Moraes Figueiredo Chaves 30X20</t>
  </si>
  <si>
    <t>2º - Israel levi Mendes bentes 20x20</t>
  </si>
  <si>
    <t>2º - João Vicente do Rosário Barroso 30X20</t>
  </si>
  <si>
    <t>2º - Joaquim Cardoso Sousa 20x20</t>
  </si>
  <si>
    <t>2º - Julia Ferreira Da Silva 30X20</t>
  </si>
  <si>
    <t>2º - Kleyton Kauã Valente Vanzeler 30x20</t>
  </si>
  <si>
    <t>2º - Laura Bastos Ribeiro 30x20</t>
  </si>
  <si>
    <t>2º - Leticia Clara Vieira Braga de Meneses 20x20</t>
  </si>
  <si>
    <t>2º - Lucas de Jesus Lopes do Nascimento 30x20</t>
  </si>
  <si>
    <t>2º - Ludmyla Vitória Nogueira da Conceição 30x20</t>
  </si>
  <si>
    <t>2º - Maria Luísa Prata Cunha 20x20</t>
  </si>
  <si>
    <t>2º - Marlon Junior Borges Abdon 20x20</t>
  </si>
  <si>
    <t>2º - Maya Lopes De Almeida Santos 30X20</t>
  </si>
  <si>
    <t>2º - Oscar afonso Cardoso Da silva 30X20</t>
  </si>
  <si>
    <t>2º - Rafael Lucas Tavares Coelho 20x20</t>
  </si>
  <si>
    <t>2º - Sarah Araújo Pessoa 20X20</t>
  </si>
  <si>
    <t>2º - Sérgio Souza Martins 30x20</t>
  </si>
  <si>
    <t>2º - Theo Moraes Pantoja Dos Reis  30X20</t>
  </si>
  <si>
    <t>2º - Vitória Martins Rocha 30x20</t>
  </si>
  <si>
    <t>3º - Abigail Nogueira da Costa Miranda 30x20</t>
  </si>
  <si>
    <t>3º - ADRIANA MANZOTTE REIS 30x20</t>
  </si>
  <si>
    <t>3º - Ana Guimel Rodrigues da Silva 20x20</t>
  </si>
  <si>
    <t>3º - Antonia Emanuela de Oliveira Assunção 20X20</t>
  </si>
  <si>
    <t>3º - Arthur Moura Fernandes 20x20</t>
  </si>
  <si>
    <t>3º - Aryana Miranda Tavares 20x20</t>
  </si>
  <si>
    <t>3º - Ashley louzada guedes 30x20</t>
  </si>
  <si>
    <t>3º - Aurora Fernanda de Oliveira Trindade 20x20</t>
  </si>
  <si>
    <t>3º - CAUANE PEREIRA CAVALCANTE 20x20</t>
  </si>
  <si>
    <t>3º - Clara Dayane da Silva Amador 30X20</t>
  </si>
  <si>
    <t>3º - Darlysson Calebe da Silva sousa 20x20</t>
  </si>
  <si>
    <t>3º - Geovana Gomes Fernandes 20x20</t>
  </si>
  <si>
    <t>3º - Heitor Guilherme Capela Corrêa 30x20</t>
  </si>
  <si>
    <t>3º - Hellem paloma Matias Oliveira 30x20</t>
  </si>
  <si>
    <t>3º - Isabella Correa da Graça 20x20</t>
  </si>
  <si>
    <t>3º - Jean David Nogueira de Lima 30X20</t>
  </si>
  <si>
    <t>3º - Lara Miranda Barros 30x20</t>
  </si>
  <si>
    <t>3º - Maria Eduarda das Neves de Freitas 30x20</t>
  </si>
  <si>
    <t>3º - Maria eduarda Tavares Rodrigues 20x20</t>
  </si>
  <si>
    <t>3º - MATEUS LUIZ DA SILVA NUNES 20x20</t>
  </si>
  <si>
    <t>3º - Mauricio da Cruz Melo Junior 20x20</t>
  </si>
  <si>
    <t>3º - Melissa Falcão Pamplona 20x20</t>
  </si>
  <si>
    <t>3º - Miguel Afonso de Oliveira Gouveia Ferreira 20x20</t>
  </si>
  <si>
    <t>3º - Noemi Tavares margonar 20x20</t>
  </si>
  <si>
    <t>3º - Samia rafaele castro nunes 30x20</t>
  </si>
  <si>
    <t>3º - Sofia Silva de Melo 30x20</t>
  </si>
  <si>
    <t>3º - Tácio Tito Ribeiro de Souza 20x20</t>
  </si>
  <si>
    <t>3º - Taisa Tavares Torres 30x20</t>
  </si>
  <si>
    <t>3º - Yasmin Gonçalves Sarquis 30x20</t>
  </si>
  <si>
    <t>3º - Zoe da Penha Campos 20x20</t>
  </si>
  <si>
    <t>4º - Ana Beatriz Lisboa e Silva 20x20</t>
  </si>
  <si>
    <t>4º - Ana Oliveira Paz 20x20</t>
  </si>
  <si>
    <t>4º - Clarice geovana Gomes de souza 20x20</t>
  </si>
  <si>
    <t>4º - Clark Kalel Santos dos Santos 20x20</t>
  </si>
  <si>
    <t>4º - Enzo Gabriel Virgolino Xavier 20X20</t>
  </si>
  <si>
    <t>4º - Gael lobato da Silva moraes 20x20</t>
  </si>
  <si>
    <t>4º - Helena de Assis Leite 20x20</t>
  </si>
  <si>
    <t>4º - João Vicente Vaz Damascena 20x20</t>
  </si>
  <si>
    <t>4º - João Victor Barros Borges 20X20</t>
  </si>
  <si>
    <t>4º - Júlia Zoppé Pessoa 20x20</t>
  </si>
  <si>
    <t>4º - Marcella Victoria da Silva Rodrigues 20x20</t>
  </si>
  <si>
    <t>4º - Nicolas Alves Castro 20x20</t>
  </si>
  <si>
    <t>4º - Pedro Victor Passos dos Anjos 20x20</t>
  </si>
  <si>
    <t>4º - Pietro Irlan Ferreira Almeida 20x20</t>
  </si>
  <si>
    <t>4º - Ana Lívia Santos de Alcantara 30x20</t>
  </si>
  <si>
    <t>4º - João ibelio de mello monteiro vilhena 30x20</t>
  </si>
  <si>
    <t>4º - João Victor Waechter de Sá 30x20</t>
  </si>
  <si>
    <t>4º - José Leonardo do Nascimento da Silva 30x20</t>
  </si>
  <si>
    <t>4º - Naluh Coutinho Donza 30x20</t>
  </si>
  <si>
    <t>4º - Ninna Maria Corrêa do Nascimento 30x20</t>
  </si>
  <si>
    <t>CONTROLE DE ENVIOS PARA A IMPRESSÃO</t>
  </si>
  <si>
    <t>LOTE 5</t>
  </si>
  <si>
    <t>QUITADO / PENDENTE</t>
  </si>
  <si>
    <t>5º REMESSA (JOSELITO)</t>
  </si>
  <si>
    <t>Ana Clara Rodrigues Dias 30x20</t>
  </si>
  <si>
    <t>QUITADA</t>
  </si>
  <si>
    <t>ANA JULIA TAVARES MARTINS 20x20</t>
  </si>
  <si>
    <t>Ana Lívia Santos de Alcantara 30X20</t>
  </si>
  <si>
    <t>ANA LUÍSA CUNHA DE ARAÚJO 20X20</t>
  </si>
  <si>
    <t>Ana Vitória Borges Kochhann 30x20</t>
  </si>
  <si>
    <t>ANDRÉ FELIPE MIRANDA DA SILVA 20X20</t>
  </si>
  <si>
    <t>Anna Luiza Machado da Silva 20X20</t>
  </si>
  <si>
    <t>Arcanjo Gabriel Ozorio Manacas 20X20</t>
  </si>
  <si>
    <t>EM DIA</t>
  </si>
  <si>
    <t>Arthur Masao Watanabe Valente 30x20</t>
  </si>
  <si>
    <t>ARTUR FARIAS DE SOUZA 20X20</t>
  </si>
  <si>
    <t>Beatriz Shimada Gouvea Leão 20x20</t>
  </si>
  <si>
    <t>Benício Brasil Toso 30x20</t>
  </si>
  <si>
    <t>Brenno vitor Farias e Silva 20X20</t>
  </si>
  <si>
    <t>Carla eduarda pantoja alves 30x20</t>
  </si>
  <si>
    <t>Eduardo Tomaz Farias 20X20</t>
  </si>
  <si>
    <t>Esther Gomes Melo 30X20</t>
  </si>
  <si>
    <t>Evellyn de Nazaré Corrêa Magalhães 30x20</t>
  </si>
  <si>
    <t>PENDENTE/LIBERA</t>
  </si>
  <si>
    <t>Gabriella Nascimento de Lima 20x20</t>
  </si>
  <si>
    <t>Guilherme Samuel de Figueiredo Coutinho 30x20</t>
  </si>
  <si>
    <t>Isabelly de Oliveira Souza 20x20</t>
  </si>
  <si>
    <t>João Pedro de Carvalho 20X20</t>
  </si>
  <si>
    <t>João Vitor Gadelha Vitorino de souza 30x20</t>
  </si>
  <si>
    <t>Joaquim Marques CaetanA Ribeiro 20x20</t>
  </si>
  <si>
    <t>Jullio César Lima marinho 20x20</t>
  </si>
  <si>
    <t>Larissa Vitória Pereira do Nascimento 20x20</t>
  </si>
  <si>
    <t>Layla Beatriz Teixeira Bertrand 30x20</t>
  </si>
  <si>
    <t>LUCAS PIETRO SOUZA MAURO 20x20</t>
  </si>
  <si>
    <t>Luiz Otávio Barcelos Teotônio 20x20</t>
  </si>
  <si>
    <t>Maria Alice Gama de Sousa 20x20</t>
  </si>
  <si>
    <t>MARIA BEATRIZ GÓES SANTANA DA SILVA 20X20</t>
  </si>
  <si>
    <t>Maria Fernanda Nunes Araújo 30x20</t>
  </si>
  <si>
    <t>Maria Flor Lima de Amorim 30x20</t>
  </si>
  <si>
    <t>MELISSA CAVALHEIRO E SOUSA 20X20</t>
  </si>
  <si>
    <t>Melissa de Andrade Nunes 20X20</t>
  </si>
  <si>
    <t>Miguel Nobre Borralhos 20X20</t>
  </si>
  <si>
    <t>Nicole Lima da Cunha 30x20</t>
  </si>
  <si>
    <t>Pedro Américo Ferreira Mazzinghy 30x20</t>
  </si>
  <si>
    <t>ok</t>
  </si>
  <si>
    <t>Pedro Davi Dos Santos Bentes 30X20</t>
  </si>
  <si>
    <t>PENDENTE</t>
  </si>
  <si>
    <t>Rebeca dos anjos Cavalcante de Oliveira 20X20</t>
  </si>
  <si>
    <t>SARAH VITÓRIA SANTOS DA LUZ 30x20</t>
  </si>
  <si>
    <t>SOPHIA RODRIGUES DO VALE 20x20</t>
  </si>
  <si>
    <t>Uelber Rian Ferreira dos Anjos 30x20</t>
  </si>
  <si>
    <t>Victor Yuji Migiyama Vieira 30x20</t>
  </si>
  <si>
    <t>Yasmin Janaù Bastos da Silva 30x20</t>
  </si>
  <si>
    <t>Yuri Pereira de Farias 20x20</t>
  </si>
  <si>
    <t>COLAÇÃO JOSELITO</t>
  </si>
  <si>
    <t>LOTE 1</t>
  </si>
  <si>
    <t>Fernando Svein Silva Dos Santos 30x20</t>
  </si>
  <si>
    <t>OK</t>
  </si>
  <si>
    <t>Allan Da Silva Marvão 24x34</t>
  </si>
  <si>
    <t>Allan Da Silva Marvão 20x20</t>
  </si>
  <si>
    <t>Christian Albuquerque Da Silva 30x20</t>
  </si>
  <si>
    <t>João Italo Freitas Dos Santos 30x20</t>
  </si>
  <si>
    <t>Maria Rita Lobato Pimentel 30x20</t>
  </si>
  <si>
    <t>NAYLANE COSTA DA SILVA 30x20</t>
  </si>
  <si>
    <t>Sarah Samille Da Costa Rego 30x20</t>
  </si>
  <si>
    <t>Felipe Gabriel Oliveira de Souza 30x20</t>
  </si>
  <si>
    <t>Wendy Gabriela Figueiredo Tavares 20x20</t>
  </si>
  <si>
    <t>LOTE 2</t>
  </si>
  <si>
    <t>Allan Da Silva Marvão  20x20</t>
  </si>
  <si>
    <t>Iorran Galvão Do Rosário 20X20</t>
  </si>
  <si>
    <t>Leonardo Rodrigues Da Silva  20X20</t>
  </si>
  <si>
    <t>Lucas Mateus De Almeida Amorim  20X20</t>
  </si>
  <si>
    <t>Álvaro Juan Pimentel Paixão  20X20</t>
  </si>
  <si>
    <t>Adison Da Silva Sobrinho Machado  30x20</t>
  </si>
  <si>
    <t>Artur Diniz Araujo  30x20</t>
  </si>
  <si>
    <t>BRENDA MESQUITA DE SOUSA  30x20</t>
  </si>
  <si>
    <t>Felipe Rodrigues Macedo 30x20</t>
  </si>
  <si>
    <t>Geibson Moreira Mafra Farias  30x20</t>
  </si>
  <si>
    <t>Jessica Pereira Rodrigues 30x20</t>
  </si>
  <si>
    <t>Kauan Almeida Sozinho  30x20</t>
  </si>
  <si>
    <t>Marcelle Rayla Baia Filgueira 30x20</t>
  </si>
  <si>
    <t>ZANGRAF</t>
  </si>
  <si>
    <t>Iorran Galvão Do Rosário 24X34</t>
  </si>
  <si>
    <t>Leonardo Rodrigues Da Silva  24X34</t>
  </si>
  <si>
    <t>Lucas Mateus De Almeida Amorim  24X34</t>
  </si>
  <si>
    <t>Álvaro Juan Pimentel Paixão  24X34</t>
  </si>
  <si>
    <t xml:space="preserve">QUITADO </t>
  </si>
  <si>
    <t>Wendy Gabriela Figueiredo Tavares  24X34</t>
  </si>
  <si>
    <t>ESTOJO</t>
  </si>
  <si>
    <t>4 ESTOJO 24x34</t>
  </si>
  <si>
    <t>Allan Da Silva Marvão  24X34</t>
  </si>
  <si>
    <t>FAMILY DAY - 6 REMESSA</t>
  </si>
  <si>
    <t>Gabriela Coutinho goes -  1021</t>
  </si>
  <si>
    <t>QUITADO</t>
  </si>
  <si>
    <t>João Lucas França Almeida -  1021</t>
  </si>
  <si>
    <t>LILIAN CRISTINA S. NASCIMENTO -  1021</t>
  </si>
  <si>
    <t>Malu da Silva Oliveira Costa -  1021</t>
  </si>
  <si>
    <t>Eduardo Henrique da Silva Menezes -  1074</t>
  </si>
  <si>
    <t>Raryane da Rocha Fiel -  1075</t>
  </si>
  <si>
    <t>Guilherme Kenzo Yamamoto Harima -  1086</t>
  </si>
  <si>
    <t>20x20 - 6</t>
  </si>
  <si>
    <t>Gustavo Freitas Nascimento da Paz -  1086</t>
  </si>
  <si>
    <t>30x20 - 23</t>
  </si>
  <si>
    <t>Helena Miranda Rosa -  1086</t>
  </si>
  <si>
    <t>30x20 - 6</t>
  </si>
  <si>
    <t>Thael nobre Fialho Rodrigues -  1086</t>
  </si>
  <si>
    <t>20x20 - 26</t>
  </si>
  <si>
    <t>Ana Luiza Meireles Calandrine -  1087</t>
  </si>
  <si>
    <t>30x20 11</t>
  </si>
  <si>
    <t>Fernanda Beatriz Cunha Lima -  1087</t>
  </si>
  <si>
    <t>Rosália Maria Savino Pereira do Rosário -  1087</t>
  </si>
  <si>
    <t>Bernardo Jardim Ribeiro -  1088</t>
  </si>
  <si>
    <t>Ayron Arthur Melo Teixeira -  1091</t>
  </si>
  <si>
    <t>Ana Beatriz Brito Morais -  1101</t>
  </si>
  <si>
    <t>Maria Luísa Cordeiro Moraes -  1104</t>
  </si>
  <si>
    <t>Bernardo Drumond Reis -  1112</t>
  </si>
  <si>
    <t>Gabriel Dias Benayon -  1112</t>
  </si>
  <si>
    <t>João Felipe Franco Neves -  1112</t>
  </si>
  <si>
    <t>jolie Sofie da Silva Diniz -  1112</t>
  </si>
  <si>
    <t>Maria Eduarda Freitas da Conceição -  1112</t>
  </si>
  <si>
    <t>Maria Laura Barros Noronha -  1113</t>
  </si>
  <si>
    <t>Paulo Rassy Holanda -  1116</t>
  </si>
  <si>
    <t>Pedro Bernardo Costa Sena -  1116</t>
  </si>
  <si>
    <t>Bruno Lyan Azevedo Carvalho -  1118</t>
  </si>
  <si>
    <t>Isabella Mayse Brito de Oliveira -  1118</t>
  </si>
  <si>
    <t>Anna Lívia Martins Ximendes -  1133</t>
  </si>
  <si>
    <t>Benício Raposo Marinho -  1133</t>
  </si>
  <si>
    <t>Gabriel Almeida Araújo -  1133</t>
  </si>
  <si>
    <t>GUSTAVO OLIVEIRA PAZ -  1133</t>
  </si>
  <si>
    <t>Helena Vieira Moraes Bernades -  1133</t>
  </si>
  <si>
    <t>Júlia Lorena Conceição Bayma -  1133</t>
  </si>
  <si>
    <t>Anna Clara Cunha dos Santos -  1141</t>
  </si>
  <si>
    <t>CARLOS HENRIQUE PINTO DA SILVA -  1141</t>
  </si>
  <si>
    <t>Hannah Ester Nunes dos Santos -  1143</t>
  </si>
  <si>
    <t>Miguel Afonso de Oliveira Gouveia Ferreira -  1166</t>
  </si>
  <si>
    <t xml:space="preserve">3 remessa </t>
  </si>
  <si>
    <t>24X34</t>
  </si>
  <si>
    <t>20X20</t>
  </si>
  <si>
    <t>POSTER</t>
  </si>
  <si>
    <t>A Definir</t>
  </si>
  <si>
    <t>NÃO CONTÉM</t>
  </si>
  <si>
    <t>EM ABERTO</t>
  </si>
  <si>
    <t>1084 - Ana Paula Brito Medino - Studio Day Moscou 30x20</t>
  </si>
  <si>
    <t>1084 - Douglas Ronan Mendes De Oliveira - Studio Day Berlim 24x34</t>
  </si>
  <si>
    <t>20X20 OK</t>
  </si>
  <si>
    <t>1084 - Ingrid Santos do Nascimento - Studio Day Moscou 30x20</t>
  </si>
  <si>
    <t>1084 - Kaèlem Brito Oliveira - Studio Day Moscou 30x20</t>
  </si>
  <si>
    <t>1084 - Leonardo Pereira da Silva - Studio Day Berlim 24x34</t>
  </si>
  <si>
    <t>1173 - Ariel Silva Diniz - Studio Day Moscou 30x20</t>
  </si>
  <si>
    <t>VENCIDA</t>
  </si>
  <si>
    <t>1173 - Gelvany Dos Santos Mota - Studio Day Moscou 30x20</t>
  </si>
  <si>
    <t xml:space="preserve">TUDO OK </t>
  </si>
  <si>
    <t>1084 - Douglas Ronan</t>
  </si>
  <si>
    <t>968 - Ana Karolina Carlos Garcez - Studio Day Berlim 24x34</t>
  </si>
  <si>
    <t xml:space="preserve">20X20 OK </t>
  </si>
  <si>
    <t>968 - Bruna Lorrany Dias da Silva - Studio Day Moscou 30x20</t>
  </si>
  <si>
    <t>968 - Édila Mikaely Farias de Sousa - Studio Day Moscou 30x20</t>
  </si>
  <si>
    <t>968 - Gilvania De Medeiros Lopes - Studio Day Moscou 30x20</t>
  </si>
  <si>
    <t>968 - Hugo Benedito Tenório Sousa - Studio Day Moscou 30x20</t>
  </si>
  <si>
    <t>968 - José Manoel Pereira Coelho Neto - Studio Day Moscou 30x20</t>
  </si>
  <si>
    <t xml:space="preserve">OK </t>
  </si>
  <si>
    <t>968 - Vanderlon Rodrigues Da Silva - Studio Day Moscou 30x20</t>
  </si>
  <si>
    <t>968 - Vinícius Rodrigues Costa - Studio Day Moscou 30x20</t>
  </si>
  <si>
    <t>971 - Amarildo Lobo Pantoja - Studio Day Moscou 30x20</t>
  </si>
  <si>
    <t>988 - Iasmin Pinheiro Cantanhede - Studio Day Berlim 24x34</t>
  </si>
  <si>
    <t>988 - Isabella do Nascimento Campos Daniel - Studio Day Moscou 30x20</t>
  </si>
  <si>
    <t>988 - João Victor Vieira Barbosa - Studio Day Moscou 30x20</t>
  </si>
  <si>
    <t>994 - Adine Nascimento Belo - Studio Day Moscou 30x20</t>
  </si>
  <si>
    <t>994 - Debora Cristina Alfaia Mendes - Studio Day Moscou 30x20</t>
  </si>
  <si>
    <t>994 - Emilly Vitoria Gama de Oliveira - Studio Day Moscou 30x20</t>
  </si>
  <si>
    <t>994 - Geovanna Farias Siqueira - Studio Day Berlim 24x34</t>
  </si>
  <si>
    <t>994 - João Antonio Dos Santos Monteiro - Studio Day Moscou 30x20</t>
  </si>
  <si>
    <t>994 - Rosicléa Barbosa Cardoso Fulco - Studio Day Moscou 30x20</t>
  </si>
  <si>
    <t>994 - Viviane Pereira De Souza - Studio Day Moscou 30x20</t>
  </si>
  <si>
    <t>Gustavo Henrique da Silva Barros  30x20</t>
  </si>
  <si>
    <t>Luana Rebeca Araújo Freitas 30x20</t>
  </si>
  <si>
    <t>Nathália Vieira Barboza 30x20</t>
  </si>
  <si>
    <t>COLAÇÃO DE GRAU - 4 REMESSA ZANGRAF / OS 122147</t>
  </si>
  <si>
    <t xml:space="preserve">EM DIA </t>
  </si>
  <si>
    <t>Gildenia de Araujo Guimarães</t>
  </si>
  <si>
    <r>
      <rPr>
        <rFont val="Arial"/>
        <color theme="1"/>
      </rPr>
      <t xml:space="preserve">Rafaella Da Silva Santos </t>
    </r>
    <r>
      <rPr>
        <rFont val="Arial"/>
        <b/>
        <color theme="1"/>
      </rPr>
      <t>(PRIMEBOOK)</t>
    </r>
  </si>
  <si>
    <t>24x34</t>
  </si>
  <si>
    <t>30x20</t>
  </si>
  <si>
    <t xml:space="preserve">Rey Hall Araujo Ferreira </t>
  </si>
  <si>
    <t>TOTAL 36</t>
  </si>
  <si>
    <t xml:space="preserve">ESTOJOS 30X20: 11 / 24x24: 12 </t>
  </si>
  <si>
    <t>FAMILY DAY - 7 REMESSA</t>
  </si>
  <si>
    <t xml:space="preserve">EMANUELLE TAVARES SILVA </t>
  </si>
  <si>
    <t>GUSTAVO ARAÚJO VAZ</t>
  </si>
  <si>
    <t>JUDÁH MADUREIRA MARINHO</t>
  </si>
  <si>
    <t>MALU DA SILVA OLIVEIRA COSTA</t>
  </si>
  <si>
    <t>SARAH LEÃO DE SOUZA MEIRA</t>
  </si>
  <si>
    <t>VITÓRIA MANUELLA LOPES DE SANTANA</t>
  </si>
  <si>
    <t>WILCKERSON FERNANDES FURTADO COUTINHO</t>
  </si>
  <si>
    <t>ANA BEATRIZ LOPES DE SOUZA</t>
  </si>
  <si>
    <t>ANNA LUZ DE SOUSA OLIVEIRA MIRANDA</t>
  </si>
  <si>
    <t>ÍSIS CASTRO PADILHA</t>
  </si>
  <si>
    <t>LUCAS BRANDEMBURG ALVES</t>
  </si>
  <si>
    <t xml:space="preserve">REBECCA NUNES DE OLIVEIRA </t>
  </si>
  <si>
    <t xml:space="preserve"> MIGUEL RODRIGUES CARDOSO SANTOS</t>
  </si>
  <si>
    <t xml:space="preserve"> RODRIGO FURTADO DIAS</t>
  </si>
  <si>
    <t>SEM ID AINDA</t>
  </si>
  <si>
    <t>COLAÇÃO DE GRAU LOT 5 ESTOJOS 30X22 ZANGRAF / OS 122370</t>
  </si>
  <si>
    <t>Ronaldo Silveira Gonçalves  30X20</t>
  </si>
  <si>
    <t>OIK</t>
  </si>
  <si>
    <t>COLAÇÃO DE GRAU LOTE 6 24X34 E ESTOJO  ZANGRAF</t>
  </si>
  <si>
    <t>1173 - Susy Jennifer Silva Cardoso - Studio Day Berlim 24x34</t>
  </si>
  <si>
    <t>COLAÇÃO DE GRAU - lote  7  ZANGRAF / OS 122602</t>
  </si>
  <si>
    <t>PLANO</t>
  </si>
  <si>
    <t xml:space="preserve">ALBUM </t>
  </si>
  <si>
    <t xml:space="preserve">QUADRO </t>
  </si>
  <si>
    <t>BALI                           30X20</t>
  </si>
  <si>
    <t>Berlim                        24X34</t>
  </si>
  <si>
    <t>ATRASADO</t>
  </si>
  <si>
    <t>ATRSADO</t>
  </si>
  <si>
    <t>Moscou                      30x20</t>
  </si>
  <si>
    <t xml:space="preserve">Thayse Sanches        </t>
  </si>
  <si>
    <t>PRIME BOOK            30x20</t>
  </si>
  <si>
    <t xml:space="preserve">anna livia martins ximendes </t>
  </si>
  <si>
    <t xml:space="preserve">30x20 familly </t>
  </si>
  <si>
    <t>COLAÇÃO DE GRAU - lote  8  ZANGRAF / OS 122871</t>
  </si>
  <si>
    <t>FINALIZADO</t>
  </si>
  <si>
    <t>Moscou                      30x22</t>
  </si>
  <si>
    <t>Moscou                      30x24</t>
  </si>
  <si>
    <t>Moscou                      30x25</t>
  </si>
  <si>
    <t>essencial                    20x20</t>
  </si>
  <si>
    <t>Moscou                      30x28</t>
  </si>
  <si>
    <t>Moscou                      30x29</t>
  </si>
  <si>
    <t>Moscou                      30x30</t>
  </si>
  <si>
    <t>Moscou                      30x31</t>
  </si>
  <si>
    <t>Moscou                      30x32</t>
  </si>
  <si>
    <t>COLAÇÃO DE GRAU - lote  9  ZANGRAF / OS 123476</t>
  </si>
  <si>
    <t>COLAÇÃO DE GRAU - lote  10  ZANGRAF / OS 123688</t>
  </si>
  <si>
    <t>Emilly de Alcantara Assunção</t>
  </si>
  <si>
    <t>COLAÇÃO DE GRAU - lote  11  ZANGRAF / OS 124034</t>
  </si>
  <si>
    <t xml:space="preserve"> Victoria Cristina França Cavalcante</t>
  </si>
  <si>
    <t>Mariângela Cardoso Sousa da Silva (ÁLBUM ANTIGO)</t>
  </si>
  <si>
    <t>30X22</t>
  </si>
  <si>
    <t>COLAÇÃO DE GRAU - lote  12  ZANGRAF / OS 124851</t>
  </si>
  <si>
    <t>COLAÇÃO DE GRAU - lote  13  ZANGRAF / OS 124903</t>
  </si>
  <si>
    <t xml:space="preserve">COLAÇÃO DE GRAU - lote  14  ZANGRAF / OS </t>
  </si>
  <si>
    <t>Ana Mercedes Monteiro De Castro</t>
  </si>
  <si>
    <t>ÁLBUNS</t>
  </si>
  <si>
    <t>VALORES</t>
  </si>
  <si>
    <t>IMPRESSÃO - STATUS</t>
  </si>
  <si>
    <t xml:space="preserve">LOTE </t>
  </si>
  <si>
    <t>ESTOJOS 30X20</t>
  </si>
  <si>
    <t>ESTOJOS 24X34</t>
  </si>
  <si>
    <t>ALBUM 30X20</t>
  </si>
  <si>
    <t>ALBUM 20X20</t>
  </si>
  <si>
    <t>ALBUM 24X34</t>
  </si>
  <si>
    <t>QUANTIDADE TOTAL</t>
  </si>
  <si>
    <t>GRÁFICA</t>
  </si>
  <si>
    <t>DATA DO PEDIDO</t>
  </si>
  <si>
    <t>PRAZO</t>
  </si>
  <si>
    <t>Coluna 1</t>
  </si>
  <si>
    <t>EST 30X20</t>
  </si>
  <si>
    <t>EST 24X34</t>
  </si>
  <si>
    <t>VALOR 30X20</t>
  </si>
  <si>
    <t>VALOR 20X20</t>
  </si>
  <si>
    <t>VALOR 24X34</t>
  </si>
  <si>
    <t xml:space="preserve"> VALOR TOTAL</t>
  </si>
  <si>
    <t>OBS</t>
  </si>
  <si>
    <t>JOSELITO</t>
  </si>
  <si>
    <t>LOTE 1 A 4 - FAMILY</t>
  </si>
  <si>
    <t>PAGO</t>
  </si>
  <si>
    <t>30x20 JOSELITO: R$ 190,00</t>
  </si>
  <si>
    <t>LOTE 1 - COLAÇÃO</t>
  </si>
  <si>
    <t>PAGO 01/06/2026 - COMPROVANTE WPP</t>
  </si>
  <si>
    <t>20x20 JOSELITO: R$ 105,00</t>
  </si>
  <si>
    <t>LOTE 2 - FAMILY E COLAÇÃO</t>
  </si>
  <si>
    <t>PG 3.000,00 08/06/26 - PG 3.000,00 15/06/26</t>
  </si>
  <si>
    <t>AVULSO COLAÇÃO</t>
  </si>
  <si>
    <t xml:space="preserve">OS 120517 / 120567        </t>
  </si>
  <si>
    <t>LOTE 1 - ESTOJO</t>
  </si>
  <si>
    <t>GINEY</t>
  </si>
  <si>
    <r>
      <rPr>
        <rFont val="Arial"/>
        <color theme="1"/>
        <sz val="13.0"/>
      </rPr>
      <t>30x20 estojo - 75,00 / 29,00 /</t>
    </r>
    <r>
      <rPr>
        <rFont val="Arial"/>
        <color rgb="FFFF0000"/>
        <sz val="13.0"/>
      </rPr>
      <t xml:space="preserve"> 37,00</t>
    </r>
  </si>
  <si>
    <t>LOTE 3 - FAMILY E COLAÇÃO</t>
  </si>
  <si>
    <t>PG 3.000,00 / PG 2.000,00 / 5.960,00 / FALTA: 565,00</t>
  </si>
  <si>
    <t>24x34 estojo - 75,00</t>
  </si>
  <si>
    <t>LOTE 4 - COLAÇÃO</t>
  </si>
  <si>
    <t>Álbum 30x20 - 141,35</t>
  </si>
  <si>
    <t>LOTE 5 - COLAÇÃO</t>
  </si>
  <si>
    <t>Álbum 34x24 - 165,00</t>
  </si>
  <si>
    <t>LOTE 6 - COLAÇÃO</t>
  </si>
  <si>
    <t>Álbum 20x20 - 59,40</t>
  </si>
  <si>
    <t>LOTE 7 - COLAÇÃO</t>
  </si>
  <si>
    <t>LOTE 8 - COLAÇÃO</t>
  </si>
  <si>
    <t xml:space="preserve"> </t>
  </si>
  <si>
    <t>LOTE 9 - COLAÇÃO</t>
  </si>
  <si>
    <t>LOTE 7 - FAMILY</t>
  </si>
  <si>
    <t>LOTE 8 - FAMILY</t>
  </si>
  <si>
    <t>adicionar no valor total + 190 de um 30x20 por fora</t>
  </si>
  <si>
    <t>LOTE 10 - COLAÇÃO</t>
  </si>
  <si>
    <t>9</t>
  </si>
  <si>
    <t>LOTE 11 - COLAÇÃO</t>
  </si>
  <si>
    <t>LOTE 12 - COLAÇÃO</t>
  </si>
  <si>
    <t>LOTE 13 - COLAÇÃO</t>
  </si>
  <si>
    <t>LOTE 14 - COLAÇÃO</t>
  </si>
  <si>
    <t>LOTE 15 - COLAÇÃO</t>
  </si>
  <si>
    <t>LOTE 16 - COLAÇÃO</t>
  </si>
  <si>
    <t>LOTE 17</t>
  </si>
  <si>
    <t>DIAGRAMAÇÃO COLAÇÃO</t>
  </si>
  <si>
    <t>20x20</t>
  </si>
  <si>
    <t>PREÇO</t>
  </si>
  <si>
    <t>HELLEN</t>
  </si>
  <si>
    <t>VALOR REF</t>
  </si>
  <si>
    <t>SACOLAS DE VELUDO</t>
  </si>
  <si>
    <t>M</t>
  </si>
  <si>
    <t>G</t>
  </si>
  <si>
    <t>R$ 570,00</t>
  </si>
  <si>
    <t xml:space="preserve">PAGO </t>
  </si>
  <si>
    <t>AGUARDANDO PAGAMENTO INICIAL</t>
  </si>
  <si>
    <t>R$ 2.940,00</t>
  </si>
  <si>
    <t>R$ 530,00</t>
  </si>
  <si>
    <t xml:space="preserve">LOTE 3 </t>
  </si>
  <si>
    <t>R$ 415,00</t>
  </si>
  <si>
    <t>PAGO - 09/06</t>
  </si>
  <si>
    <t>30X20</t>
  </si>
  <si>
    <t>LOTE 4</t>
  </si>
  <si>
    <t>R$ 760,00</t>
  </si>
  <si>
    <t>LOTE 6</t>
  </si>
  <si>
    <t>LOTE 7</t>
  </si>
  <si>
    <t>LOTE 08/09</t>
  </si>
  <si>
    <t>LOTE 02/10</t>
  </si>
  <si>
    <t>EM PRODUÇAO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</si>
</sst>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-m"/>
    <numFmt numFmtId="165" formatCode="dd/MM/yyyy"/>
    <numFmt numFmtId="166" formatCode="dd/mm/yyyy"/>
    <numFmt numFmtId="167" formatCode="dd/MM/yyyy HH:mm"/>
    <numFmt numFmtId="168" formatCode="dd/mm/yyyy hh:mm:ss"/>
    <numFmt numFmtId="169" formatCode="[$R$ -416]#,##0.00"/>
    <numFmt numFmtId="170" formatCode="dd/mm"/>
    <numFmt numFmtId="171" formatCode="d/m"/>
  </numFmts>
  <fonts count="63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rgb="FF434343"/>
      <name val="Calibri"/>
    </font>
    <font>
      <b/>
      <sz val="10.0"/>
      <color theme="1"/>
      <name val="Arial"/>
      <scheme val="minor"/>
    </font>
    <font>
      <b/>
      <sz val="10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b/>
      <sz val="13.0"/>
      <color rgb="FF000000"/>
      <name val="Calibri"/>
    </font>
    <font>
      <b/>
      <sz val="10.0"/>
      <color theme="1"/>
      <name val="Outfit"/>
    </font>
    <font>
      <sz val="11.0"/>
      <color rgb="FF434343"/>
      <name val="Calibri"/>
    </font>
    <font>
      <b/>
      <sz val="12.0"/>
      <color theme="1"/>
      <name val="Arial"/>
      <scheme val="minor"/>
    </font>
    <font>
      <color rgb="FF434343"/>
      <name val="Calibri"/>
    </font>
    <font>
      <b/>
      <sz val="12.0"/>
      <color theme="1"/>
      <name val="Calibri"/>
    </font>
    <font>
      <color theme="1"/>
      <name val="Arial"/>
    </font>
    <font>
      <sz val="10.0"/>
      <color rgb="FF434343"/>
      <name val="Calibri"/>
    </font>
    <font>
      <color rgb="FF188038"/>
      <name val="&quot;Google Sans Mono&quot;"/>
    </font>
    <font>
      <b/>
      <sz val="18.0"/>
      <color rgb="FF000000"/>
      <name val="Calibri"/>
    </font>
    <font>
      <b/>
      <sz val="18.0"/>
      <color theme="1"/>
      <name val="Arial"/>
      <scheme val="minor"/>
    </font>
    <font>
      <color theme="1"/>
      <name val="Outfit"/>
    </font>
    <font>
      <b/>
      <sz val="13.0"/>
      <color rgb="FFFFFFFF"/>
      <name val="Calibri"/>
    </font>
    <font>
      <sz val="13.0"/>
      <color rgb="FFFFFFFF"/>
      <name val="Calibri"/>
    </font>
    <font>
      <sz val="10.0"/>
      <color theme="1"/>
      <name val="Arial"/>
      <scheme val="minor"/>
    </font>
    <font>
      <color rgb="FF274E13"/>
      <name val="&quot;Google Sans Mono&quot;"/>
    </font>
    <font>
      <color rgb="FF1C4587"/>
      <name val="Arial"/>
      <scheme val="minor"/>
    </font>
    <font>
      <b/>
      <sz val="10.0"/>
      <color rgb="FFFF9900"/>
      <name val="Arial"/>
      <scheme val="minor"/>
    </font>
    <font>
      <color rgb="FFFF9900"/>
      <name val="Arial"/>
      <scheme val="minor"/>
    </font>
    <font>
      <sz val="10.0"/>
      <color rgb="FF274E13"/>
      <name val="Arial"/>
    </font>
    <font>
      <color rgb="FF1155CC"/>
      <name val="&quot;Google Sans Mono&quot;"/>
    </font>
    <font>
      <sz val="10.0"/>
      <color rgb="FF000000"/>
      <name val="Arial"/>
    </font>
    <font>
      <color rgb="FF274E13"/>
      <name val="Arial"/>
      <scheme val="minor"/>
    </font>
    <font>
      <sz val="10.0"/>
      <color theme="1"/>
      <name val="Calibri"/>
    </font>
    <font>
      <sz val="11.0"/>
      <color rgb="FF000000"/>
      <name val="Outfit"/>
    </font>
    <font>
      <sz val="11.0"/>
      <color rgb="FF000000"/>
      <name val="Arial"/>
    </font>
    <font>
      <sz val="11.0"/>
      <color rgb="FF000000"/>
      <name val="Arial"/>
      <scheme val="minor"/>
    </font>
    <font>
      <color rgb="FF000000"/>
      <name val="Outfit"/>
    </font>
    <font>
      <color rgb="FFFF9900"/>
      <name val="Arial"/>
    </font>
    <font>
      <color rgb="FF274E13"/>
      <name val="Arial"/>
    </font>
    <font>
      <color rgb="FF000000"/>
      <name val="Arial"/>
    </font>
    <font>
      <color rgb="FF434343"/>
      <name val="Arial"/>
    </font>
    <font>
      <sz val="11.0"/>
      <color rgb="FF000000"/>
      <name val="&quot;Source Sans 3 SGE&quot;"/>
    </font>
    <font>
      <sz val="11.0"/>
      <color rgb="FF1F1F1F"/>
      <name val="Arial"/>
      <scheme val="minor"/>
    </font>
    <font>
      <b/>
      <sz val="27.0"/>
      <color rgb="FFFFFFFF"/>
      <name val="Calibri"/>
    </font>
    <font>
      <b/>
      <sz val="11.0"/>
      <color theme="1"/>
      <name val="Google Sans"/>
    </font>
    <font>
      <sz val="11.0"/>
      <color rgb="FF000000"/>
      <name val="Calibri"/>
    </font>
    <font>
      <b/>
      <sz val="11.0"/>
      <color theme="1"/>
      <name val="Calibri"/>
    </font>
    <font>
      <b/>
      <sz val="11.0"/>
      <color rgb="FF000000"/>
      <name val="Google Sans"/>
    </font>
    <font>
      <b/>
      <sz val="11.0"/>
      <color rgb="FFFFFFFF"/>
      <name val="Calibri"/>
    </font>
    <font/>
    <font>
      <b/>
      <sz val="11.0"/>
      <color rgb="FF1F1F1F"/>
      <name val="Google Sans"/>
    </font>
    <font>
      <i/>
      <sz val="10.0"/>
      <color rgb="FF1F1F1F"/>
      <name val="Arial"/>
      <scheme val="minor"/>
    </font>
    <font>
      <u/>
      <sz val="11.0"/>
      <color rgb="FF0000FF"/>
      <name val="Calibri"/>
    </font>
    <font>
      <b/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</font>
    <font>
      <color rgb="FFFFFFFF"/>
      <name val="Arial"/>
      <scheme val="minor"/>
    </font>
    <font>
      <color rgb="FF000000"/>
      <name val="Arial"/>
      <scheme val="minor"/>
    </font>
    <font>
      <b/>
      <color rgb="FF660000"/>
      <name val="Arial"/>
    </font>
    <font>
      <sz val="11.0"/>
      <color theme="1"/>
      <name val="Outfit"/>
    </font>
    <font>
      <sz val="16.0"/>
      <color theme="1"/>
      <name val="Calibri"/>
    </font>
    <font>
      <sz val="13.0"/>
      <color rgb="FF000000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sz val="13.0"/>
      <color theme="1"/>
      <name val="Arial"/>
    </font>
  </fonts>
  <fills count="3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660000"/>
        <bgColor rgb="FF660000"/>
      </patternFill>
    </fill>
    <fill>
      <patternFill patternType="solid">
        <fgColor rgb="FF990000"/>
        <bgColor rgb="FF990000"/>
      </patternFill>
    </fill>
    <fill>
      <patternFill patternType="solid">
        <fgColor rgb="FFD9EAF7"/>
        <bgColor rgb="FFD9EAF7"/>
      </patternFill>
    </fill>
    <fill>
      <patternFill patternType="solid">
        <fgColor rgb="FF0C343D"/>
        <bgColor rgb="FF0C343D"/>
      </patternFill>
    </fill>
    <fill>
      <patternFill patternType="solid">
        <fgColor rgb="FFDDE3EA"/>
        <bgColor rgb="FFDDE3EA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  <fill>
      <patternFill patternType="solid">
        <fgColor rgb="FFE6B8AF"/>
        <bgColor rgb="FFE6B8AF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1F4E78"/>
        <bgColor rgb="FF1F4E78"/>
      </patternFill>
    </fill>
    <fill>
      <patternFill patternType="solid">
        <fgColor rgb="FF1C4587"/>
        <bgColor rgb="FF1C4587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B7B7B7"/>
        <bgColor rgb="FFB7B7B7"/>
      </patternFill>
    </fill>
    <fill>
      <patternFill patternType="solid">
        <fgColor rgb="FF9F7168"/>
        <bgColor rgb="FF9F7168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274E13"/>
        <bgColor rgb="FF274E13"/>
      </patternFill>
    </fill>
    <fill>
      <patternFill patternType="solid">
        <fgColor rgb="FFF6F8F9"/>
        <bgColor rgb="FFF6F8F9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ck">
        <color rgb="FF4A86E8"/>
      </left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2" numFmtId="0" xfId="0" applyAlignment="1" applyFill="1" applyFont="1">
      <alignment horizontal="center" readingOrder="0" shrinkToFit="0" vertical="bottom" wrapText="0"/>
    </xf>
    <xf borderId="0" fillId="2" fontId="3" numFmtId="0" xfId="0" applyAlignment="1" applyFill="1" applyFont="1">
      <alignment horizontal="center" readingOrder="0" shrinkToFit="0" vertical="bottom" wrapText="0"/>
    </xf>
    <xf borderId="0" fillId="2" fontId="4" numFmtId="0" xfId="0" applyAlignment="1" applyFill="1" applyFont="1">
      <alignment horizontal="center" readingOrder="0" shrinkToFit="0" vertical="bottom" wrapText="0"/>
    </xf>
    <xf borderId="0" fillId="2" fontId="5" numFmtId="0" xfId="0" applyAlignment="1" applyFill="1" applyFont="1">
      <alignment horizontal="center"/>
    </xf>
    <xf borderId="0" fillId="0" fontId="5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2" fontId="5" numFmtId="0" xfId="0" applyAlignment="1" applyFill="1" applyFont="1">
      <alignment horizontal="center" readingOrder="0"/>
    </xf>
    <xf borderId="1" fillId="2" fontId="6" numFmtId="0" xfId="0" applyAlignment="1" applyBorder="1" applyFill="1" applyFont="1">
      <alignment horizontal="center" vertical="bottom"/>
    </xf>
    <xf borderId="1" fillId="3" fontId="7" numFmtId="0" xfId="0" applyAlignment="1" applyBorder="1" applyFill="1" applyFont="1">
      <alignment horizontal="left" readingOrder="0"/>
    </xf>
    <xf borderId="1" fillId="3" fontId="8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left" readingOrder="0"/>
    </xf>
    <xf borderId="1" fillId="3" fontId="4" numFmtId="0" xfId="0" applyAlignment="1" applyBorder="1" applyFill="1" applyFont="1">
      <alignment horizontal="center" readingOrder="0"/>
    </xf>
    <xf borderId="1" fillId="2" fontId="9" numFmtId="0" xfId="0" applyAlignment="1" applyBorder="1" applyFill="1" applyFont="1">
      <alignment horizontal="left" readingOrder="0" shrinkToFit="0" vertical="bottom" wrapText="0"/>
    </xf>
    <xf borderId="1" fillId="2" fontId="10" numFmtId="0" xfId="0" applyAlignment="1" applyBorder="1" applyFill="1" applyFont="1">
      <alignment horizontal="center" readingOrder="0" shrinkToFit="0" vertical="bottom" wrapText="0"/>
    </xf>
    <xf borderId="1" fillId="2" fontId="6" numFmtId="0" xfId="0" applyAlignment="1" applyBorder="1" applyFill="1" applyFont="1">
      <alignment horizontal="left"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0" fontId="11" numFmtId="0" xfId="0" applyAlignment="1" applyBorder="1" applyFont="1">
      <alignment horizontal="left" readingOrder="0"/>
    </xf>
    <xf borderId="1" fillId="4" fontId="12" numFmtId="0" xfId="0" applyAlignment="1" applyBorder="1" applyFill="1" applyFont="1">
      <alignment horizontal="center" readingOrder="0" shrinkToFit="0" vertical="bottom" wrapText="0"/>
    </xf>
    <xf borderId="1" fillId="4" fontId="1" numFmtId="0" xfId="0" applyAlignment="1" applyBorder="1" applyFill="1" applyFont="1">
      <alignment horizontal="center" readingOrder="0" shrinkToFit="0" vertical="bottom" wrapText="0"/>
    </xf>
    <xf borderId="1" fillId="2" fontId="13" numFmtId="0" xfId="0" applyAlignment="1" applyBorder="1" applyFill="1" applyFont="1">
      <alignment horizontal="center" vertical="bottom"/>
    </xf>
    <xf borderId="2" fillId="0" fontId="9" numFmtId="0" xfId="0" applyAlignment="1" applyBorder="1" applyFont="1">
      <alignment horizontal="left" readingOrder="0"/>
    </xf>
    <xf borderId="1" fillId="2" fontId="14" numFmtId="0" xfId="0" applyAlignment="1" applyBorder="1" applyFill="1" applyFont="1">
      <alignment horizontal="left" readingOrder="0" shrinkToFit="0" vertical="bottom" wrapText="0"/>
    </xf>
    <xf borderId="0" fillId="2" fontId="15" numFmtId="0" xfId="0" applyFill="1" applyFont="1"/>
    <xf borderId="1" fillId="4" fontId="16" numFmtId="0" xfId="0" applyAlignment="1" applyBorder="1" applyFill="1" applyFont="1">
      <alignment readingOrder="0" vertical="top"/>
    </xf>
    <xf borderId="1" fillId="4" fontId="17" numFmtId="0" xfId="0" applyAlignment="1" applyBorder="1" applyFill="1" applyFont="1">
      <alignment horizontal="center" readingOrder="0" shrinkToFit="0" vertical="top" wrapText="0"/>
    </xf>
    <xf borderId="0" fillId="0" fontId="18" numFmtId="0" xfId="0" applyAlignment="1" applyFont="1">
      <alignment readingOrder="0" shrinkToFit="0" wrapText="1"/>
    </xf>
    <xf borderId="0" fillId="5" fontId="1" numFmtId="0" xfId="0" applyAlignment="1" applyFill="1" applyFont="1">
      <alignment horizontal="center" readingOrder="0" shrinkToFit="0" vertical="bottom" wrapText="0"/>
    </xf>
    <xf borderId="0" fillId="6" fontId="1" numFmtId="0" xfId="0" applyAlignment="1" applyFill="1" applyFont="1">
      <alignment horizontal="center" readingOrder="0" shrinkToFit="0" vertical="bottom" wrapText="0"/>
    </xf>
    <xf borderId="0" fillId="6" fontId="7" numFmtId="0" xfId="0" applyAlignment="1" applyFill="1" applyFont="1">
      <alignment horizontal="center" readingOrder="0" shrinkToFit="0" vertical="bottom" wrapText="0"/>
    </xf>
    <xf borderId="0" fillId="6" fontId="12" numFmtId="0" xfId="0" applyAlignment="1" applyFill="1" applyFont="1">
      <alignment horizontal="center" readingOrder="0" shrinkToFit="0" vertical="bottom" wrapText="0"/>
    </xf>
    <xf borderId="0" fillId="6" fontId="3" numFmtId="0" xfId="0" applyAlignment="1" applyFill="1" applyFont="1">
      <alignment horizontal="center" readingOrder="0" shrinkToFit="0" vertical="bottom" wrapText="0"/>
    </xf>
    <xf borderId="0" fillId="6" fontId="6" numFmtId="0" xfId="0" applyAlignment="1" applyFill="1" applyFont="1">
      <alignment horizontal="center" readingOrder="0" shrinkToFit="0" vertical="bottom" wrapText="0"/>
    </xf>
    <xf borderId="0" fillId="7" fontId="19" numFmtId="0" xfId="0" applyAlignment="1" applyFill="1" applyFont="1">
      <alignment horizontal="center" readingOrder="0" shrinkToFit="0" vertical="bottom" wrapText="0"/>
    </xf>
    <xf borderId="0" fillId="8" fontId="20" numFmtId="0" xfId="0" applyAlignment="1" applyFill="1" applyFont="1">
      <alignment horizontal="center" readingOrder="0" shrinkToFit="0" vertical="bottom" wrapText="0"/>
    </xf>
    <xf borderId="0" fillId="2" fontId="21" numFmtId="0" xfId="0" applyAlignment="1" applyFill="1" applyFont="1">
      <alignment horizontal="center" readingOrder="0"/>
    </xf>
    <xf borderId="0" fillId="0" fontId="21" numFmtId="165" xfId="0" applyAlignment="1" applyFont="1" applyNumberFormat="1">
      <alignment horizontal="center" readingOrder="0"/>
    </xf>
    <xf borderId="0" fillId="2" fontId="0" numFmtId="0" xfId="0" applyAlignment="1" applyFill="1" applyFont="1">
      <alignment horizontal="center" readingOrder="0"/>
    </xf>
    <xf borderId="0" fillId="0" fontId="21" numFmtId="0" xfId="0" applyAlignment="1" applyFont="1">
      <alignment horizontal="center" readingOrder="0"/>
    </xf>
    <xf borderId="0" fillId="9" fontId="22" numFmtId="0" xfId="0" applyAlignment="1" applyFill="1" applyFont="1">
      <alignment horizontal="center"/>
    </xf>
    <xf borderId="0" fillId="10" fontId="5" numFmtId="0" xfId="0" applyAlignment="1" applyFill="1" applyFont="1">
      <alignment horizontal="center" readingOrder="0"/>
    </xf>
    <xf borderId="0" fillId="11" fontId="15" numFmtId="0" xfId="0" applyAlignment="1" applyFill="1" applyFont="1">
      <alignment readingOrder="0"/>
    </xf>
    <xf borderId="0" fillId="12" fontId="23" numFmtId="0" xfId="0" applyAlignment="1" applyFill="1" applyFont="1">
      <alignment horizontal="center" readingOrder="0"/>
    </xf>
    <xf borderId="0" fillId="13" fontId="24" numFmtId="0" xfId="0" applyAlignment="1" applyFill="1" applyFont="1">
      <alignment horizontal="center" readingOrder="0"/>
    </xf>
    <xf borderId="0" fillId="14" fontId="5" numFmtId="0" xfId="0" applyAlignment="1" applyFill="1" applyFont="1">
      <alignment horizontal="center" readingOrder="0" vertical="center"/>
    </xf>
    <xf borderId="0" fillId="2" fontId="5" numFmtId="0" xfId="0" applyAlignment="1" applyFill="1" applyFont="1">
      <alignment horizontal="center" readingOrder="0" vertical="center"/>
    </xf>
    <xf borderId="0" fillId="12" fontId="5" numFmtId="0" xfId="0" applyAlignment="1" applyFill="1" applyFont="1">
      <alignment horizontal="center"/>
    </xf>
    <xf borderId="0" fillId="2" fontId="5" numFmtId="165" xfId="0" applyAlignment="1" applyFill="1" applyFont="1" applyNumberFormat="1">
      <alignment horizontal="center" readingOrder="0"/>
    </xf>
    <xf borderId="0" fillId="0" fontId="25" numFmtId="165" xfId="0" applyAlignment="1" applyFont="1" applyNumberFormat="1">
      <alignment readingOrder="0"/>
    </xf>
    <xf borderId="0" fillId="2" fontId="26" numFmtId="166" xfId="0" applyAlignment="1" applyFill="1" applyFont="1" applyNumberFormat="1">
      <alignment horizontal="center" readingOrder="0" shrinkToFit="0" vertical="center" wrapText="0"/>
    </xf>
    <xf borderId="0" fillId="2" fontId="27" numFmtId="0" xfId="0" applyFill="1" applyFont="1"/>
    <xf borderId="0" fillId="2" fontId="5" numFmtId="14" xfId="0" applyAlignment="1" applyFill="1" applyFont="1" applyNumberFormat="1">
      <alignment horizontal="center" readingOrder="0"/>
    </xf>
    <xf borderId="0" fillId="0" fontId="5" numFmtId="0" xfId="0" applyAlignment="1" applyFont="1">
      <alignment horizontal="center" readingOrder="0" vertical="center"/>
    </xf>
    <xf borderId="0" fillId="0" fontId="5" numFmtId="165" xfId="0" applyAlignment="1" applyFont="1" applyNumberFormat="1">
      <alignment horizontal="center" readingOrder="0" vertical="center"/>
    </xf>
    <xf borderId="0" fillId="2" fontId="28" numFmtId="49" xfId="0" applyAlignment="1" applyFill="1" applyFont="1" applyNumberFormat="1">
      <alignment horizontal="center" readingOrder="0" textRotation="0" vertical="center"/>
    </xf>
    <xf borderId="0" fillId="0" fontId="21" numFmtId="0" xfId="0" applyAlignment="1" applyFont="1">
      <alignment horizontal="center" readingOrder="0" vertical="center"/>
    </xf>
    <xf borderId="0" fillId="10" fontId="5" numFmtId="0" xfId="0" applyAlignment="1" applyFill="1" applyFont="1">
      <alignment horizontal="center" readingOrder="0" vertical="center"/>
    </xf>
    <xf borderId="0" fillId="13" fontId="24" numFmtId="0" xfId="0" applyAlignment="1" applyFill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25" numFmtId="0" xfId="0" applyFont="1"/>
    <xf borderId="0" fillId="2" fontId="29" numFmtId="165" xfId="0" applyAlignment="1" applyFill="1" applyFont="1" applyNumberFormat="1">
      <alignment horizontal="center" readingOrder="0" vertical="center"/>
    </xf>
    <xf borderId="0" fillId="0" fontId="21" numFmtId="167" xfId="0" applyAlignment="1" applyFont="1" applyNumberFormat="1">
      <alignment horizontal="center" readingOrder="0"/>
    </xf>
    <xf borderId="0" fillId="12" fontId="5" numFmtId="0" xfId="0" applyAlignment="1" applyFill="1" applyFont="1">
      <alignment horizontal="center" readingOrder="0"/>
    </xf>
    <xf borderId="0" fillId="2" fontId="5" numFmtId="167" xfId="0" applyAlignment="1" applyFill="1" applyFont="1" applyNumberFormat="1">
      <alignment horizontal="center" readingOrder="0"/>
    </xf>
    <xf borderId="0" fillId="2" fontId="29" numFmtId="14" xfId="0" applyAlignment="1" applyFill="1" applyFont="1" applyNumberFormat="1">
      <alignment horizontal="center" readingOrder="0"/>
    </xf>
    <xf borderId="0" fillId="2" fontId="27" numFmtId="14" xfId="0" applyFill="1" applyFont="1" applyNumberFormat="1"/>
    <xf borderId="0" fillId="2" fontId="30" numFmtId="0" xfId="0" applyAlignment="1" applyFill="1" applyFont="1">
      <alignment horizontal="center" readingOrder="0" vertical="bottom"/>
    </xf>
    <xf borderId="0" fillId="2" fontId="21" numFmtId="167" xfId="0" applyAlignment="1" applyFill="1" applyFont="1" applyNumberFormat="1">
      <alignment horizontal="center" readingOrder="0" vertical="bottom"/>
    </xf>
    <xf borderId="0" fillId="2" fontId="0" numFmtId="0" xfId="0" applyAlignment="1" applyFill="1" applyFont="1">
      <alignment horizontal="center" readingOrder="0" vertical="bottom"/>
    </xf>
    <xf borderId="0" fillId="2" fontId="21" numFmtId="0" xfId="0" applyAlignment="1" applyFill="1" applyFont="1">
      <alignment horizontal="center" readingOrder="0" vertical="bottom"/>
    </xf>
    <xf borderId="0" fillId="10" fontId="5" numFmtId="0" xfId="0" applyAlignment="1" applyFill="1" applyFont="1">
      <alignment horizontal="center" readingOrder="0"/>
    </xf>
    <xf borderId="0" fillId="2" fontId="29" numFmtId="167" xfId="0" applyAlignment="1" applyFill="1" applyFont="1" applyNumberFormat="1">
      <alignment horizontal="center"/>
    </xf>
    <xf borderId="0" fillId="2" fontId="27" numFmtId="167" xfId="0" applyFill="1" applyFont="1" applyNumberFormat="1"/>
    <xf borderId="0" fillId="2" fontId="21" numFmtId="165" xfId="0" applyAlignment="1" applyFill="1" applyFont="1" applyNumberFormat="1">
      <alignment horizontal="center" readingOrder="0" vertical="bottom"/>
    </xf>
    <xf borderId="0" fillId="2" fontId="29" numFmtId="165" xfId="0" applyAlignment="1" applyFill="1" applyFont="1" applyNumberFormat="1">
      <alignment horizontal="center"/>
    </xf>
    <xf borderId="0" fillId="2" fontId="27" numFmtId="165" xfId="0" applyFill="1" applyFont="1" applyNumberFormat="1"/>
    <xf borderId="0" fillId="0" fontId="21" numFmtId="165" xfId="0" applyAlignment="1" applyFont="1" applyNumberFormat="1">
      <alignment horizontal="center" readingOrder="0" vertical="center"/>
    </xf>
    <xf borderId="0" fillId="0" fontId="0" numFmtId="49" xfId="0" applyAlignment="1" applyFont="1" applyNumberFormat="1">
      <alignment horizontal="center" readingOrder="0"/>
    </xf>
    <xf borderId="0" fillId="2" fontId="0" numFmtId="0" xfId="0" applyAlignment="1" applyFill="1" applyFont="1">
      <alignment horizontal="center" readingOrder="0"/>
    </xf>
    <xf borderId="0" fillId="2" fontId="0" numFmtId="14" xfId="0" applyAlignment="1" applyFill="1" applyFont="1" applyNumberFormat="1">
      <alignment horizontal="center" readingOrder="0"/>
    </xf>
    <xf borderId="0" fillId="0" fontId="0" numFmtId="0" xfId="0" applyAlignment="1" applyFont="1">
      <alignment horizontal="center" readingOrder="0"/>
    </xf>
    <xf borderId="0" fillId="2" fontId="29" numFmtId="0" xfId="0" applyAlignment="1" applyFill="1" applyFont="1">
      <alignment horizontal="center"/>
    </xf>
    <xf borderId="0" fillId="2" fontId="31" numFmtId="49" xfId="0" applyAlignment="1" applyFill="1" applyFont="1" applyNumberFormat="1">
      <alignment horizontal="center" readingOrder="0"/>
    </xf>
    <xf borderId="0" fillId="2" fontId="31" numFmtId="0" xfId="0" applyAlignment="1" applyFill="1" applyFont="1">
      <alignment horizontal="center" readingOrder="0"/>
    </xf>
    <xf borderId="0" fillId="2" fontId="29" numFmtId="166" xfId="0" applyAlignment="1" applyFill="1" applyFont="1" applyNumberFormat="1">
      <alignment horizontal="center" readingOrder="0"/>
    </xf>
    <xf borderId="0" fillId="2" fontId="27" numFmtId="166" xfId="0" applyFill="1" applyFont="1" applyNumberFormat="1"/>
    <xf borderId="0" fillId="10" fontId="13" numFmtId="0" xfId="0" applyAlignment="1" applyFill="1" applyFont="1">
      <alignment horizontal="center" readingOrder="0"/>
    </xf>
    <xf borderId="0" fillId="2" fontId="32" numFmtId="49" xfId="0" applyAlignment="1" applyFill="1" applyFont="1" applyNumberFormat="1">
      <alignment horizontal="center" readingOrder="0" textRotation="0" vertical="center"/>
    </xf>
    <xf borderId="0" fillId="2" fontId="33" numFmtId="0" xfId="0" applyAlignment="1" applyFill="1" applyFont="1">
      <alignment horizontal="center" readingOrder="0" vertical="center"/>
    </xf>
    <xf borderId="0" fillId="2" fontId="0" numFmtId="165" xfId="0" applyAlignment="1" applyFill="1" applyFont="1" applyNumberFormat="1">
      <alignment horizontal="center" readingOrder="0"/>
    </xf>
    <xf borderId="0" fillId="0" fontId="21" numFmtId="0" xfId="0" applyAlignment="1" applyFont="1">
      <alignment horizontal="center" readingOrder="0" shrinkToFit="0" vertical="bottom" wrapText="0"/>
    </xf>
    <xf borderId="0" fillId="2" fontId="0" numFmtId="0" xfId="0" applyAlignment="1" applyFill="1" applyFont="1">
      <alignment horizontal="center" readingOrder="0" vertical="center"/>
    </xf>
    <xf borderId="0" fillId="2" fontId="29" numFmtId="165" xfId="0" applyAlignment="1" applyFill="1" applyFont="1" applyNumberFormat="1">
      <alignment horizontal="center" readingOrder="0"/>
    </xf>
    <xf borderId="0" fillId="2" fontId="21" numFmtId="167" xfId="0" applyAlignment="1" applyFill="1" applyFont="1" applyNumberFormat="1">
      <alignment horizontal="center" readingOrder="0"/>
    </xf>
    <xf borderId="0" fillId="0" fontId="18" numFmtId="49" xfId="0" applyAlignment="1" applyFont="1" applyNumberFormat="1">
      <alignment horizontal="center" readingOrder="0"/>
    </xf>
    <xf borderId="0" fillId="2" fontId="21" numFmtId="0" xfId="0" applyAlignment="1" applyFill="1" applyFont="1">
      <alignment horizontal="center" readingOrder="0" vertical="center"/>
    </xf>
    <xf borderId="0" fillId="2" fontId="0" numFmtId="165" xfId="0" applyAlignment="1" applyFill="1" applyFont="1" applyNumberFormat="1">
      <alignment horizontal="center" readingOrder="0" vertical="center"/>
    </xf>
    <xf borderId="0" fillId="2" fontId="0" numFmtId="49" xfId="0" applyAlignment="1" applyFill="1" applyFont="1" applyNumberFormat="1">
      <alignment horizontal="center" readingOrder="0" textRotation="0" vertical="center"/>
    </xf>
    <xf borderId="0" fillId="2" fontId="0" numFmtId="0" xfId="0" applyAlignment="1" applyFill="1" applyFont="1">
      <alignment horizontal="center" readingOrder="0" vertical="center"/>
    </xf>
    <xf borderId="0" fillId="2" fontId="21" numFmtId="165" xfId="0" applyAlignment="1" applyFill="1" applyFont="1" applyNumberFormat="1">
      <alignment horizontal="center" readingOrder="0"/>
    </xf>
    <xf borderId="0" fillId="2" fontId="6" numFmtId="0" xfId="0" applyAlignment="1" applyFill="1" applyFont="1">
      <alignment horizontal="center" readingOrder="0" shrinkToFit="0" vertical="bottom" wrapText="0"/>
    </xf>
    <xf borderId="0" fillId="9" fontId="22" numFmtId="0" xfId="0" applyAlignment="1" applyFill="1" applyFon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2" fontId="29" numFmtId="0" xfId="0" applyAlignment="1" applyFill="1" applyFont="1">
      <alignment horizontal="center" vertical="center"/>
    </xf>
    <xf borderId="0" fillId="2" fontId="34" numFmtId="49" xfId="0" applyAlignment="1" applyFill="1" applyFont="1" applyNumberFormat="1">
      <alignment horizontal="center" readingOrder="0"/>
    </xf>
    <xf borderId="0" fillId="2" fontId="0" numFmtId="49" xfId="0" applyAlignment="1" applyFill="1" applyFont="1" applyNumberFormat="1">
      <alignment horizontal="center" readingOrder="0"/>
    </xf>
    <xf borderId="0" fillId="0" fontId="25" numFmtId="167" xfId="0" applyAlignment="1" applyFont="1" applyNumberFormat="1">
      <alignment readingOrder="0"/>
    </xf>
    <xf borderId="0" fillId="16" fontId="5" numFmtId="0" xfId="0" applyAlignment="1" applyFill="1" applyFont="1">
      <alignment horizontal="center" readingOrder="0"/>
    </xf>
    <xf borderId="0" fillId="10" fontId="13" numFmtId="0" xfId="0" applyAlignment="1" applyFill="1" applyFont="1">
      <alignment horizontal="center"/>
    </xf>
    <xf borderId="0" fillId="2" fontId="0" numFmtId="165" xfId="0" applyAlignment="1" applyFill="1" applyFont="1" applyNumberFormat="1">
      <alignment horizontal="center" readingOrder="0" vertical="center"/>
    </xf>
    <xf borderId="0" fillId="2" fontId="26" numFmtId="168" xfId="0" applyAlignment="1" applyFill="1" applyFont="1" applyNumberFormat="1">
      <alignment horizontal="center" readingOrder="0" shrinkToFit="0" vertical="center" wrapText="0"/>
    </xf>
    <xf borderId="0" fillId="2" fontId="27" numFmtId="168" xfId="0" applyFill="1" applyFont="1" applyNumberFormat="1"/>
    <xf borderId="0" fillId="0" fontId="21" numFmtId="14" xfId="0" applyAlignment="1" applyFont="1" applyNumberFormat="1">
      <alignment horizontal="center" readingOrder="0"/>
    </xf>
    <xf borderId="0" fillId="11" fontId="15" numFmtId="0" xfId="0" applyFill="1" applyFont="1"/>
    <xf borderId="0" fillId="0" fontId="13" numFmtId="0" xfId="0" applyAlignment="1" applyFont="1">
      <alignment horizontal="center"/>
    </xf>
    <xf borderId="0" fillId="2" fontId="13" numFmtId="165" xfId="0" applyAlignment="1" applyFill="1" applyFont="1" applyNumberFormat="1">
      <alignment horizontal="center" readingOrder="0"/>
    </xf>
    <xf borderId="0" fillId="2" fontId="13" numFmtId="49" xfId="0" applyAlignment="1" applyFill="1" applyFont="1" applyNumberFormat="1">
      <alignment horizontal="center" vertical="bottom"/>
    </xf>
    <xf borderId="0" fillId="2" fontId="13" numFmtId="0" xfId="0" applyAlignment="1" applyFill="1" applyFont="1">
      <alignment horizontal="center" vertical="bottom"/>
    </xf>
    <xf borderId="0" fillId="13" fontId="24" numFmtId="0" xfId="0" applyAlignment="1" applyFill="1" applyFont="1">
      <alignment horizontal="center" readingOrder="0" vertical="bottom"/>
    </xf>
    <xf borderId="0" fillId="0" fontId="13" numFmtId="0" xfId="0" applyAlignment="1" applyFont="1">
      <alignment vertical="bottom"/>
    </xf>
    <xf borderId="0" fillId="0" fontId="13" numFmtId="0" xfId="0" applyFont="1"/>
    <xf borderId="0" fillId="12" fontId="13" numFmtId="0" xfId="0" applyAlignment="1" applyFill="1" applyFont="1">
      <alignment horizontal="center"/>
    </xf>
    <xf borderId="0" fillId="0" fontId="35" numFmtId="165" xfId="0" applyAlignment="1" applyFont="1" applyNumberFormat="1">
      <alignment readingOrder="0" vertical="bottom"/>
    </xf>
    <xf borderId="0" fillId="2" fontId="36" numFmtId="165" xfId="0" applyAlignment="1" applyFill="1" applyFont="1" applyNumberFormat="1">
      <alignment vertical="bottom"/>
    </xf>
    <xf borderId="0" fillId="2" fontId="0" numFmtId="0" xfId="0" applyAlignment="1" applyFill="1" applyFont="1">
      <alignment horizontal="center" readingOrder="0"/>
    </xf>
    <xf borderId="0" fillId="2" fontId="21" numFmtId="166" xfId="0" applyAlignment="1" applyFill="1" applyFont="1" applyNumberFormat="1">
      <alignment horizontal="center" readingOrder="0" vertical="bottom"/>
    </xf>
    <xf borderId="0" fillId="2" fontId="5" numFmtId="166" xfId="0" applyAlignment="1" applyFill="1" applyFont="1" applyNumberFormat="1">
      <alignment horizontal="center" readingOrder="0"/>
    </xf>
    <xf borderId="0" fillId="2" fontId="13" numFmtId="49" xfId="0" applyAlignment="1" applyFill="1" applyFont="1" applyNumberFormat="1">
      <alignment horizontal="center" readingOrder="0" vertical="bottom"/>
    </xf>
    <xf borderId="0" fillId="13" fontId="24" numFmtId="0" xfId="0" applyAlignment="1" applyFill="1" applyFont="1">
      <alignment horizontal="center" readingOrder="0" shrinkToFit="0" vertical="bottom" wrapText="0"/>
    </xf>
    <xf borderId="0" fillId="2" fontId="21" numFmtId="14" xfId="0" applyAlignment="1" applyFill="1" applyFont="1" applyNumberFormat="1">
      <alignment horizontal="center" readingOrder="0"/>
    </xf>
    <xf borderId="0" fillId="2" fontId="29" numFmtId="14" xfId="0" applyAlignment="1" applyFill="1" applyFont="1" applyNumberFormat="1">
      <alignment horizontal="center"/>
    </xf>
    <xf borderId="0" fillId="2" fontId="26" numFmtId="165" xfId="0" applyAlignment="1" applyFill="1" applyFont="1" applyNumberFormat="1">
      <alignment horizontal="center" readingOrder="0" shrinkToFit="0" vertical="center" wrapText="0"/>
    </xf>
    <xf borderId="0" fillId="14" fontId="5" numFmtId="0" xfId="0" applyAlignment="1" applyFill="1" applyFont="1">
      <alignment horizontal="center" readingOrder="0"/>
    </xf>
    <xf borderId="0" fillId="2" fontId="29" numFmtId="166" xfId="0" applyAlignment="1" applyFill="1" applyFont="1" applyNumberFormat="1">
      <alignment horizontal="center"/>
    </xf>
    <xf borderId="0" fillId="2" fontId="28" numFmtId="0" xfId="0" applyAlignment="1" applyFill="1" applyFont="1">
      <alignment horizontal="center" readingOrder="0" textRotation="0" vertical="center"/>
    </xf>
    <xf borderId="0" fillId="0" fontId="5" numFmtId="166" xfId="0" applyAlignment="1" applyFont="1" applyNumberFormat="1">
      <alignment horizontal="center" readingOrder="0" vertical="center"/>
    </xf>
    <xf borderId="0" fillId="0" fontId="37" numFmtId="49" xfId="0" applyAlignment="1" applyFont="1" applyNumberFormat="1">
      <alignment horizontal="center" readingOrder="0" vertical="bottom"/>
    </xf>
    <xf borderId="0" fillId="11" fontId="15" numFmtId="0" xfId="0" applyAlignment="1" applyFill="1" applyFont="1">
      <alignment readingOrder="0"/>
    </xf>
    <xf borderId="0" fillId="2" fontId="5" numFmtId="0" xfId="0" applyAlignment="1" applyFill="1" applyFont="1">
      <alignment horizontal="center"/>
    </xf>
    <xf borderId="0" fillId="2" fontId="26" numFmtId="0" xfId="0" applyAlignment="1" applyFill="1" applyFont="1">
      <alignment horizontal="center" readingOrder="0" shrinkToFit="0" vertical="center" wrapText="0"/>
    </xf>
    <xf borderId="0" fillId="0" fontId="5" numFmtId="14" xfId="0" applyAlignment="1" applyFont="1" applyNumberFormat="1">
      <alignment horizontal="center" readingOrder="0"/>
    </xf>
    <xf borderId="0" fillId="17" fontId="0" numFmtId="0" xfId="0" applyAlignment="1" applyFill="1" applyFont="1">
      <alignment horizontal="center" readingOrder="0" vertical="bottom"/>
    </xf>
    <xf borderId="0" fillId="17" fontId="21" numFmtId="0" xfId="0" applyAlignment="1" applyFill="1" applyFont="1">
      <alignment horizontal="center" readingOrder="0" vertical="bottom"/>
    </xf>
    <xf borderId="0" fillId="18" fontId="5" numFmtId="0" xfId="0" applyAlignment="1" applyFill="1" applyFont="1">
      <alignment horizontal="center" readingOrder="0"/>
    </xf>
    <xf borderId="0" fillId="2" fontId="0" numFmtId="169" xfId="0" applyAlignment="1" applyFill="1" applyFont="1" applyNumberFormat="1">
      <alignment horizontal="center" readingOrder="0" vertical="bottom"/>
    </xf>
    <xf borderId="0" fillId="0" fontId="13" numFmtId="165" xfId="0" applyAlignment="1" applyFont="1" applyNumberFormat="1">
      <alignment horizontal="center" readingOrder="0" vertical="bottom"/>
    </xf>
    <xf borderId="0" fillId="0" fontId="38" numFmtId="49" xfId="0" applyAlignment="1" applyFont="1" applyNumberFormat="1">
      <alignment horizontal="center" vertical="bottom"/>
    </xf>
    <xf borderId="0" fillId="0" fontId="13" numFmtId="0" xfId="0" applyAlignment="1" applyFont="1">
      <alignment horizontal="center" vertical="bottom"/>
    </xf>
    <xf borderId="0" fillId="0" fontId="35" numFmtId="0" xfId="0" applyAlignment="1" applyFont="1">
      <alignment vertical="bottom"/>
    </xf>
    <xf borderId="0" fillId="0" fontId="18" numFmtId="49" xfId="0" applyAlignment="1" applyFont="1" applyNumberFormat="1">
      <alignment readingOrder="0"/>
    </xf>
    <xf borderId="0" fillId="2" fontId="39" numFmtId="0" xfId="0" applyAlignment="1" applyFill="1" applyFont="1">
      <alignment horizontal="center" readingOrder="0"/>
    </xf>
    <xf borderId="0" fillId="2" fontId="0" numFmtId="167" xfId="0" applyAlignment="1" applyFill="1" applyFont="1" applyNumberFormat="1">
      <alignment horizontal="center" readingOrder="0"/>
    </xf>
    <xf borderId="0" fillId="2" fontId="0" numFmtId="49" xfId="0" applyAlignment="1" applyFill="1" applyFont="1" applyNumberFormat="1">
      <alignment horizontal="center" readingOrder="0" shrinkToFit="0" textRotation="0" vertical="center" wrapText="0"/>
    </xf>
    <xf borderId="0" fillId="0" fontId="13" numFmtId="166" xfId="0" applyAlignment="1" applyFont="1" applyNumberFormat="1">
      <alignment horizontal="center" vertical="bottom"/>
    </xf>
    <xf borderId="0" fillId="0" fontId="21" numFmtId="166" xfId="0" applyAlignment="1" applyFont="1" applyNumberFormat="1">
      <alignment horizontal="center" readingOrder="0"/>
    </xf>
    <xf borderId="0" fillId="16" fontId="5" numFmtId="0" xfId="0" applyAlignment="1" applyFill="1" applyFont="1">
      <alignment horizontal="center" readingOrder="0" vertical="center"/>
    </xf>
    <xf borderId="3" fillId="13" fontId="24" numFmtId="0" xfId="0" applyAlignment="1" applyBorder="1" applyFill="1" applyFont="1">
      <alignment horizontal="center" readingOrder="0"/>
    </xf>
    <xf borderId="3" fillId="0" fontId="5" numFmtId="0" xfId="0" applyAlignment="1" applyBorder="1" applyFont="1">
      <alignment horizontal="center"/>
    </xf>
    <xf borderId="0" fillId="2" fontId="40" numFmtId="0" xfId="0" applyAlignment="1" applyFill="1" applyFont="1">
      <alignment horizontal="center" readingOrder="0"/>
    </xf>
    <xf borderId="0" fillId="19" fontId="5" numFmtId="0" xfId="0" applyAlignment="1" applyFill="1" applyFont="1">
      <alignment horizontal="center" readingOrder="0"/>
    </xf>
    <xf borderId="0" fillId="2" fontId="21" numFmtId="0" xfId="0" applyAlignment="1" applyFill="1" applyFont="1">
      <alignment horizontal="center" readingOrder="0" shrinkToFit="0" vertical="bottom" wrapText="0"/>
    </xf>
    <xf borderId="0" fillId="2" fontId="25" numFmtId="167" xfId="0" applyAlignment="1" applyFill="1" applyFont="1" applyNumberFormat="1">
      <alignment horizontal="center" readingOrder="0"/>
    </xf>
    <xf borderId="0" fillId="15" fontId="5" numFmtId="0" xfId="0" applyAlignment="1" applyFill="1" applyFont="1">
      <alignment horizontal="center" readingOrder="0" vertical="center"/>
    </xf>
    <xf borderId="0" fillId="13" fontId="24" numFmtId="0" xfId="0" applyAlignment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49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49" xfId="0" applyFont="1" applyNumberFormat="1"/>
    <xf borderId="0" fillId="0" fontId="5" numFmtId="0" xfId="0" applyFont="1"/>
    <xf borderId="0" fillId="20" fontId="41" numFmtId="0" xfId="0" applyAlignment="1" applyFill="1" applyFont="1">
      <alignment horizontal="center" readingOrder="0" shrinkToFit="0" wrapText="0"/>
    </xf>
    <xf borderId="4" fillId="9" fontId="42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vertical="center"/>
    </xf>
    <xf borderId="1" fillId="0" fontId="43" numFmtId="0" xfId="0" applyAlignment="1" applyBorder="1" applyFont="1">
      <alignment horizontal="center" readingOrder="0"/>
    </xf>
    <xf borderId="1" fillId="14" fontId="43" numFmtId="0" xfId="0" applyAlignment="1" applyBorder="1" applyFill="1" applyFont="1">
      <alignment horizontal="center" readingOrder="0"/>
    </xf>
    <xf borderId="1" fillId="0" fontId="43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/>
    </xf>
    <xf borderId="5" fillId="2" fontId="44" numFmtId="0" xfId="0" applyAlignment="1" applyBorder="1" applyFill="1" applyFont="1">
      <alignment horizontal="center" readingOrder="0"/>
    </xf>
    <xf borderId="5" fillId="2" fontId="42" numFmtId="0" xfId="0" applyAlignment="1" applyBorder="1" applyFill="1" applyFont="1">
      <alignment horizontal="center" readingOrder="0"/>
    </xf>
    <xf borderId="0" fillId="2" fontId="5" numFmtId="0" xfId="0" applyFill="1" applyFont="1"/>
    <xf borderId="0" fillId="2" fontId="43" numFmtId="0" xfId="0" applyAlignment="1" applyFill="1" applyFont="1">
      <alignment horizontal="center" shrinkToFit="0" vertical="bottom" wrapText="0"/>
    </xf>
    <xf borderId="0" fillId="2" fontId="43" numFmtId="0" xfId="0" applyAlignment="1" applyFill="1" applyFont="1">
      <alignment shrinkToFit="0" vertical="bottom" wrapText="0"/>
    </xf>
    <xf borderId="0" fillId="2" fontId="45" numFmtId="0" xfId="0" applyAlignment="1" applyFill="1" applyFont="1">
      <alignment horizontal="center" shrinkToFit="0" vertical="bottom" wrapText="0"/>
    </xf>
    <xf borderId="6" fillId="21" fontId="46" numFmtId="0" xfId="0" applyAlignment="1" applyBorder="1" applyFill="1" applyFont="1">
      <alignment horizontal="center" readingOrder="0" shrinkToFit="0" vertical="bottom" wrapText="0"/>
    </xf>
    <xf borderId="7" fillId="0" fontId="47" numFmtId="0" xfId="0" applyBorder="1" applyFont="1"/>
    <xf borderId="0" fillId="2" fontId="46" numFmtId="0" xfId="0" applyAlignment="1" applyFill="1" applyFont="1">
      <alignment readingOrder="0" shrinkToFit="0" vertical="bottom" wrapText="0"/>
    </xf>
    <xf borderId="1" fillId="22" fontId="43" numFmtId="0" xfId="0" applyAlignment="1" applyBorder="1" applyFill="1" applyFont="1">
      <alignment readingOrder="0" shrinkToFit="0" vertical="bottom" wrapText="0"/>
    </xf>
    <xf borderId="1" fillId="22" fontId="43" numFmtId="0" xfId="0" applyAlignment="1" applyBorder="1" applyFill="1" applyFont="1">
      <alignment horizontal="center" readingOrder="0"/>
    </xf>
    <xf borderId="1" fillId="23" fontId="43" numFmtId="0" xfId="0" applyAlignment="1" applyBorder="1" applyFill="1" applyFont="1">
      <alignment readingOrder="0" shrinkToFit="0" vertical="bottom" wrapText="0"/>
    </xf>
    <xf borderId="1" fillId="23" fontId="43" numFmtId="0" xfId="0" applyAlignment="1" applyBorder="1" applyFill="1" applyFont="1">
      <alignment horizontal="center" readingOrder="0" shrinkToFit="0" vertical="bottom" wrapText="0"/>
    </xf>
    <xf borderId="8" fillId="2" fontId="43" numFmtId="0" xfId="0" applyAlignment="1" applyBorder="1" applyFill="1" applyFont="1">
      <alignment horizontal="center" readingOrder="0" shrinkToFit="0" vertical="bottom" wrapText="0"/>
    </xf>
    <xf borderId="0" fillId="2" fontId="42" numFmtId="0" xfId="0" applyAlignment="1" applyFill="1" applyFont="1">
      <alignment horizontal="center"/>
    </xf>
    <xf borderId="1" fillId="14" fontId="43" numFmtId="0" xfId="0" applyAlignment="1" applyBorder="1" applyFill="1" applyFont="1">
      <alignment readingOrder="0" shrinkToFit="0" vertical="bottom" wrapText="0"/>
    </xf>
    <xf borderId="1" fillId="14" fontId="43" numFmtId="0" xfId="0" applyAlignment="1" applyBorder="1" applyFill="1" applyFont="1">
      <alignment horizontal="center" readingOrder="0" shrinkToFit="0" vertical="bottom" wrapText="0"/>
    </xf>
    <xf borderId="1" fillId="24" fontId="43" numFmtId="0" xfId="0" applyAlignment="1" applyBorder="1" applyFill="1" applyFont="1">
      <alignment readingOrder="0" shrinkToFit="0" vertical="bottom" wrapText="0"/>
    </xf>
    <xf borderId="1" fillId="24" fontId="43" numFmtId="0" xfId="0" applyAlignment="1" applyBorder="1" applyFill="1" applyFont="1">
      <alignment horizontal="center" readingOrder="0" shrinkToFit="0" vertical="bottom" wrapText="0"/>
    </xf>
    <xf borderId="1" fillId="12" fontId="43" numFmtId="0" xfId="0" applyAlignment="1" applyBorder="1" applyFill="1" applyFont="1">
      <alignment readingOrder="0" shrinkToFit="0" vertical="bottom" wrapText="0"/>
    </xf>
    <xf borderId="1" fillId="12" fontId="43" numFmtId="0" xfId="0" applyAlignment="1" applyBorder="1" applyFill="1" applyFont="1">
      <alignment horizontal="center" readingOrder="0" shrinkToFit="0" vertical="bottom" wrapText="0"/>
    </xf>
    <xf borderId="1" fillId="25" fontId="43" numFmtId="0" xfId="0" applyAlignment="1" applyBorder="1" applyFill="1" applyFont="1">
      <alignment readingOrder="0" shrinkToFit="0" vertical="bottom" wrapText="0"/>
    </xf>
    <xf borderId="1" fillId="25" fontId="43" numFmtId="0" xfId="0" applyAlignment="1" applyBorder="1" applyFill="1" applyFont="1">
      <alignment horizontal="center" readingOrder="0" shrinkToFit="0" vertical="bottom" wrapText="0"/>
    </xf>
    <xf borderId="1" fillId="2" fontId="43" numFmtId="0" xfId="0" applyAlignment="1" applyBorder="1" applyFill="1" applyFont="1">
      <alignment readingOrder="0" shrinkToFit="0" vertical="bottom" wrapText="0"/>
    </xf>
    <xf borderId="1" fillId="0" fontId="6" numFmtId="0" xfId="0" applyAlignment="1" applyBorder="1" applyFont="1">
      <alignment readingOrder="0"/>
    </xf>
    <xf borderId="0" fillId="0" fontId="42" numFmtId="0" xfId="0" applyAlignment="1" applyFont="1">
      <alignment horizontal="center"/>
    </xf>
    <xf borderId="9" fillId="26" fontId="5" numFmtId="0" xfId="0" applyAlignment="1" applyBorder="1" applyFill="1" applyFont="1">
      <alignment readingOrder="0"/>
    </xf>
    <xf borderId="1" fillId="26" fontId="44" numFmtId="0" xfId="0" applyAlignment="1" applyBorder="1" applyFill="1" applyFont="1">
      <alignment readingOrder="0" shrinkToFit="0" vertical="bottom" wrapText="1"/>
    </xf>
    <xf borderId="1" fillId="26" fontId="44" numFmtId="0" xfId="0" applyAlignment="1" applyBorder="1" applyFill="1" applyFont="1">
      <alignment horizontal="center" readingOrder="0" shrinkToFit="0" vertical="bottom" wrapText="0"/>
    </xf>
    <xf borderId="1" fillId="26" fontId="44" numFmtId="0" xfId="0" applyAlignment="1" applyBorder="1" applyFill="1" applyFont="1">
      <alignment readingOrder="0" shrinkToFit="0" vertical="bottom" wrapText="0"/>
    </xf>
    <xf borderId="0" fillId="26" fontId="42" numFmtId="0" xfId="0" applyAlignment="1" applyFill="1" applyFont="1">
      <alignment horizontal="center" readingOrder="0"/>
    </xf>
    <xf borderId="1" fillId="26" fontId="5" numFmtId="0" xfId="0" applyAlignment="1" applyBorder="1" applyFill="1" applyFont="1">
      <alignment readingOrder="0"/>
    </xf>
    <xf borderId="0" fillId="9" fontId="5" numFmtId="0" xfId="0" applyFill="1" applyFont="1"/>
    <xf borderId="1" fillId="9" fontId="6" numFmtId="0" xfId="0" applyAlignment="1" applyBorder="1" applyFill="1" applyFont="1">
      <alignment readingOrder="0" shrinkToFit="0" vertical="bottom" wrapText="1"/>
    </xf>
    <xf borderId="1" fillId="9" fontId="6" numFmtId="0" xfId="0" applyAlignment="1" applyBorder="1" applyFill="1" applyFont="1">
      <alignment horizontal="center" readingOrder="0" shrinkToFit="0" vertical="bottom" wrapText="0"/>
    </xf>
    <xf borderId="1" fillId="9" fontId="21" numFmtId="0" xfId="0" applyAlignment="1" applyBorder="1" applyFill="1" applyFont="1">
      <alignment horizontal="left" readingOrder="0" shrinkToFit="0" vertical="bottom" wrapText="0"/>
    </xf>
    <xf borderId="1" fillId="9" fontId="6" numFmtId="0" xfId="0" applyAlignment="1" applyBorder="1" applyFill="1" applyFont="1">
      <alignment readingOrder="0" shrinkToFit="0" vertical="bottom" wrapText="0"/>
    </xf>
    <xf borderId="1" fillId="9" fontId="42" numFmtId="0" xfId="0" applyAlignment="1" applyBorder="1" applyFill="1" applyFont="1">
      <alignment horizontal="center" readingOrder="0"/>
    </xf>
    <xf borderId="1" fillId="2" fontId="6" numFmtId="0" xfId="0" applyAlignment="1" applyBorder="1" applyFill="1" applyFont="1">
      <alignment readingOrder="0" shrinkToFit="0" vertical="bottom" wrapText="1"/>
    </xf>
    <xf borderId="0" fillId="27" fontId="5" numFmtId="0" xfId="0" applyAlignment="1" applyFill="1" applyFont="1">
      <alignment horizontal="center" readingOrder="0"/>
    </xf>
    <xf borderId="1" fillId="9" fontId="6" numFmtId="0" xfId="0" applyAlignment="1" applyBorder="1" applyFill="1" applyFont="1">
      <alignment readingOrder="0" vertical="bottom"/>
    </xf>
    <xf borderId="1" fillId="9" fontId="6" numFmtId="0" xfId="0" applyAlignment="1" applyBorder="1" applyFill="1" applyFont="1">
      <alignment horizontal="center" readingOrder="0" vertical="bottom"/>
    </xf>
    <xf borderId="1" fillId="9" fontId="21" numFmtId="0" xfId="0" applyAlignment="1" applyBorder="1" applyFill="1" applyFont="1">
      <alignment horizontal="left" readingOrder="0" vertical="bottom"/>
    </xf>
    <xf borderId="1" fillId="9" fontId="48" numFmtId="0" xfId="0" applyAlignment="1" applyBorder="1" applyFill="1" applyFont="1">
      <alignment horizontal="center" readingOrder="0"/>
    </xf>
    <xf borderId="1" fillId="9" fontId="6" numFmtId="0" xfId="0" applyAlignment="1" applyBorder="1" applyFill="1" applyFont="1">
      <alignment horizontal="left" readingOrder="0" shrinkToFit="0" vertical="bottom" wrapText="0"/>
    </xf>
    <xf borderId="0" fillId="22" fontId="49" numFmtId="0" xfId="0" applyAlignment="1" applyFill="1" applyFont="1">
      <alignment readingOrder="0"/>
    </xf>
    <xf borderId="1" fillId="9" fontId="6" numFmtId="0" xfId="0" applyAlignment="1" applyBorder="1" applyFill="1" applyFont="1">
      <alignment horizontal="left" readingOrder="0" vertical="bottom"/>
    </xf>
    <xf borderId="1" fillId="9" fontId="42" numFmtId="0" xfId="0" applyAlignment="1" applyBorder="1" applyFill="1" applyFont="1">
      <alignment horizontal="center" readingOrder="0" shrinkToFit="0" vertical="bottom" wrapText="1"/>
    </xf>
    <xf borderId="1" fillId="9" fontId="6" numFmtId="0" xfId="0" applyAlignment="1" applyBorder="1" applyFill="1" applyFont="1">
      <alignment readingOrder="0" vertical="bottom"/>
    </xf>
    <xf borderId="1" fillId="9" fontId="50" numFmtId="0" xfId="0" applyAlignment="1" applyBorder="1" applyFill="1" applyFont="1">
      <alignment readingOrder="0" vertical="bottom"/>
    </xf>
    <xf borderId="1" fillId="9" fontId="21" numFmtId="0" xfId="0" applyAlignment="1" applyBorder="1" applyFill="1" applyFont="1">
      <alignment readingOrder="0" shrinkToFit="0" vertical="bottom" wrapText="0"/>
    </xf>
    <xf borderId="1" fillId="9" fontId="6" numFmtId="0" xfId="0" applyAlignment="1" applyBorder="1" applyFill="1" applyFont="1">
      <alignment shrinkToFit="0" vertical="bottom" wrapText="0"/>
    </xf>
    <xf borderId="0" fillId="9" fontId="6" numFmtId="3" xfId="0" applyAlignment="1" applyFill="1" applyFont="1" applyNumberForma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6" numFmtId="166" xfId="0" applyAlignment="1" applyFont="1" applyNumberFormat="1">
      <alignment horizontal="lef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164" xfId="0" applyAlignment="1" applyFont="1" applyNumberFormat="1">
      <alignment readingOrder="0" shrinkToFit="0" vertical="bottom" wrapText="0"/>
    </xf>
    <xf borderId="0" fillId="22" fontId="5" numFmtId="0" xfId="0" applyFill="1" applyFont="1"/>
    <xf borderId="1" fillId="22" fontId="6" numFmtId="0" xfId="0" applyAlignment="1" applyBorder="1" applyFill="1" applyFont="1">
      <alignment readingOrder="0" shrinkToFit="0" vertical="bottom" wrapText="0"/>
    </xf>
    <xf borderId="0" fillId="22" fontId="5" numFmtId="0" xfId="0" applyAlignment="1" applyFill="1" applyFont="1">
      <alignment readingOrder="0"/>
    </xf>
    <xf borderId="0" fillId="22" fontId="0" numFmtId="49" xfId="0" applyAlignment="1" applyFill="1" applyFont="1" applyNumberFormat="1">
      <alignment horizontal="center" readingOrder="0" textRotation="0" vertical="center"/>
    </xf>
    <xf borderId="0" fillId="22" fontId="42" numFmtId="0" xfId="0" applyAlignment="1" applyFill="1" applyFont="1">
      <alignment horizontal="center" readingOrder="0"/>
    </xf>
    <xf borderId="1" fillId="22" fontId="6" numFmtId="0" xfId="0" applyAlignment="1" applyBorder="1" applyFill="1" applyFont="1">
      <alignment readingOrder="0" shrinkToFit="0" vertical="bottom" wrapText="1"/>
    </xf>
    <xf borderId="0" fillId="3" fontId="51" numFmtId="0" xfId="0" applyAlignment="1" applyFill="1" applyFont="1">
      <alignment readingOrder="0"/>
    </xf>
    <xf borderId="0" fillId="28" fontId="51" numFmtId="0" xfId="0" applyAlignment="1" applyFill="1" applyFont="1">
      <alignment readingOrder="0"/>
    </xf>
    <xf borderId="0" fillId="29" fontId="5" numFmtId="0" xfId="0" applyAlignment="1" applyFill="1" applyFont="1">
      <alignment readingOrder="0"/>
    </xf>
    <xf borderId="0" fillId="2" fontId="51" numFmtId="0" xfId="0" applyAlignment="1" applyFill="1" applyFont="1">
      <alignment readingOrder="0"/>
    </xf>
    <xf borderId="0" fillId="2" fontId="52" numFmtId="0" xfId="0" applyAlignment="1" applyFill="1" applyFont="1">
      <alignment readingOrder="0"/>
    </xf>
    <xf borderId="0" fillId="29" fontId="5" numFmtId="0" xfId="0" applyFill="1" applyFont="1"/>
    <xf borderId="0" fillId="14" fontId="43" numFmtId="0" xfId="0" applyAlignment="1" applyFill="1" applyFont="1">
      <alignment horizontal="center" readingOrder="0" vertical="bottom"/>
    </xf>
    <xf borderId="0" fillId="14" fontId="6" numFmtId="0" xfId="0" applyAlignment="1" applyFill="1" applyFont="1">
      <alignment horizontal="center" readingOrder="0" vertical="bottom"/>
    </xf>
    <xf borderId="0" fillId="25" fontId="51" numFmtId="0" xfId="0" applyAlignment="1" applyFill="1" applyFont="1">
      <alignment readingOrder="0"/>
    </xf>
    <xf borderId="0" fillId="14" fontId="5" numFmtId="0" xfId="0" applyAlignment="1" applyFill="1" applyFont="1">
      <alignment readingOrder="0"/>
    </xf>
    <xf borderId="0" fillId="0" fontId="51" numFmtId="0" xfId="0" applyAlignment="1" applyFont="1">
      <alignment readingOrder="0"/>
    </xf>
    <xf borderId="0" fillId="28" fontId="5" numFmtId="0" xfId="0" applyFill="1" applyFont="1"/>
    <xf borderId="0" fillId="14" fontId="5" numFmtId="0" xfId="0" applyFill="1" applyFont="1"/>
    <xf borderId="0" fillId="29" fontId="51" numFmtId="0" xfId="0" applyAlignment="1" applyFill="1" applyFont="1">
      <alignment readingOrder="0"/>
    </xf>
    <xf borderId="0" fillId="28" fontId="53" numFmtId="0" xfId="0" applyAlignment="1" applyFill="1" applyFont="1">
      <alignment horizontal="center" readingOrder="0" vertical="center"/>
    </xf>
    <xf borderId="0" fillId="28" fontId="53" numFmtId="0" xfId="0" applyAlignment="1" applyFill="1" applyFont="1">
      <alignment horizontal="center" vertical="center"/>
    </xf>
    <xf borderId="9" fillId="2" fontId="28" numFmtId="49" xfId="0" applyAlignment="1" applyBorder="1" applyFill="1" applyFont="1" applyNumberFormat="1">
      <alignment horizontal="center" readingOrder="0" textRotation="0" vertical="center"/>
    </xf>
    <xf borderId="9" fillId="30" fontId="5" numFmtId="0" xfId="0" applyAlignment="1" applyBorder="1" applyFill="1" applyFont="1">
      <alignment horizontal="center" readingOrder="0" vertical="center"/>
    </xf>
    <xf borderId="9" fillId="31" fontId="5" numFmtId="0" xfId="0" applyAlignment="1" applyBorder="1" applyFill="1" applyFont="1">
      <alignment horizontal="center" readingOrder="0" vertical="center"/>
    </xf>
    <xf borderId="0" fillId="18" fontId="54" numFmtId="0" xfId="0" applyAlignment="1" applyFill="1" applyFont="1">
      <alignment horizontal="center" readingOrder="0" vertical="center"/>
    </xf>
    <xf borderId="10" fillId="0" fontId="5" numFmtId="0" xfId="0" applyAlignment="1" applyBorder="1" applyFont="1">
      <alignment readingOrder="0"/>
    </xf>
    <xf borderId="10" fillId="30" fontId="5" numFmtId="0" xfId="0" applyAlignment="1" applyBorder="1" applyFill="1" applyFont="1">
      <alignment readingOrder="0"/>
    </xf>
    <xf borderId="10" fillId="31" fontId="5" numFmtId="0" xfId="0" applyBorder="1" applyFill="1" applyFont="1"/>
    <xf borderId="10" fillId="31" fontId="5" numFmtId="0" xfId="0" applyAlignment="1" applyBorder="1" applyFill="1" applyFont="1">
      <alignment readingOrder="0"/>
    </xf>
    <xf borderId="10" fillId="30" fontId="5" numFmtId="0" xfId="0" applyBorder="1" applyFill="1" applyFont="1"/>
    <xf borderId="10" fillId="2" fontId="28" numFmtId="49" xfId="0" applyAlignment="1" applyBorder="1" applyFill="1" applyFont="1" applyNumberFormat="1">
      <alignment horizontal="center" readingOrder="0" textRotation="0" vertical="center"/>
    </xf>
    <xf borderId="0" fillId="14" fontId="6" numFmtId="0" xfId="0" applyAlignment="1" applyFill="1" applyFont="1">
      <alignment horizontal="center" vertical="bottom"/>
    </xf>
    <xf borderId="1" fillId="28" fontId="53" numFmtId="0" xfId="0" applyAlignment="1" applyBorder="1" applyFill="1" applyFont="1">
      <alignment readingOrder="0" vertical="bottom"/>
    </xf>
    <xf borderId="1" fillId="28" fontId="53" numFmtId="0" xfId="0" applyAlignment="1" applyBorder="1" applyFill="1" applyFont="1">
      <alignment vertical="bottom"/>
    </xf>
    <xf borderId="1" fillId="0" fontId="5" numFmtId="0" xfId="0" applyBorder="1" applyFont="1"/>
    <xf borderId="1" fillId="14" fontId="51" numFmtId="0" xfId="0" applyAlignment="1" applyBorder="1" applyFill="1" applyFont="1">
      <alignment readingOrder="0"/>
    </xf>
    <xf borderId="1" fillId="14" fontId="5" numFmtId="0" xfId="0" applyAlignment="1" applyBorder="1" applyFill="1" applyFont="1">
      <alignment readingOrder="0"/>
    </xf>
    <xf borderId="1" fillId="0" fontId="5" numFmtId="0" xfId="0" applyAlignment="1" applyBorder="1" applyFont="1">
      <alignment readingOrder="0"/>
    </xf>
    <xf borderId="1" fillId="2" fontId="5" numFmtId="0" xfId="0" applyBorder="1" applyFill="1" applyFont="1"/>
    <xf borderId="1" fillId="14" fontId="5" numFmtId="0" xfId="0" applyBorder="1" applyFill="1" applyFont="1"/>
    <xf borderId="0" fillId="2" fontId="55" numFmtId="0" xfId="0" applyAlignment="1" applyFill="1" applyFont="1">
      <alignment horizontal="center" readingOrder="0" vertical="center"/>
    </xf>
    <xf borderId="1" fillId="14" fontId="51" numFmtId="0" xfId="0" applyAlignment="1" applyBorder="1" applyFill="1" applyFont="1">
      <alignment horizontal="left" readingOrder="0"/>
    </xf>
    <xf borderId="1" fillId="14" fontId="44" numFmtId="0" xfId="0" applyAlignment="1" applyBorder="1" applyFill="1" applyFont="1">
      <alignment horizontal="left" readingOrder="0" vertical="bottom"/>
    </xf>
    <xf borderId="1" fillId="14" fontId="6" numFmtId="0" xfId="0" applyAlignment="1" applyBorder="1" applyFill="1" applyFont="1">
      <alignment horizontal="left" readingOrder="0" vertical="bottom"/>
    </xf>
    <xf borderId="1" fillId="14" fontId="6" numFmtId="0" xfId="0" applyAlignment="1" applyBorder="1" applyFill="1" applyFont="1">
      <alignment horizontal="center" vertical="bottom"/>
    </xf>
    <xf borderId="1" fillId="14" fontId="44" numFmtId="0" xfId="0" applyAlignment="1" applyBorder="1" applyFill="1" applyFont="1">
      <alignment horizontal="center" readingOrder="0" vertical="bottom"/>
    </xf>
    <xf borderId="0" fillId="28" fontId="53" numFmtId="0" xfId="0" applyAlignment="1" applyFill="1" applyFont="1">
      <alignment readingOrder="0" vertical="bottom"/>
    </xf>
    <xf borderId="0" fillId="28" fontId="53" numFmtId="0" xfId="0" applyAlignment="1" applyFill="1" applyFont="1">
      <alignment vertical="bottom"/>
    </xf>
    <xf borderId="0" fillId="14" fontId="5" numFmtId="0" xfId="0" applyAlignment="1" applyFill="1" applyFont="1">
      <alignment horizontal="left" readingOrder="0" vertical="center"/>
    </xf>
    <xf borderId="0" fillId="2" fontId="28" numFmtId="49" xfId="0" applyAlignment="1" applyFill="1" applyFont="1" applyNumberFormat="1">
      <alignment horizontal="left" readingOrder="0" textRotation="0" vertical="center"/>
    </xf>
    <xf borderId="0" fillId="0" fontId="5" numFmtId="0" xfId="0" applyAlignment="1" applyFont="1">
      <alignment horizontal="left" readingOrder="0" vertical="center"/>
    </xf>
    <xf borderId="0" fillId="14" fontId="6" numFmtId="0" xfId="0" applyAlignment="1" applyFill="1" applyFont="1">
      <alignment horizontal="left" readingOrder="0" vertical="bottom"/>
    </xf>
    <xf borderId="0" fillId="14" fontId="13" numFmtId="0" xfId="0" applyAlignment="1" applyFill="1" applyFont="1">
      <alignment vertical="bottom"/>
    </xf>
    <xf borderId="0" fillId="14" fontId="13" numFmtId="0" xfId="0" applyAlignment="1" applyFill="1" applyFont="1">
      <alignment readingOrder="0" vertical="bottom"/>
    </xf>
    <xf borderId="0" fillId="28" fontId="13" numFmtId="0" xfId="0" applyAlignment="1" applyFill="1" applyFont="1">
      <alignment readingOrder="0" vertical="bottom"/>
    </xf>
    <xf borderId="0" fillId="28" fontId="53" numFmtId="0" xfId="0" applyAlignment="1" applyFill="1" applyFont="1">
      <alignment readingOrder="0"/>
    </xf>
    <xf borderId="1" fillId="14" fontId="5" numFmtId="0" xfId="0" applyAlignment="1" applyBorder="1" applyFill="1" applyFont="1">
      <alignment horizontal="left" readingOrder="0"/>
    </xf>
    <xf borderId="1" fillId="14" fontId="13" numFmtId="0" xfId="0" applyAlignment="1" applyBorder="1" applyFill="1" applyFont="1">
      <alignment readingOrder="0" vertical="bottom"/>
    </xf>
    <xf borderId="11" fillId="14" fontId="6" numFmtId="0" xfId="0" applyAlignment="1" applyBorder="1" applyFill="1" applyFont="1">
      <alignment horizontal="left" readingOrder="0" vertical="bottom"/>
    </xf>
    <xf borderId="12" fillId="14" fontId="13" numFmtId="0" xfId="0" applyAlignment="1" applyBorder="1" applyFill="1" applyFont="1">
      <alignment readingOrder="0" vertical="bottom"/>
    </xf>
    <xf borderId="13" fillId="14" fontId="5" numFmtId="0" xfId="0" applyAlignment="1" applyBorder="1" applyFill="1" applyFont="1">
      <alignment readingOrder="0"/>
    </xf>
    <xf borderId="7" fillId="14" fontId="6" numFmtId="0" xfId="0" applyAlignment="1" applyBorder="1" applyFill="1" applyFont="1">
      <alignment horizontal="left" readingOrder="0" vertical="bottom"/>
    </xf>
    <xf borderId="6" fillId="14" fontId="5" numFmtId="0" xfId="0" applyAlignment="1" applyBorder="1" applyFill="1" applyFont="1">
      <alignment readingOrder="0"/>
    </xf>
    <xf borderId="7" fillId="14" fontId="5" numFmtId="0" xfId="0" applyAlignment="1" applyBorder="1" applyFill="1" applyFont="1">
      <alignment horizontal="left" readingOrder="0"/>
    </xf>
    <xf borderId="6" fillId="14" fontId="5" numFmtId="0" xfId="0" applyBorder="1" applyFill="1" applyFont="1"/>
    <xf borderId="14" fillId="14" fontId="5" numFmtId="0" xfId="0" applyAlignment="1" applyBorder="1" applyFill="1" applyFont="1">
      <alignment horizontal="left" readingOrder="0"/>
    </xf>
    <xf borderId="15" fillId="14" fontId="13" numFmtId="0" xfId="0" applyAlignment="1" applyBorder="1" applyFill="1" applyFont="1">
      <alignment readingOrder="0" vertical="bottom"/>
    </xf>
    <xf borderId="16" fillId="14" fontId="5" numFmtId="0" xfId="0" applyAlignment="1" applyBorder="1" applyFill="1" applyFont="1">
      <alignment readingOrder="0"/>
    </xf>
    <xf borderId="16" fillId="14" fontId="5" numFmtId="0" xfId="0" applyBorder="1" applyFill="1" applyFont="1"/>
    <xf borderId="11" fillId="14" fontId="5" numFmtId="0" xfId="0" applyAlignment="1" applyBorder="1" applyFill="1" applyFont="1">
      <alignment horizontal="center" readingOrder="0"/>
    </xf>
    <xf borderId="12" fillId="14" fontId="56" numFmtId="0" xfId="0" applyAlignment="1" applyBorder="1" applyFill="1" applyFont="1">
      <alignment readingOrder="0" vertical="bottom"/>
    </xf>
    <xf borderId="13" fillId="14" fontId="5" numFmtId="0" xfId="0" applyBorder="1" applyFill="1" applyFont="1"/>
    <xf borderId="7" fillId="14" fontId="5" numFmtId="0" xfId="0" applyAlignment="1" applyBorder="1" applyFill="1" applyFont="1">
      <alignment horizontal="center" readingOrder="0"/>
    </xf>
    <xf borderId="1" fillId="14" fontId="36" numFmtId="0" xfId="0" applyAlignment="1" applyBorder="1" applyFill="1" applyFont="1">
      <alignment readingOrder="0" vertical="bottom"/>
    </xf>
    <xf borderId="1" fillId="14" fontId="56" numFmtId="0" xfId="0" applyAlignment="1" applyBorder="1" applyFill="1" applyFont="1">
      <alignment readingOrder="0" vertical="bottom"/>
    </xf>
    <xf borderId="14" fillId="14" fontId="5" numFmtId="0" xfId="0" applyAlignment="1" applyBorder="1" applyFill="1" applyFont="1">
      <alignment horizontal="center" readingOrder="0"/>
    </xf>
    <xf borderId="15" fillId="14" fontId="36" numFmtId="0" xfId="0" applyAlignment="1" applyBorder="1" applyFill="1" applyFont="1">
      <alignment readingOrder="0" vertical="bottom"/>
    </xf>
    <xf borderId="11" fillId="14" fontId="13" numFmtId="0" xfId="0" applyAlignment="1" applyBorder="1" applyFill="1" applyFont="1">
      <alignment horizontal="center" vertical="bottom"/>
    </xf>
    <xf borderId="12" fillId="14" fontId="13" numFmtId="0" xfId="0" applyAlignment="1" applyBorder="1" applyFill="1" applyFont="1">
      <alignment horizontal="center" vertical="bottom"/>
    </xf>
    <xf borderId="11" fillId="14" fontId="5" numFmtId="0" xfId="0" applyBorder="1" applyFill="1" applyFont="1"/>
    <xf borderId="7" fillId="14" fontId="13" numFmtId="0" xfId="0" applyAlignment="1" applyBorder="1" applyFill="1" applyFont="1">
      <alignment horizontal="center" vertical="bottom"/>
    </xf>
    <xf borderId="1" fillId="14" fontId="13" numFmtId="0" xfId="0" applyAlignment="1" applyBorder="1" applyFill="1" applyFont="1">
      <alignment horizontal="center" vertical="bottom"/>
    </xf>
    <xf borderId="7" fillId="14" fontId="5" numFmtId="0" xfId="0" applyBorder="1" applyFill="1" applyFont="1"/>
    <xf borderId="7" fillId="14" fontId="13" numFmtId="0" xfId="0" applyAlignment="1" applyBorder="1" applyFill="1" applyFont="1">
      <alignment horizontal="center" vertical="bottom"/>
    </xf>
    <xf borderId="14" fillId="14" fontId="13" numFmtId="0" xfId="0" applyAlignment="1" applyBorder="1" applyFill="1" applyFont="1">
      <alignment horizontal="center" vertical="bottom"/>
    </xf>
    <xf borderId="15" fillId="14" fontId="13" numFmtId="0" xfId="0" applyAlignment="1" applyBorder="1" applyFill="1" applyFont="1">
      <alignment horizontal="center" vertical="bottom"/>
    </xf>
    <xf borderId="14" fillId="14" fontId="5" numFmtId="0" xfId="0" applyBorder="1" applyFill="1" applyFont="1"/>
    <xf borderId="11" fillId="14" fontId="55" numFmtId="0" xfId="0" applyAlignment="1" applyBorder="1" applyFill="1" applyFont="1">
      <alignment horizontal="center" readingOrder="0"/>
    </xf>
    <xf borderId="12" fillId="14" fontId="5" numFmtId="0" xfId="0" applyAlignment="1" applyBorder="1" applyFill="1" applyFont="1">
      <alignment horizontal="center" readingOrder="0"/>
    </xf>
    <xf borderId="7" fillId="14" fontId="55" numFmtId="0" xfId="0" applyAlignment="1" applyBorder="1" applyFill="1" applyFont="1">
      <alignment horizontal="center" readingOrder="0"/>
    </xf>
    <xf borderId="1" fillId="14" fontId="5" numFmtId="0" xfId="0" applyAlignment="1" applyBorder="1" applyFill="1" applyFont="1">
      <alignment horizontal="center" readingOrder="0"/>
    </xf>
    <xf borderId="14" fillId="14" fontId="55" numFmtId="0" xfId="0" applyAlignment="1" applyBorder="1" applyFill="1" applyFont="1">
      <alignment horizontal="center" readingOrder="0"/>
    </xf>
    <xf borderId="15" fillId="14" fontId="5" numFmtId="0" xfId="0" applyAlignment="1" applyBorder="1" applyFill="1" applyFont="1">
      <alignment horizontal="center" readingOrder="0"/>
    </xf>
    <xf borderId="9" fillId="14" fontId="13" numFmtId="0" xfId="0" applyAlignment="1" applyBorder="1" applyFill="1" applyFont="1">
      <alignment horizontal="center" vertical="bottom"/>
    </xf>
    <xf borderId="9" fillId="14" fontId="5" numFmtId="0" xfId="0" applyBorder="1" applyFill="1" applyFont="1"/>
    <xf borderId="10" fillId="14" fontId="13" numFmtId="0" xfId="0" applyAlignment="1" applyBorder="1" applyFill="1" applyFont="1">
      <alignment horizontal="center" vertical="bottom"/>
    </xf>
    <xf borderId="10" fillId="14" fontId="5" numFmtId="0" xfId="0" applyBorder="1" applyFill="1" applyFont="1"/>
    <xf borderId="10" fillId="14" fontId="57" numFmtId="0" xfId="0" applyAlignment="1" applyBorder="1" applyFill="1" applyFont="1">
      <alignment horizontal="center" vertical="bottom"/>
    </xf>
    <xf borderId="10" fillId="14" fontId="6" numFmtId="0" xfId="0" applyAlignment="1" applyBorder="1" applyFill="1" applyFont="1">
      <alignment horizontal="center" vertical="bottom"/>
    </xf>
    <xf borderId="10" fillId="14" fontId="6" numFmtId="0" xfId="0" applyAlignment="1" applyBorder="1" applyFill="1" applyFont="1">
      <alignment horizontal="center" vertical="bottom"/>
    </xf>
    <xf borderId="10" fillId="14" fontId="13" numFmtId="0" xfId="0" applyAlignment="1" applyBorder="1" applyFill="1" applyFont="1">
      <alignment horizontal="center" vertical="bottom"/>
    </xf>
    <xf borderId="10" fillId="14" fontId="57" numFmtId="0" xfId="0" applyAlignment="1" applyBorder="1" applyFill="1" applyFont="1">
      <alignment horizontal="center" vertical="bottom"/>
    </xf>
    <xf borderId="10" fillId="14" fontId="13" numFmtId="49" xfId="0" applyAlignment="1" applyBorder="1" applyFill="1" applyFont="1" applyNumberFormat="1">
      <alignment horizontal="center" vertical="bottom"/>
    </xf>
    <xf borderId="17" fillId="14" fontId="57" numFmtId="0" xfId="0" applyAlignment="1" applyBorder="1" applyFill="1" applyFont="1">
      <alignment horizontal="center" vertical="bottom"/>
    </xf>
    <xf borderId="17" fillId="14" fontId="5" numFmtId="0" xfId="0" applyBorder="1" applyFill="1" applyFont="1"/>
    <xf borderId="17" fillId="14" fontId="57" numFmtId="0" xfId="0" applyAlignment="1" applyBorder="1" applyFill="1" applyFont="1">
      <alignment horizontal="center" readingOrder="0" vertical="bottom"/>
    </xf>
    <xf borderId="1" fillId="2" fontId="13" numFmtId="0" xfId="0" applyAlignment="1" applyBorder="1" applyFill="1" applyFont="1">
      <alignment horizontal="center" readingOrder="0" vertical="bottom"/>
    </xf>
    <xf borderId="11" fillId="14" fontId="13" numFmtId="0" xfId="0" applyAlignment="1" applyBorder="1" applyFill="1" applyFont="1">
      <alignment vertical="bottom"/>
    </xf>
    <xf borderId="12" fillId="32" fontId="53" numFmtId="0" xfId="0" applyAlignment="1" applyBorder="1" applyFill="1" applyFont="1">
      <alignment horizontal="center" vertical="bottom"/>
    </xf>
    <xf borderId="13" fillId="2" fontId="13" numFmtId="0" xfId="0" applyAlignment="1" applyBorder="1" applyFill="1" applyFont="1">
      <alignment horizontal="center" vertical="bottom"/>
    </xf>
    <xf borderId="7" fillId="14" fontId="13" numFmtId="0" xfId="0" applyAlignment="1" applyBorder="1" applyFill="1" applyFont="1">
      <alignment vertical="bottom"/>
    </xf>
    <xf borderId="1" fillId="29" fontId="53" numFmtId="0" xfId="0" applyAlignment="1" applyBorder="1" applyFill="1" applyFont="1">
      <alignment horizontal="center" vertical="bottom"/>
    </xf>
    <xf borderId="6" fillId="2" fontId="13" numFmtId="0" xfId="0" applyAlignment="1" applyBorder="1" applyFill="1" applyFont="1">
      <alignment horizontal="center" vertical="bottom"/>
    </xf>
    <xf borderId="7" fillId="14" fontId="13" numFmtId="49" xfId="0" applyAlignment="1" applyBorder="1" applyFill="1" applyFont="1" applyNumberFormat="1">
      <alignment vertical="bottom"/>
    </xf>
    <xf borderId="1" fillId="32" fontId="53" numFmtId="0" xfId="0" applyAlignment="1" applyBorder="1" applyFill="1" applyFont="1">
      <alignment horizontal="center" vertical="bottom"/>
    </xf>
    <xf borderId="7" fillId="18" fontId="13" numFmtId="0" xfId="0" applyAlignment="1" applyBorder="1" applyFill="1" applyFont="1">
      <alignment vertical="bottom"/>
    </xf>
    <xf borderId="1" fillId="33" fontId="53" numFmtId="0" xfId="0" applyAlignment="1" applyBorder="1" applyFill="1" applyFont="1">
      <alignment horizontal="center" vertical="bottom"/>
    </xf>
    <xf borderId="14" fillId="14" fontId="13" numFmtId="0" xfId="0" applyAlignment="1" applyBorder="1" applyFill="1" applyFont="1">
      <alignment vertical="bottom"/>
    </xf>
    <xf borderId="15" fillId="33" fontId="53" numFmtId="0" xfId="0" applyAlignment="1" applyBorder="1" applyFill="1" applyFont="1">
      <alignment horizontal="center" vertical="bottom"/>
    </xf>
    <xf borderId="16" fillId="2" fontId="13" numFmtId="0" xfId="0" applyAlignment="1" applyBorder="1" applyFill="1" applyFont="1">
      <alignment horizontal="center" vertical="bottom"/>
    </xf>
    <xf borderId="12" fillId="29" fontId="53" numFmtId="0" xfId="0" applyAlignment="1" applyBorder="1" applyFill="1" applyFont="1">
      <alignment vertical="bottom"/>
    </xf>
    <xf borderId="1" fillId="29" fontId="53" numFmtId="0" xfId="0" applyAlignment="1" applyBorder="1" applyFill="1" applyFont="1">
      <alignment vertical="bottom"/>
    </xf>
    <xf borderId="7" fillId="14" fontId="18" numFmtId="0" xfId="0" applyAlignment="1" applyBorder="1" applyFill="1" applyFont="1">
      <alignment vertical="bottom"/>
    </xf>
    <xf borderId="7" fillId="14" fontId="13" numFmtId="49" xfId="0" applyAlignment="1" applyBorder="1" applyFill="1" applyFont="1" applyNumberFormat="1">
      <alignment textRotation="0" vertical="bottom"/>
    </xf>
    <xf borderId="7" fillId="14" fontId="13" numFmtId="49" xfId="0" applyAlignment="1" applyBorder="1" applyFill="1" applyFont="1" applyNumberFormat="1">
      <alignment vertical="bottom"/>
    </xf>
    <xf borderId="1" fillId="32" fontId="53" numFmtId="0" xfId="0" applyAlignment="1" applyBorder="1" applyFill="1" applyFont="1">
      <alignment vertical="bottom"/>
    </xf>
    <xf borderId="1" fillId="33" fontId="53" numFmtId="0" xfId="0" applyAlignment="1" applyBorder="1" applyFill="1" applyFont="1">
      <alignment vertical="bottom"/>
    </xf>
    <xf borderId="7" fillId="14" fontId="6" numFmtId="0" xfId="0" applyAlignment="1" applyBorder="1" applyFill="1" applyFont="1">
      <alignment vertical="bottom"/>
    </xf>
    <xf borderId="7" fillId="14" fontId="57" numFmtId="0" xfId="0" applyAlignment="1" applyBorder="1" applyFill="1" applyFont="1">
      <alignment vertical="bottom"/>
    </xf>
    <xf borderId="14" fillId="14" fontId="13" numFmtId="49" xfId="0" applyAlignment="1" applyBorder="1" applyFill="1" applyFont="1" applyNumberFormat="1">
      <alignment textRotation="0" vertical="bottom"/>
    </xf>
    <xf borderId="15" fillId="33" fontId="53" numFmtId="0" xfId="0" applyAlignment="1" applyBorder="1" applyFill="1" applyFont="1">
      <alignment vertical="bottom"/>
    </xf>
    <xf borderId="0" fillId="32" fontId="13" numFmtId="49" xfId="0" applyAlignment="1" applyFill="1" applyFont="1" applyNumberFormat="1">
      <alignment horizontal="center" textRotation="0" vertical="bottom"/>
    </xf>
    <xf borderId="0" fillId="0" fontId="13" numFmtId="0" xfId="0" applyAlignment="1" applyFont="1">
      <alignment horizontal="center" vertical="bottom"/>
    </xf>
    <xf borderId="0" fillId="29" fontId="13" numFmtId="0" xfId="0" applyAlignment="1" applyFill="1" applyFont="1">
      <alignment horizontal="center" vertical="bottom"/>
    </xf>
    <xf borderId="0" fillId="29" fontId="13" numFmtId="49" xfId="0" applyAlignment="1" applyFill="1" applyFont="1" applyNumberFormat="1">
      <alignment horizontal="center" textRotation="0" vertical="bottom"/>
    </xf>
    <xf borderId="0" fillId="29" fontId="13" numFmtId="49" xfId="0" applyAlignment="1" applyFill="1" applyFont="1" applyNumberFormat="1">
      <alignment horizontal="center" vertical="bottom"/>
    </xf>
    <xf borderId="0" fillId="32" fontId="13" numFmtId="49" xfId="0" applyAlignment="1" applyFill="1" applyFont="1" applyNumberFormat="1">
      <alignment horizontal="center" vertical="bottom"/>
    </xf>
    <xf borderId="0" fillId="34" fontId="13" numFmtId="0" xfId="0" applyAlignment="1" applyFill="1" applyFont="1">
      <alignment horizontal="center" vertical="bottom"/>
    </xf>
    <xf borderId="0" fillId="2" fontId="13" numFmtId="0" xfId="0" applyAlignment="1" applyFill="1" applyFont="1">
      <alignment horizontal="center" vertical="bottom"/>
    </xf>
    <xf borderId="0" fillId="34" fontId="13" numFmtId="49" xfId="0" applyAlignment="1" applyFill="1" applyFont="1" applyNumberFormat="1">
      <alignment horizontal="center" textRotation="0" vertical="bottom"/>
    </xf>
    <xf borderId="0" fillId="12" fontId="58" numFmtId="0" xfId="0" applyAlignment="1" applyFill="1" applyFont="1">
      <alignment horizontal="center" readingOrder="0"/>
    </xf>
    <xf borderId="0" fillId="23" fontId="58" numFmtId="0" xfId="0" applyAlignment="1" applyFill="1" applyFont="1">
      <alignment horizontal="center" readingOrder="0"/>
    </xf>
    <xf borderId="0" fillId="0" fontId="44" numFmtId="0" xfId="0" applyAlignment="1" applyFont="1">
      <alignment horizontal="center" readingOrder="0" shrinkToFit="0" vertical="center" wrapText="0"/>
    </xf>
    <xf borderId="0" fillId="0" fontId="44" numFmtId="0" xfId="0" applyAlignment="1" applyFont="1">
      <alignment horizontal="center" readingOrder="0" shrinkToFit="0" vertical="center" wrapText="0"/>
    </xf>
    <xf borderId="1" fillId="35" fontId="46" numFmtId="0" xfId="0" applyAlignment="1" applyBorder="1" applyFill="1" applyFont="1">
      <alignment horizontal="center" readingOrder="0"/>
    </xf>
    <xf borderId="1" fillId="12" fontId="51" numFmtId="0" xfId="0" applyAlignment="1" applyBorder="1" applyFill="1" applyFont="1">
      <alignment readingOrder="0"/>
    </xf>
    <xf borderId="1" fillId="33" fontId="7" numFmtId="0" xfId="0" applyAlignment="1" applyBorder="1" applyFill="1" applyFont="1">
      <alignment horizontal="center" readingOrder="0" shrinkToFit="0" vertical="bottom" wrapText="0"/>
    </xf>
    <xf borderId="1" fillId="33" fontId="59" numFmtId="0" xfId="0" applyAlignment="1" applyBorder="1" applyFill="1" applyFont="1">
      <alignment shrinkToFit="0" vertical="center" wrapText="0"/>
    </xf>
    <xf borderId="1" fillId="33" fontId="7" numFmtId="170" xfId="0" applyAlignment="1" applyBorder="1" applyFill="1" applyFont="1" applyNumberFormat="1">
      <alignment horizontal="center" readingOrder="0" shrinkToFit="0" vertical="bottom" wrapText="0"/>
    </xf>
    <xf borderId="1" fillId="33" fontId="1" numFmtId="0" xfId="0" applyAlignment="1" applyBorder="1" applyFill="1" applyFont="1">
      <alignment horizontal="center" readingOrder="0" shrinkToFit="0" vertical="bottom" wrapText="0"/>
    </xf>
    <xf borderId="1" fillId="2" fontId="1" numFmtId="169" xfId="0" applyAlignment="1" applyBorder="1" applyFill="1" applyFont="1" applyNumberFormat="1">
      <alignment horizontal="center" readingOrder="0" shrinkToFit="0" vertical="bottom" wrapText="0"/>
    </xf>
    <xf borderId="1" fillId="0" fontId="60" numFmtId="0" xfId="0" applyAlignment="1" applyBorder="1" applyFont="1">
      <alignment readingOrder="0"/>
    </xf>
    <xf borderId="0" fillId="0" fontId="60" numFmtId="0" xfId="0" applyAlignment="1" applyFont="1">
      <alignment readingOrder="0"/>
    </xf>
    <xf borderId="1" fillId="0" fontId="61" numFmtId="0" xfId="0" applyAlignment="1" applyBorder="1" applyFont="1">
      <alignment readingOrder="0"/>
    </xf>
    <xf borderId="0" fillId="0" fontId="61" numFmtId="0" xfId="0" applyFont="1"/>
    <xf borderId="1" fillId="33" fontId="7" numFmtId="0" xfId="0" applyAlignment="1" applyBorder="1" applyFill="1" applyFont="1">
      <alignment horizontal="center" readingOrder="0" shrinkToFit="0" vertical="center" wrapText="0"/>
    </xf>
    <xf borderId="1" fillId="12" fontId="60" numFmtId="0" xfId="0" applyAlignment="1" applyBorder="1" applyFill="1" applyFont="1">
      <alignment readingOrder="0"/>
    </xf>
    <xf borderId="1" fillId="0" fontId="61" numFmtId="0" xfId="0" applyBorder="1" applyFont="1"/>
    <xf borderId="1" fillId="33" fontId="1" numFmtId="0" xfId="0" applyAlignment="1" applyBorder="1" applyFill="1" applyFont="1">
      <alignment horizontal="center" readingOrder="0" shrinkToFit="0" vertical="bottom" wrapText="0"/>
    </xf>
    <xf borderId="1" fillId="12" fontId="7" numFmtId="0" xfId="0" applyAlignment="1" applyBorder="1" applyFill="1" applyFont="1">
      <alignment horizontal="center" readingOrder="0" shrinkToFit="0" vertical="bottom" wrapText="0"/>
    </xf>
    <xf borderId="1" fillId="12" fontId="7" numFmtId="170" xfId="0" applyAlignment="1" applyBorder="1" applyFill="1" applyFont="1" applyNumberFormat="1">
      <alignment horizontal="center"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2" fontId="61" numFmtId="0" xfId="0" applyBorder="1" applyFill="1" applyFont="1"/>
    <xf borderId="0" fillId="2" fontId="61" numFmtId="0" xfId="0" applyFill="1" applyFont="1"/>
    <xf borderId="1" fillId="2" fontId="61" numFmtId="0" xfId="0" applyAlignment="1" applyBorder="1" applyFill="1" applyFont="1">
      <alignment readingOrder="0"/>
    </xf>
    <xf borderId="1" fillId="33" fontId="7" numFmtId="0" xfId="0" applyAlignment="1" applyBorder="1" applyFill="1" applyFont="1">
      <alignment horizontal="center" readingOrder="0" shrinkToFit="0" vertical="center" wrapText="0"/>
    </xf>
    <xf borderId="1" fillId="33" fontId="7" numFmtId="49" xfId="0" applyAlignment="1" applyBorder="1" applyFill="1" applyFont="1" applyNumberFormat="1">
      <alignment horizontal="center" readingOrder="0" shrinkToFit="0" textRotation="0" vertical="center" wrapText="0"/>
    </xf>
    <xf borderId="1" fillId="33" fontId="7" numFmtId="49" xfId="0" applyAlignment="1" applyBorder="1" applyFill="1" applyFont="1" applyNumberFormat="1">
      <alignment horizontal="center" readingOrder="0" shrinkToFit="0" vertical="center" wrapText="0"/>
    </xf>
    <xf borderId="1" fillId="33" fontId="7" numFmtId="170" xfId="0" applyAlignment="1" applyBorder="1" applyFill="1" applyFont="1" applyNumberFormat="1">
      <alignment horizontal="center" readingOrder="0" shrinkToFit="0" vertical="center" wrapText="0"/>
    </xf>
    <xf borderId="1" fillId="33" fontId="7" numFmtId="170" xfId="0" applyAlignment="1" applyBorder="1" applyFill="1" applyFont="1" applyNumberFormat="1">
      <alignment horizontal="center" shrinkToFit="0" vertical="bottom" wrapText="0"/>
    </xf>
    <xf borderId="1" fillId="33" fontId="1" numFmtId="0" xfId="0" applyAlignment="1" applyBorder="1" applyFill="1" applyFont="1">
      <alignment horizontal="center" readingOrder="0" shrinkToFit="0" vertical="center" wrapText="0"/>
    </xf>
    <xf borderId="1" fillId="2" fontId="1" numFmtId="169" xfId="0" applyAlignment="1" applyBorder="1" applyFill="1" applyFont="1" applyNumberFormat="1">
      <alignment horizontal="center" readingOrder="0" shrinkToFit="0" vertical="center" wrapText="0"/>
    </xf>
    <xf borderId="1" fillId="33" fontId="7" numFmtId="0" xfId="0" applyAlignment="1" applyBorder="1" applyFill="1" applyFont="1">
      <alignment horizontal="center" readingOrder="0" shrinkToFit="0" vertical="bottom" wrapText="0"/>
    </xf>
    <xf borderId="1" fillId="33" fontId="7" numFmtId="0" xfId="0" applyAlignment="1" applyBorder="1" applyFill="1" applyFont="1">
      <alignment horizontal="center" readingOrder="0" vertical="bottom"/>
    </xf>
    <xf borderId="1" fillId="33" fontId="7" numFmtId="0" xfId="0" applyAlignment="1" applyBorder="1" applyFill="1" applyFont="1">
      <alignment horizontal="center" vertical="bottom"/>
    </xf>
    <xf borderId="1" fillId="33" fontId="7" numFmtId="170" xfId="0" applyAlignment="1" applyBorder="1" applyFill="1" applyFont="1" applyNumberFormat="1">
      <alignment horizontal="center" readingOrder="0" vertical="bottom"/>
    </xf>
    <xf borderId="1" fillId="33" fontId="7" numFmtId="170" xfId="0" applyAlignment="1" applyBorder="1" applyFill="1" applyFont="1" applyNumberFormat="1">
      <alignment horizontal="center" vertical="bottom"/>
    </xf>
    <xf borderId="1" fillId="36" fontId="62" numFmtId="0" xfId="0" applyAlignment="1" applyBorder="1" applyFill="1" applyFont="1">
      <alignment vertical="bottom"/>
    </xf>
    <xf borderId="1" fillId="2" fontId="1" numFmtId="169" xfId="0" applyAlignment="1" applyBorder="1" applyFill="1" applyFont="1" applyNumberFormat="1">
      <alignment horizontal="center" vertical="bottom"/>
    </xf>
    <xf borderId="1" fillId="0" fontId="62" numFmtId="0" xfId="0" applyAlignment="1" applyBorder="1" applyFont="1">
      <alignment vertical="bottom"/>
    </xf>
    <xf borderId="0" fillId="0" fontId="62" numFmtId="0" xfId="0" applyAlignment="1" applyFont="1">
      <alignment vertical="bottom"/>
    </xf>
    <xf borderId="18" fillId="33" fontId="7" numFmtId="0" xfId="0" applyAlignment="1" applyBorder="1" applyFill="1" applyFont="1">
      <alignment horizontal="center" vertical="bottom"/>
    </xf>
    <xf borderId="1" fillId="3" fontId="44" numFmtId="0" xfId="0" applyAlignment="1" applyBorder="1" applyFill="1" applyFont="1">
      <alignment horizontal="center" readingOrder="0"/>
    </xf>
    <xf borderId="1" fillId="3" fontId="44" numFmtId="0" xfId="0" applyAlignment="1" applyBorder="1" applyFill="1" applyFont="1">
      <alignment horizontal="center" readingOrder="0" vertical="bottom"/>
    </xf>
    <xf borderId="1" fillId="3" fontId="44" numFmtId="0" xfId="0" applyAlignment="1" applyBorder="1" applyFill="1" applyFont="1">
      <alignment horizontal="center" vertical="bottom"/>
    </xf>
    <xf borderId="0" fillId="0" fontId="51" numFmtId="0" xfId="0" applyAlignment="1" applyFont="1">
      <alignment horizontal="center" readingOrder="0"/>
    </xf>
    <xf borderId="1" fillId="2" fontId="44" numFmtId="0" xfId="0" applyAlignment="1" applyBorder="1" applyFill="1" applyFont="1">
      <alignment horizontal="center" readingOrder="0" shrinkToFit="0" vertical="bottom" wrapText="0"/>
    </xf>
    <xf borderId="1" fillId="2" fontId="44" numFmtId="0" xfId="0" applyAlignment="1" applyBorder="1" applyFill="1" applyFont="1">
      <alignment horizontal="center" readingOrder="0" vertical="bottom"/>
    </xf>
    <xf borderId="0" fillId="0" fontId="5" numFmtId="0" xfId="0" applyAlignment="1" applyFont="1">
      <alignment horizontal="center" readingOrder="0"/>
    </xf>
    <xf borderId="0" fillId="0" fontId="5" numFmtId="169" xfId="0" applyAlignment="1" applyFont="1" applyNumberFormat="1">
      <alignment horizontal="left" readingOrder="0"/>
    </xf>
    <xf borderId="1" fillId="2" fontId="44" numFmtId="166" xfId="0" applyAlignment="1" applyBorder="1" applyFill="1" applyFont="1" applyNumberFormat="1">
      <alignment horizontal="center" readingOrder="0" vertical="bottom"/>
    </xf>
    <xf borderId="1" fillId="2" fontId="44" numFmtId="3" xfId="0" applyAlignment="1" applyBorder="1" applyFill="1" applyFont="1" applyNumberFormat="1">
      <alignment horizontal="center" readingOrder="0" vertical="bottom"/>
    </xf>
    <xf borderId="1" fillId="2" fontId="44" numFmtId="0" xfId="0" applyAlignment="1" applyBorder="1" applyFill="1" applyFont="1">
      <alignment horizontal="center" vertical="bottom"/>
    </xf>
    <xf borderId="1" fillId="2" fontId="53" numFmtId="0" xfId="0" applyAlignment="1" applyBorder="1" applyFill="1" applyFont="1">
      <alignment horizontal="center" readingOrder="0" vertical="bottom"/>
    </xf>
    <xf borderId="1" fillId="2" fontId="13" numFmtId="0" xfId="0" applyAlignment="1" applyBorder="1" applyFill="1" applyFont="1">
      <alignment vertical="bottom"/>
    </xf>
    <xf borderId="1" fillId="2" fontId="53" numFmtId="169" xfId="0" applyAlignment="1" applyBorder="1" applyFill="1" applyFont="1" applyNumberFormat="1">
      <alignment horizontal="center" readingOrder="0" vertical="bottom"/>
    </xf>
    <xf borderId="1" fillId="2" fontId="6" numFmtId="0" xfId="0" applyAlignment="1" applyBorder="1" applyFill="1" applyFont="1">
      <alignment horizontal="center" readingOrder="0" shrinkToFit="0" vertical="bottom" wrapText="0"/>
    </xf>
    <xf borderId="1" fillId="2" fontId="44" numFmtId="170" xfId="0" applyAlignment="1" applyBorder="1" applyFill="1" applyFont="1" applyNumberFormat="1">
      <alignment horizontal="center" readingOrder="0" shrinkToFit="0" vertical="bottom" wrapText="0"/>
    </xf>
    <xf borderId="1" fillId="2" fontId="44" numFmtId="171" xfId="0" applyAlignment="1" applyBorder="1" applyFill="1" applyFont="1" applyNumberFormat="1">
      <alignment horizontal="center" readingOrder="0" shrinkToFit="0" vertical="bottom" wrapText="0"/>
    </xf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IMPRESSÃO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2" pivot="0" name="IMPRESSÃO-style 2">
      <tableStyleElement dxfId="5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L18" displayName="Tabela_1" name="Tabela_1" id="1">
  <tableColumns count="12">
    <tableColumn name="IMPRESSÃO - STATUS" id="1"/>
    <tableColumn name="LOTE " id="2"/>
    <tableColumn name="ESTOJOS 30X20" id="3"/>
    <tableColumn name="ESTOJOS 24X34" id="4"/>
    <tableColumn name="ALBUM 30X20" id="5"/>
    <tableColumn name="ALBUM 20X20" id="6"/>
    <tableColumn name="ALBUM 24X34" id="7"/>
    <tableColumn name="QUANTIDADE TOTAL" id="8"/>
    <tableColumn name="GRÁFICA" id="9"/>
    <tableColumn name="DATA DO PEDIDO" id="10"/>
    <tableColumn name="PRAZO" id="11"/>
    <tableColumn name="Coluna 1" id="12"/>
  </tableColumns>
  <tableStyleInfo name="IMPRESSÃO-style" showColumnStripes="0" showFirstColumn="1" showLastColumn="1" showRowStripes="1"/>
</table>
</file>

<file path=xl/tables/table2.xml><?xml version="1.0" encoding="utf-8"?>
<table xmlns="http://schemas.openxmlformats.org/spreadsheetml/2006/main" headerRowCount="0" ref="A19:L19" displayName="Table_1" name="Table_1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IMPRESSÃ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milenacaldas160@gmail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20.0"/>
    <col customWidth="1" min="3" max="3" width="34.0"/>
    <col customWidth="1" min="4" max="4" width="8.88"/>
    <col customWidth="1" min="5" max="5" width="8.63"/>
    <col customWidth="1" min="6" max="6" width="25.38"/>
    <col customWidth="1" min="7" max="7" width="28.5"/>
    <col customWidth="1" min="8" max="8" width="23.75"/>
    <col customWidth="1" min="9" max="9" width="18.63"/>
    <col customWidth="1" min="10" max="10" width="0.38"/>
    <col customWidth="1" min="11" max="11" width="31.13"/>
    <col customWidth="1" min="12" max="12" width="15.13"/>
    <col customWidth="1" min="13" max="13" width="15.75"/>
    <col customWidth="1" min="14" max="14" width="13.63"/>
    <col customWidth="1" min="15" max="15" width="22.0"/>
    <col customWidth="1" min="16" max="16" width="25.25"/>
    <col customWidth="1" min="17" max="17" width="23.88"/>
    <col customWidth="1" min="18" max="18" width="26.5"/>
    <col customWidth="1" min="19" max="19" width="23.5"/>
    <col customWidth="1" min="20" max="20" width="21.75"/>
    <col customWidth="1" min="21" max="21" width="21.88"/>
    <col customWidth="1" min="22" max="24" width="22.5"/>
    <col customWidth="1" min="25" max="26" width="15.63"/>
    <col customWidth="1" min="27" max="27" width="16.88"/>
    <col customWidth="1" min="28" max="28" width="16.5"/>
  </cols>
  <sheetData>
    <row r="1">
      <c r="A1" s="1"/>
      <c r="B1" s="1"/>
      <c r="C1" s="2"/>
      <c r="D1" s="3"/>
      <c r="E1" s="1"/>
      <c r="F1" s="1"/>
      <c r="G1" s="4"/>
      <c r="H1" s="1"/>
      <c r="I1" s="3"/>
      <c r="J1" s="1"/>
      <c r="K1" s="1"/>
      <c r="L1" s="1"/>
      <c r="M1" s="1"/>
      <c r="N1" s="1"/>
      <c r="O1" s="5"/>
      <c r="P1" s="1"/>
      <c r="Q1" s="1"/>
      <c r="R1" s="5"/>
      <c r="S1" s="6">
        <v>45689.0</v>
      </c>
      <c r="T1" s="6">
        <v>46023.0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>
      <c r="A2" s="1"/>
      <c r="B2" s="1"/>
      <c r="C2" s="2"/>
      <c r="D2" s="3"/>
      <c r="E2" s="7"/>
      <c r="G2" s="4"/>
      <c r="H2" s="1"/>
      <c r="I2" s="3"/>
      <c r="J2" s="1"/>
      <c r="K2" s="1"/>
      <c r="L2" s="1"/>
      <c r="M2" s="1"/>
      <c r="N2" s="1"/>
      <c r="O2" s="5"/>
      <c r="P2" s="1"/>
      <c r="Q2" s="1"/>
      <c r="R2" s="5"/>
      <c r="S2" s="8">
        <v>953.0</v>
      </c>
      <c r="T2" s="9">
        <v>970.0</v>
      </c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>
      <c r="A3" s="1"/>
      <c r="B3" s="1"/>
      <c r="C3" s="10" t="s">
        <v>0</v>
      </c>
      <c r="D3" s="11" t="s">
        <v>1</v>
      </c>
      <c r="E3" s="7"/>
      <c r="F3" s="12" t="s">
        <v>2</v>
      </c>
      <c r="G3" s="13" t="s">
        <v>3</v>
      </c>
      <c r="H3" s="1"/>
      <c r="I3" s="3"/>
      <c r="J3" s="1"/>
      <c r="L3" s="1"/>
      <c r="M3" s="1"/>
      <c r="N3" s="1"/>
      <c r="O3" s="5"/>
      <c r="P3" s="1"/>
      <c r="Q3" s="1"/>
      <c r="R3" s="5"/>
      <c r="S3" s="8">
        <v>964.0</v>
      </c>
      <c r="T3" s="9">
        <v>1066.0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>
      <c r="A4" s="1"/>
      <c r="B4" s="1"/>
      <c r="C4" s="14" t="s">
        <v>4</v>
      </c>
      <c r="D4" s="15">
        <f>COUNTIF(K:K,"APROVADO")</f>
        <v>11</v>
      </c>
      <c r="E4" s="7"/>
      <c r="F4" s="16" t="s">
        <v>5</v>
      </c>
      <c r="G4" s="17">
        <f>COUNTIF(M:M,"EM DIAGRAMAÇÃO")</f>
        <v>0</v>
      </c>
      <c r="H4" s="1"/>
      <c r="I4" s="3"/>
      <c r="J4" s="1"/>
      <c r="L4" s="1"/>
      <c r="M4" s="1"/>
      <c r="N4" s="1"/>
      <c r="O4" s="5"/>
      <c r="P4" s="1"/>
      <c r="Q4" s="1"/>
      <c r="R4" s="5"/>
      <c r="S4" s="8">
        <v>1019.0</v>
      </c>
      <c r="T4" s="9">
        <v>1179.0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>
      <c r="A5" s="1"/>
      <c r="B5" s="1"/>
      <c r="C5" s="14" t="s">
        <v>6</v>
      </c>
      <c r="D5" s="15">
        <f>COUNTIF(K:K,"Aguardando Aprovação")</f>
        <v>81</v>
      </c>
      <c r="E5" s="7"/>
      <c r="F5" s="16" t="s">
        <v>7</v>
      </c>
      <c r="G5" s="17">
        <f>COUNTIF(M:M,"EM PRODUÇÃO")</f>
        <v>0</v>
      </c>
      <c r="H5" s="1"/>
      <c r="I5" s="3"/>
      <c r="J5" s="1"/>
      <c r="L5" s="1"/>
      <c r="M5" s="1"/>
      <c r="N5" s="1"/>
      <c r="O5" s="5"/>
      <c r="P5" s="1"/>
      <c r="Q5" s="1"/>
      <c r="R5" s="5"/>
      <c r="S5" s="8">
        <v>1084.0</v>
      </c>
      <c r="T5" s="9">
        <v>995.0</v>
      </c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>
      <c r="A6" s="1"/>
      <c r="B6" s="1"/>
      <c r="C6" s="18" t="s">
        <v>8</v>
      </c>
      <c r="D6" s="15">
        <f>COUNTIF(K:K,"DIAGRAMADO")</f>
        <v>3</v>
      </c>
      <c r="E6" s="7"/>
      <c r="F6" s="16" t="s">
        <v>9</v>
      </c>
      <c r="G6" s="17">
        <f>COUNTIF(M:M,"ESTOJO ENTREGUE")</f>
        <v>0</v>
      </c>
      <c r="H6" s="1"/>
      <c r="I6" s="3"/>
      <c r="J6" s="1"/>
      <c r="L6" s="1"/>
      <c r="M6" s="1"/>
      <c r="N6" s="1"/>
      <c r="O6" s="5"/>
      <c r="P6" s="1"/>
      <c r="Q6" s="1"/>
      <c r="R6" s="5"/>
      <c r="S6" s="8">
        <v>1172.0</v>
      </c>
      <c r="T6" s="9">
        <v>972.0</v>
      </c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>
      <c r="A7" s="1"/>
      <c r="B7" s="1"/>
      <c r="C7" s="14" t="s">
        <v>10</v>
      </c>
      <c r="D7" s="15">
        <f>COUNTIF(K:K,"Sem álbum")</f>
        <v>77</v>
      </c>
      <c r="E7" s="7"/>
      <c r="F7" s="16" t="s">
        <v>8</v>
      </c>
      <c r="G7" s="17">
        <f>COUNTIF(M:M,"DIAGRAMADO")</f>
        <v>347</v>
      </c>
      <c r="H7" s="1"/>
      <c r="I7" s="3"/>
      <c r="J7" s="1"/>
      <c r="L7" s="1"/>
      <c r="M7" s="1"/>
      <c r="N7" s="1"/>
      <c r="O7" s="5"/>
      <c r="P7" s="1"/>
      <c r="Q7" s="1"/>
      <c r="R7" s="5"/>
      <c r="S7" s="8">
        <v>988.0</v>
      </c>
      <c r="T7" s="9">
        <v>996.0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>
      <c r="A8" s="1"/>
      <c r="B8" s="1"/>
      <c r="C8" s="14" t="s">
        <v>5</v>
      </c>
      <c r="D8" s="15">
        <f>COUNTIF(K:K,"EM DIAGRAMAÇÃO")</f>
        <v>0</v>
      </c>
      <c r="E8" s="7"/>
      <c r="F8" s="19" t="s">
        <v>11</v>
      </c>
      <c r="G8" s="20">
        <f>G7+G6+G5+G4</f>
        <v>347</v>
      </c>
      <c r="H8" s="1"/>
      <c r="I8" s="3"/>
      <c r="J8" s="1"/>
      <c r="K8" s="1"/>
      <c r="L8" s="1"/>
      <c r="M8" s="1"/>
      <c r="N8" s="1"/>
      <c r="O8" s="5"/>
      <c r="P8" s="1"/>
      <c r="Q8" s="1"/>
      <c r="R8" s="5"/>
      <c r="S8" s="8">
        <v>994.0</v>
      </c>
      <c r="T8" s="9">
        <v>1085.0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>
      <c r="A9" s="1"/>
      <c r="B9" s="1"/>
      <c r="C9" s="14" t="s">
        <v>12</v>
      </c>
      <c r="D9" s="15">
        <f>COUNTIF(K:K,"Com Modificações")</f>
        <v>10</v>
      </c>
      <c r="E9" s="7"/>
      <c r="G9" s="4"/>
      <c r="H9" s="1"/>
      <c r="I9" s="3"/>
      <c r="J9" s="1"/>
      <c r="K9" s="1"/>
      <c r="L9" s="1"/>
      <c r="M9" s="1"/>
      <c r="N9" s="1"/>
      <c r="O9" s="5"/>
      <c r="P9" s="1"/>
      <c r="Q9" s="1"/>
      <c r="R9" s="5"/>
      <c r="S9" s="8">
        <v>968.0</v>
      </c>
      <c r="T9" s="9">
        <v>954.0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>
      <c r="A10" s="1"/>
      <c r="B10" s="1"/>
      <c r="C10" s="14" t="s">
        <v>13</v>
      </c>
      <c r="D10" s="15">
        <f>COUNTIF(K:K,"Finalizado")</f>
        <v>254</v>
      </c>
      <c r="E10" s="7"/>
      <c r="G10" s="4"/>
      <c r="H10" s="1"/>
      <c r="I10" s="3"/>
      <c r="J10" s="1"/>
      <c r="K10" s="1"/>
      <c r="L10" s="1"/>
      <c r="M10" s="1"/>
      <c r="N10" s="1"/>
      <c r="O10" s="5"/>
      <c r="P10" s="1"/>
      <c r="Q10" s="1"/>
      <c r="R10" s="5"/>
      <c r="S10" s="8">
        <v>957.0</v>
      </c>
      <c r="T10" s="21">
        <v>1099.0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>
      <c r="A11" s="1"/>
      <c r="B11" s="1"/>
      <c r="C11" s="14" t="s">
        <v>14</v>
      </c>
      <c r="D11" s="15">
        <f>COUNTIF(K:K,"IMPRESSÃO")</f>
        <v>52</v>
      </c>
      <c r="E11" s="7"/>
      <c r="G11" s="4"/>
      <c r="H11" s="1"/>
      <c r="I11" s="3"/>
      <c r="J11" s="1"/>
      <c r="K11" s="1"/>
      <c r="L11" s="1"/>
      <c r="M11" s="1"/>
      <c r="N11" s="1"/>
      <c r="O11" s="5"/>
      <c r="P11" s="1"/>
      <c r="Q11" s="1"/>
      <c r="R11" s="5"/>
      <c r="S11" s="8">
        <v>961.0</v>
      </c>
      <c r="T11" s="21">
        <v>1232.0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>
      <c r="A12" s="1"/>
      <c r="B12" s="1"/>
      <c r="C12" s="22" t="s">
        <v>15</v>
      </c>
      <c r="D12" s="15">
        <f>COUNTIF(K:K,"PRONTO PARA ENVIO")</f>
        <v>0</v>
      </c>
      <c r="E12" s="1"/>
      <c r="F12" s="1"/>
      <c r="G12" s="4"/>
      <c r="H12" s="1"/>
      <c r="I12" s="3"/>
      <c r="J12" s="1"/>
      <c r="K12" s="1"/>
      <c r="L12" s="1"/>
      <c r="M12" s="1"/>
      <c r="N12" s="1"/>
      <c r="O12" s="5"/>
      <c r="P12" s="1"/>
      <c r="Q12" s="1"/>
      <c r="R12" s="5"/>
      <c r="S12" s="8">
        <v>971.0</v>
      </c>
      <c r="T12" s="21">
        <v>962.0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>
      <c r="A13" s="1"/>
      <c r="B13" s="1"/>
      <c r="C13" s="14" t="s">
        <v>16</v>
      </c>
      <c r="D13" s="15">
        <f>COUNTIF(K:K,"COM A BARBARA")</f>
        <v>0</v>
      </c>
      <c r="E13" s="1"/>
      <c r="F13" s="1"/>
      <c r="G13" s="4"/>
      <c r="H13" s="1"/>
      <c r="I13" s="3"/>
      <c r="J13" s="1"/>
      <c r="K13" s="1"/>
      <c r="L13" s="1"/>
      <c r="M13" s="1"/>
      <c r="N13" s="1"/>
      <c r="O13" s="5"/>
      <c r="P13" s="1"/>
      <c r="Q13" s="1"/>
      <c r="R13" s="5"/>
      <c r="S13" s="8">
        <v>1103.0</v>
      </c>
      <c r="T13" s="21">
        <v>1105.0</v>
      </c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>
      <c r="A14" s="1"/>
      <c r="B14" s="1"/>
      <c r="C14" s="23" t="s">
        <v>17</v>
      </c>
      <c r="D14" s="15">
        <f>COUNTIF(K:K,"AGUARDANDO FOTO")</f>
        <v>22</v>
      </c>
      <c r="E14" s="1"/>
      <c r="F14" s="1"/>
      <c r="G14" s="4"/>
      <c r="H14" s="1"/>
      <c r="I14" s="3"/>
      <c r="J14" s="1"/>
      <c r="K14" s="1"/>
      <c r="L14" s="1"/>
      <c r="M14" s="1"/>
      <c r="N14" s="1"/>
      <c r="O14" s="5"/>
      <c r="P14" s="1"/>
      <c r="Q14" s="1"/>
      <c r="R14" s="5"/>
      <c r="S14" s="8">
        <v>1173.0</v>
      </c>
      <c r="T14" s="21">
        <v>958.0</v>
      </c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ht="24.0" customHeight="1">
      <c r="A15" s="1"/>
      <c r="B15" s="24"/>
      <c r="C15" s="25" t="s">
        <v>11</v>
      </c>
      <c r="D15" s="26">
        <f>D11+D10+D9+D8+D7+D6+D5+D4+D12+D14+D13</f>
        <v>510</v>
      </c>
      <c r="E15" s="7"/>
      <c r="F15" s="1"/>
      <c r="G15" s="4"/>
      <c r="H15" s="1"/>
      <c r="I15" s="3"/>
      <c r="J15" s="1"/>
      <c r="L15" s="1"/>
      <c r="M15" s="1"/>
      <c r="N15" s="1"/>
      <c r="O15" s="5"/>
      <c r="P15" s="1"/>
      <c r="Q15" s="1"/>
      <c r="R15" s="5"/>
      <c r="S15" s="8">
        <v>1177.0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ht="34.5" customHeight="1">
      <c r="A16" s="1"/>
      <c r="B16" s="1"/>
      <c r="C16" s="2"/>
      <c r="D16" s="3"/>
      <c r="E16" s="1"/>
      <c r="F16" s="27"/>
      <c r="G16" s="4"/>
      <c r="H16" s="1"/>
      <c r="I16" s="3"/>
      <c r="J16" s="1"/>
      <c r="K16" s="1"/>
      <c r="L16" s="1"/>
      <c r="M16" s="1"/>
      <c r="N16" s="1"/>
      <c r="O16" s="5"/>
      <c r="P16" s="1"/>
      <c r="Q16" s="1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>
      <c r="A17" s="28" t="s">
        <v>18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>
      <c r="A18" s="29" t="s">
        <v>19</v>
      </c>
      <c r="B18" s="29" t="s">
        <v>20</v>
      </c>
      <c r="C18" s="30" t="s">
        <v>21</v>
      </c>
      <c r="D18" s="29" t="s">
        <v>22</v>
      </c>
      <c r="E18" s="29" t="s">
        <v>23</v>
      </c>
      <c r="F18" s="29" t="s">
        <v>24</v>
      </c>
      <c r="G18" s="31" t="s">
        <v>25</v>
      </c>
      <c r="H18" s="29" t="s">
        <v>26</v>
      </c>
      <c r="I18" s="32" t="s">
        <v>27</v>
      </c>
      <c r="J18" s="33" t="s">
        <v>28</v>
      </c>
      <c r="K18" s="29" t="s">
        <v>0</v>
      </c>
      <c r="L18" s="29" t="s">
        <v>29</v>
      </c>
      <c r="M18" s="29" t="s">
        <v>2</v>
      </c>
      <c r="N18" s="29" t="s">
        <v>30</v>
      </c>
      <c r="O18" s="34" t="s">
        <v>31</v>
      </c>
      <c r="P18" s="35" t="s">
        <v>32</v>
      </c>
      <c r="Q18" s="35" t="s">
        <v>33</v>
      </c>
      <c r="R18" s="35" t="s">
        <v>34</v>
      </c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>
      <c r="A19" s="36" t="b">
        <v>1</v>
      </c>
      <c r="B19" s="37">
        <v>46183.0</v>
      </c>
      <c r="C19" s="38" t="s">
        <v>35</v>
      </c>
      <c r="D19" s="39">
        <v>964.0</v>
      </c>
      <c r="E19" s="40">
        <f>IFERROR(__xludf.DUMMYFUNCTION("IF(C19="""", """", XLOOKUP(TRIM(C19), 'COTRATOS ALBUNS 25.2'!E:E, 'COTRATOS ALBUNS 25.2'!D:D, XLOOKUP(TRIM(C19), IMPORTRANGE(""16smdYggRVyzhu5y9HP2ayvW__ybkjb1nkVsCvZrByLM"", ""'COTRATOS 26.1'!B:B""), IMPORTRANGE(""16smdYggRVyzhu5y9HP2ayvW__ybkjb1nkVsCvZr"&amp;"ByLM"", ""'COTRATOS 26.1'!A:A""), """")))"),84013.0)</f>
        <v>84013</v>
      </c>
      <c r="F19" s="41" t="s">
        <v>36</v>
      </c>
      <c r="G19" s="42" t="s">
        <v>37</v>
      </c>
      <c r="H19" s="43">
        <v>6.3637228E7</v>
      </c>
      <c r="I19" s="44" t="s">
        <v>38</v>
      </c>
      <c r="J19" s="7"/>
      <c r="K19" s="8" t="s">
        <v>6</v>
      </c>
      <c r="L19" s="45"/>
      <c r="M19" s="46" t="s">
        <v>8</v>
      </c>
      <c r="N19" s="47" t="b">
        <v>0</v>
      </c>
      <c r="O19" s="48">
        <f t="shared" ref="O19:O508" si="1">B19+17</f>
        <v>46200</v>
      </c>
      <c r="P19" s="49">
        <v>46265.0</v>
      </c>
      <c r="Q19" s="50"/>
      <c r="R19" s="51" t="str">
        <f t="shared" ref="R19:R506" si="2">IF(Q19="", "", Q19+60)</f>
        <v/>
      </c>
      <c r="S19" s="5"/>
      <c r="T19" s="5"/>
      <c r="U19" s="5"/>
      <c r="V19" s="5"/>
      <c r="W19" s="5"/>
      <c r="X19" s="5"/>
      <c r="Y19" s="5"/>
      <c r="Z19" s="5"/>
      <c r="AA19" s="52">
        <v>46288.478458391204</v>
      </c>
      <c r="AB19" s="5"/>
      <c r="AC19" s="5"/>
      <c r="AD19" s="5"/>
      <c r="AE19" s="5"/>
      <c r="AF19" s="5"/>
      <c r="AG19" s="5"/>
      <c r="AH19" s="5"/>
    </row>
    <row r="20">
      <c r="A20" s="53" t="b">
        <v>1</v>
      </c>
      <c r="B20" s="54">
        <v>46291.0</v>
      </c>
      <c r="C20" s="55" t="s">
        <v>39</v>
      </c>
      <c r="D20" s="56">
        <v>1179.0</v>
      </c>
      <c r="E20" s="40">
        <f>IFERROR(__xludf.DUMMYFUNCTION("IF(C20="""", """", XLOOKUP(TRIM(C20), 'COTRATOS ALBUNS 25.2'!E:E, 'COTRATOS ALBUNS 25.2'!D:D, XLOOKUP(TRIM(C20), IMPORTRANGE(""16smdYggRVyzhu5y9HP2ayvW__ybkjb1nkVsCvZrByLM"", ""'COTRATOS 26.1'!B:B""), IMPORTRANGE(""16smdYggRVyzhu5y9HP2ayvW__ybkjb1nkVsCvZr"&amp;"ByLM"", ""'COTRATOS 26.1'!A:A""), """")))"),93441.0)</f>
        <v>93441</v>
      </c>
      <c r="F20" s="57" t="s">
        <v>40</v>
      </c>
      <c r="G20" s="42" t="s">
        <v>41</v>
      </c>
      <c r="H20" s="43"/>
      <c r="I20" s="58" t="s">
        <v>42</v>
      </c>
      <c r="J20" s="59"/>
      <c r="K20" s="53" t="s">
        <v>12</v>
      </c>
      <c r="L20" s="59"/>
      <c r="M20" s="53" t="s">
        <v>8</v>
      </c>
      <c r="N20" s="47" t="b">
        <v>0</v>
      </c>
      <c r="O20" s="48">
        <f t="shared" si="1"/>
        <v>46308</v>
      </c>
      <c r="P20" s="60"/>
      <c r="Q20" s="61"/>
      <c r="R20" s="51" t="str">
        <f t="shared" si="2"/>
        <v/>
      </c>
      <c r="S20" s="5"/>
      <c r="T20" s="5"/>
      <c r="U20" s="5"/>
      <c r="V20" s="5"/>
      <c r="W20" s="5"/>
      <c r="X20" s="5"/>
    </row>
    <row r="21">
      <c r="A21" s="36" t="b">
        <v>1</v>
      </c>
      <c r="B21" s="62">
        <v>46225.74318287037</v>
      </c>
      <c r="C21" s="38" t="s">
        <v>43</v>
      </c>
      <c r="D21" s="39">
        <v>994.0</v>
      </c>
      <c r="E21" s="40">
        <f>IFERROR(__xludf.DUMMYFUNCTION("IF(C21="""", """", XLOOKUP(TRIM(C21), 'COTRATOS ALBUNS 25.2'!E:E, 'COTRATOS ALBUNS 25.2'!D:D, XLOOKUP(TRIM(C21), IMPORTRANGE(""16smdYggRVyzhu5y9HP2ayvW__ybkjb1nkVsCvZrByLM"", ""'COTRATOS 26.1'!B:B""), IMPORTRANGE(""16smdYggRVyzhu5y9HP2ayvW__ybkjb1nkVsCvZr"&amp;"ByLM"", ""'COTRATOS 26.1'!A:A""), """")))"),67849.0)</f>
        <v>67849</v>
      </c>
      <c r="F21" s="41" t="s">
        <v>44</v>
      </c>
      <c r="G21" s="42" t="s">
        <v>45</v>
      </c>
      <c r="H21" s="43"/>
      <c r="I21" s="44" t="s">
        <v>46</v>
      </c>
      <c r="J21" s="7"/>
      <c r="K21" s="8" t="s">
        <v>13</v>
      </c>
      <c r="L21" s="8" t="s">
        <v>47</v>
      </c>
      <c r="M21" s="8" t="s">
        <v>8</v>
      </c>
      <c r="N21" s="63" t="b">
        <v>1</v>
      </c>
      <c r="O21" s="64">
        <f t="shared" si="1"/>
        <v>46242.74318</v>
      </c>
      <c r="P21" s="49">
        <v>46297.0</v>
      </c>
      <c r="Q21" s="65">
        <v>46226.0</v>
      </c>
      <c r="R21" s="66">
        <f t="shared" si="2"/>
        <v>46286</v>
      </c>
      <c r="S21" s="5"/>
      <c r="T21" s="5"/>
      <c r="U21" s="5"/>
      <c r="V21" s="5"/>
      <c r="W21" s="5"/>
      <c r="X21" s="5"/>
    </row>
    <row r="22">
      <c r="A22" s="67" t="b">
        <v>1</v>
      </c>
      <c r="B22" s="68">
        <v>46268.426250000004</v>
      </c>
      <c r="C22" s="69" t="s">
        <v>48</v>
      </c>
      <c r="D22" s="70">
        <v>994.0</v>
      </c>
      <c r="E22" s="40">
        <f>IFERROR(__xludf.DUMMYFUNCTION("IF(C22="""", """", XLOOKUP(TRIM(C22), 'COTRATOS ALBUNS 25.2'!E:E, 'COTRATOS ALBUNS 25.2'!D:D, XLOOKUP(TRIM(C22), IMPORTRANGE(""16smdYggRVyzhu5y9HP2ayvW__ybkjb1nkVsCvZrByLM"", ""'COTRATOS 26.1'!B:B""), IMPORTRANGE(""16smdYggRVyzhu5y9HP2ayvW__ybkjb1nkVsCvZr"&amp;"ByLM"", ""'COTRATOS 26.1'!A:A""), """")))"),87894.0)</f>
        <v>87894</v>
      </c>
      <c r="F22" s="71" t="s">
        <v>36</v>
      </c>
      <c r="G22" s="42" t="s">
        <v>45</v>
      </c>
      <c r="H22" s="43"/>
      <c r="I22" s="44" t="s">
        <v>49</v>
      </c>
      <c r="J22" s="5"/>
      <c r="K22" s="8" t="s">
        <v>13</v>
      </c>
      <c r="L22" s="8" t="s">
        <v>50</v>
      </c>
      <c r="M22" s="8" t="s">
        <v>8</v>
      </c>
      <c r="N22" s="63" t="b">
        <v>1</v>
      </c>
      <c r="O22" s="64">
        <f t="shared" si="1"/>
        <v>46285.42625</v>
      </c>
      <c r="P22" s="49">
        <v>46297.0</v>
      </c>
      <c r="Q22" s="72">
        <f t="shared" ref="Q22:Q23" si="3">B22</f>
        <v>46268.42625</v>
      </c>
      <c r="R22" s="73">
        <f t="shared" si="2"/>
        <v>46328.42625</v>
      </c>
      <c r="S22" s="5"/>
      <c r="T22" s="5"/>
      <c r="U22" s="5"/>
      <c r="V22" s="5"/>
      <c r="W22" s="5"/>
      <c r="X22" s="5"/>
    </row>
    <row r="23">
      <c r="A23" s="67" t="b">
        <v>1</v>
      </c>
      <c r="B23" s="74">
        <v>46268.42563657407</v>
      </c>
      <c r="C23" s="69" t="s">
        <v>51</v>
      </c>
      <c r="D23" s="70">
        <v>6118.0</v>
      </c>
      <c r="E23" s="40">
        <f>IFERROR(__xludf.DUMMYFUNCTION("IF(C23="""", """", XLOOKUP(TRIM(C23), 'COTRATOS ALBUNS 25.2'!E:E, 'COTRATOS ALBUNS 25.2'!D:D, XLOOKUP(TRIM(C23), IMPORTRANGE(""16smdYggRVyzhu5y9HP2ayvW__ybkjb1nkVsCvZrByLM"", ""'COTRATOS 26.1'!B:B""), IMPORTRANGE(""16smdYggRVyzhu5y9HP2ayvW__ybkjb1nkVsCvZr"&amp;"ByLM"", ""'COTRATOS 26.1'!A:A""), """")))"),73597.0)</f>
        <v>73597</v>
      </c>
      <c r="F23" s="71" t="s">
        <v>36</v>
      </c>
      <c r="G23" s="42" t="s">
        <v>52</v>
      </c>
      <c r="H23" s="43"/>
      <c r="I23" s="44" t="s">
        <v>53</v>
      </c>
      <c r="J23" s="5"/>
      <c r="K23" s="8" t="s">
        <v>13</v>
      </c>
      <c r="L23" s="8" t="s">
        <v>54</v>
      </c>
      <c r="M23" s="8" t="s">
        <v>8</v>
      </c>
      <c r="N23" s="63" t="b">
        <v>1</v>
      </c>
      <c r="O23" s="48">
        <f t="shared" si="1"/>
        <v>46285.42564</v>
      </c>
      <c r="P23" s="49">
        <v>46296.0</v>
      </c>
      <c r="Q23" s="75">
        <f t="shared" si="3"/>
        <v>46268.42564</v>
      </c>
      <c r="R23" s="76">
        <f t="shared" si="2"/>
        <v>46328.42564</v>
      </c>
      <c r="S23" s="5"/>
      <c r="T23" s="5"/>
      <c r="U23" s="5"/>
      <c r="V23" s="5"/>
      <c r="W23" s="5"/>
      <c r="X23" s="5"/>
    </row>
    <row r="24">
      <c r="A24" s="56" t="b">
        <v>1</v>
      </c>
      <c r="B24" s="77">
        <v>46254.0</v>
      </c>
      <c r="C24" s="78" t="s">
        <v>55</v>
      </c>
      <c r="D24" s="79">
        <v>970.0</v>
      </c>
      <c r="E24" s="40">
        <f>IFERROR(__xludf.DUMMYFUNCTION("IF(C24="""", """", XLOOKUP(TRIM(C24), 'COTRATOS ALBUNS 25.2'!E:E, 'COTRATOS ALBUNS 25.2'!D:D, XLOOKUP(TRIM(C24), IMPORTRANGE(""16smdYggRVyzhu5y9HP2ayvW__ybkjb1nkVsCvZrByLM"", ""'COTRATOS 26.1'!B:B""), IMPORTRANGE(""16smdYggRVyzhu5y9HP2ayvW__ybkjb1nkVsCvZr"&amp;"ByLM"", ""'COTRATOS 26.1'!A:A""), """")))"),92164.0)</f>
        <v>92164</v>
      </c>
      <c r="F24" s="57" t="s">
        <v>56</v>
      </c>
      <c r="G24" s="42" t="s">
        <v>57</v>
      </c>
      <c r="H24" s="43"/>
      <c r="I24" s="58" t="s">
        <v>58</v>
      </c>
      <c r="J24" s="59"/>
      <c r="K24" s="53" t="s">
        <v>6</v>
      </c>
      <c r="L24" s="59"/>
      <c r="M24" s="59"/>
      <c r="N24" s="47" t="b">
        <v>0</v>
      </c>
      <c r="O24" s="48">
        <f t="shared" si="1"/>
        <v>46271</v>
      </c>
      <c r="P24" s="49">
        <v>46297.0</v>
      </c>
      <c r="Q24" s="61"/>
      <c r="R24" s="51" t="str">
        <f t="shared" si="2"/>
        <v/>
      </c>
      <c r="S24" s="5"/>
      <c r="T24" s="5"/>
      <c r="U24" s="5"/>
      <c r="V24" s="5"/>
      <c r="W24" s="5"/>
      <c r="X24" s="5"/>
    </row>
    <row r="25">
      <c r="A25" s="36" t="b">
        <v>1</v>
      </c>
      <c r="B25" s="80">
        <v>46234.0</v>
      </c>
      <c r="C25" s="81" t="s">
        <v>59</v>
      </c>
      <c r="D25" s="79">
        <v>1099.0</v>
      </c>
      <c r="E25" s="40">
        <f>IFERROR(__xludf.DUMMYFUNCTION("IF(C25="""", """", XLOOKUP(TRIM(C25), 'COTRATOS ALBUNS 25.2'!E:E, 'COTRATOS ALBUNS 25.2'!D:D, XLOOKUP(TRIM(C25), IMPORTRANGE(""16smdYggRVyzhu5y9HP2ayvW__ybkjb1nkVsCvZrByLM"", ""'COTRATOS 26.1'!B:B""), IMPORTRANGE(""16smdYggRVyzhu5y9HP2ayvW__ybkjb1nkVsCvZr"&amp;"ByLM"", ""'COTRATOS 26.1'!A:A""), """")))"),95260.0)</f>
        <v>95260</v>
      </c>
      <c r="F25" s="41" t="s">
        <v>44</v>
      </c>
      <c r="G25" s="42" t="s">
        <v>60</v>
      </c>
      <c r="H25" s="43"/>
      <c r="I25" s="44" t="s">
        <v>61</v>
      </c>
      <c r="J25" s="7"/>
      <c r="K25" s="53" t="s">
        <v>6</v>
      </c>
      <c r="L25" s="5"/>
      <c r="M25" s="8" t="s">
        <v>8</v>
      </c>
      <c r="N25" s="47" t="b">
        <v>0</v>
      </c>
      <c r="O25" s="52">
        <f t="shared" si="1"/>
        <v>46251</v>
      </c>
      <c r="P25" s="49">
        <v>46310.0</v>
      </c>
      <c r="Q25" s="82"/>
      <c r="R25" s="51" t="str">
        <f t="shared" si="2"/>
        <v/>
      </c>
      <c r="S25" s="5"/>
      <c r="T25" s="5"/>
      <c r="U25" s="5"/>
      <c r="V25" s="5"/>
      <c r="W25" s="5"/>
      <c r="X25" s="5"/>
    </row>
    <row r="26">
      <c r="A26" s="53" t="b">
        <v>1</v>
      </c>
      <c r="B26" s="54">
        <v>46288.0</v>
      </c>
      <c r="C26" s="83" t="s">
        <v>62</v>
      </c>
      <c r="D26" s="84">
        <v>937.0</v>
      </c>
      <c r="E26" s="40">
        <f>IFERROR(__xludf.DUMMYFUNCTION("IF(C26="""", """", XLOOKUP(TRIM(C26), 'COTRATOS ALBUNS 25.2'!E:E, 'COTRATOS ALBUNS 25.2'!D:D, XLOOKUP(TRIM(C26), IMPORTRANGE(""16smdYggRVyzhu5y9HP2ayvW__ybkjb1nkVsCvZrByLM"", ""'COTRATOS 26.1'!B:B""), IMPORTRANGE(""16smdYggRVyzhu5y9HP2ayvW__ybkjb1nkVsCvZr"&amp;"ByLM"", ""'COTRATOS 26.1'!A:A""), """")))"),92279.0)</f>
        <v>92279</v>
      </c>
      <c r="F26" s="57" t="s">
        <v>40</v>
      </c>
      <c r="G26" s="42" t="s">
        <v>63</v>
      </c>
      <c r="H26" s="43"/>
      <c r="I26" s="58" t="s">
        <v>64</v>
      </c>
      <c r="J26" s="59"/>
      <c r="K26" s="53" t="s">
        <v>12</v>
      </c>
      <c r="L26" s="59"/>
      <c r="M26" s="59"/>
      <c r="N26" s="47" t="b">
        <v>0</v>
      </c>
      <c r="O26" s="48">
        <f t="shared" si="1"/>
        <v>46305</v>
      </c>
      <c r="P26" s="49">
        <v>46309.0</v>
      </c>
      <c r="Q26" s="61"/>
      <c r="R26" s="51" t="str">
        <f t="shared" si="2"/>
        <v/>
      </c>
      <c r="S26" s="5"/>
      <c r="T26" s="5"/>
      <c r="U26" s="5"/>
      <c r="V26" s="5"/>
      <c r="W26" s="5"/>
      <c r="X26" s="5"/>
    </row>
    <row r="27">
      <c r="A27" s="67" t="b">
        <v>1</v>
      </c>
      <c r="B27" s="68">
        <v>46275.75145833333</v>
      </c>
      <c r="C27" s="38" t="s">
        <v>65</v>
      </c>
      <c r="D27" s="36">
        <v>964.0</v>
      </c>
      <c r="E27" s="40">
        <f>IFERROR(__xludf.DUMMYFUNCTION("IF(C27="""", """", XLOOKUP(TRIM(C27), 'COTRATOS ALBUNS 25.2'!E:E, 'COTRATOS ALBUNS 25.2'!D:D, XLOOKUP(TRIM(C27), IMPORTRANGE(""16smdYggRVyzhu5y9HP2ayvW__ybkjb1nkVsCvZrByLM"", ""'COTRATOS 26.1'!B:B""), IMPORTRANGE(""16smdYggRVyzhu5y9HP2ayvW__ybkjb1nkVsCvZr"&amp;"ByLM"", ""'COTRATOS 26.1'!A:A""), """")))"),85993.0)</f>
        <v>85993</v>
      </c>
      <c r="F27" s="41" t="s">
        <v>66</v>
      </c>
      <c r="G27" s="42" t="s">
        <v>67</v>
      </c>
      <c r="H27" s="43"/>
      <c r="I27" s="44" t="s">
        <v>68</v>
      </c>
      <c r="J27" s="5"/>
      <c r="K27" s="8" t="s">
        <v>13</v>
      </c>
      <c r="L27" s="8" t="s">
        <v>69</v>
      </c>
      <c r="M27" s="5"/>
      <c r="N27" s="63" t="b">
        <v>1</v>
      </c>
      <c r="O27" s="64">
        <f t="shared" si="1"/>
        <v>46292.75146</v>
      </c>
      <c r="P27" s="49">
        <v>46297.0</v>
      </c>
      <c r="Q27" s="85">
        <v>46219.0</v>
      </c>
      <c r="R27" s="86">
        <f t="shared" si="2"/>
        <v>46279</v>
      </c>
      <c r="S27" s="5"/>
      <c r="T27" s="5"/>
      <c r="U27" s="5"/>
      <c r="V27" s="5"/>
      <c r="W27" s="5"/>
      <c r="X27" s="5"/>
    </row>
    <row r="28">
      <c r="A28" s="53" t="b">
        <v>1</v>
      </c>
      <c r="B28" s="54">
        <v>46295.0</v>
      </c>
      <c r="C28" s="55" t="s">
        <v>70</v>
      </c>
      <c r="D28" s="56">
        <v>970.0</v>
      </c>
      <c r="E28" s="40">
        <f>IFERROR(__xludf.DUMMYFUNCTION("IF(C28="""", """", XLOOKUP(TRIM(C28), 'COTRATOS ALBUNS 25.2'!E:E, 'COTRATOS ALBUNS 25.2'!D:D, XLOOKUP(TRIM(C28), IMPORTRANGE(""16smdYggRVyzhu5y9HP2ayvW__ybkjb1nkVsCvZrByLM"", ""'COTRATOS 26.1'!B:B""), IMPORTRANGE(""16smdYggRVyzhu5y9HP2ayvW__ybkjb1nkVsCvZr"&amp;"ByLM"", ""'COTRATOS 26.1'!A:A""), """")))"),94451.0)</f>
        <v>94451</v>
      </c>
      <c r="F28" s="87" t="s">
        <v>40</v>
      </c>
      <c r="G28" s="42" t="s">
        <v>71</v>
      </c>
      <c r="H28" s="43"/>
      <c r="I28" s="58" t="s">
        <v>72</v>
      </c>
      <c r="J28" s="59"/>
      <c r="K28" s="53" t="s">
        <v>6</v>
      </c>
      <c r="L28" s="59"/>
      <c r="M28" s="53" t="s">
        <v>8</v>
      </c>
      <c r="N28" s="47" t="b">
        <v>0</v>
      </c>
      <c r="O28" s="48">
        <f t="shared" si="1"/>
        <v>46312</v>
      </c>
      <c r="P28" s="49">
        <v>46310.0</v>
      </c>
      <c r="Q28" s="61"/>
      <c r="R28" s="51" t="str">
        <f t="shared" si="2"/>
        <v/>
      </c>
      <c r="S28" s="5"/>
      <c r="T28" s="5"/>
      <c r="U28" s="5"/>
      <c r="V28" s="5"/>
      <c r="W28" s="5"/>
      <c r="X28" s="5"/>
    </row>
    <row r="29">
      <c r="A29" s="53" t="b">
        <v>1</v>
      </c>
      <c r="B29" s="54">
        <v>46255.0</v>
      </c>
      <c r="C29" s="88" t="s">
        <v>73</v>
      </c>
      <c r="D29" s="89">
        <v>904.0</v>
      </c>
      <c r="E29" s="40">
        <f>IFERROR(__xludf.DUMMYFUNCTION("IF(C29="""", """", XLOOKUP(TRIM(C29), 'COTRATOS ALBUNS 25.2'!E:E, 'COTRATOS ALBUNS 25.2'!D:D, XLOOKUP(TRIM(C29), IMPORTRANGE(""16smdYggRVyzhu5y9HP2ayvW__ybkjb1nkVsCvZrByLM"", ""'COTRATOS 26.1'!B:B""), IMPORTRANGE(""16smdYggRVyzhu5y9HP2ayvW__ybkjb1nkVsCvZr"&amp;"ByLM"", ""'COTRATOS 26.1'!A:A""), """")))"),84886.0)</f>
        <v>84886</v>
      </c>
      <c r="F29" s="57" t="s">
        <v>74</v>
      </c>
      <c r="G29" s="42" t="s">
        <v>45</v>
      </c>
      <c r="H29" s="43"/>
      <c r="I29" s="58" t="s">
        <v>75</v>
      </c>
      <c r="J29" s="59"/>
      <c r="K29" s="53" t="s">
        <v>8</v>
      </c>
      <c r="L29" s="59"/>
      <c r="M29" s="59"/>
      <c r="N29" s="47" t="b">
        <v>0</v>
      </c>
      <c r="O29" s="48">
        <f t="shared" si="1"/>
        <v>46272</v>
      </c>
      <c r="P29" s="60"/>
      <c r="Q29" s="61"/>
      <c r="R29" s="51" t="str">
        <f t="shared" si="2"/>
        <v/>
      </c>
      <c r="S29" s="5"/>
      <c r="T29" s="5"/>
      <c r="U29" s="5"/>
      <c r="V29" s="5"/>
      <c r="W29" s="5"/>
      <c r="X29" s="5"/>
    </row>
    <row r="30">
      <c r="A30" s="36" t="b">
        <v>1</v>
      </c>
      <c r="B30" s="90">
        <v>46297.0</v>
      </c>
      <c r="C30" s="81" t="s">
        <v>76</v>
      </c>
      <c r="D30" s="39">
        <v>860.0</v>
      </c>
      <c r="E30" s="40">
        <f>IFERROR(__xludf.DUMMYFUNCTION("IF(C30="""", """", XLOOKUP(TRIM(C30), 'COTRATOS ALBUNS 25.2'!E:E, 'COTRATOS ALBUNS 25.2'!D:D, XLOOKUP(TRIM(C30), IMPORTRANGE(""16smdYggRVyzhu5y9HP2ayvW__ybkjb1nkVsCvZrByLM"", ""'COTRATOS 26.1'!B:B""), IMPORTRANGE(""16smdYggRVyzhu5y9HP2ayvW__ybkjb1nkVsCvZr"&amp;"ByLM"", ""'COTRATOS 26.1'!A:A""), """")))"),88172.0)</f>
        <v>88172</v>
      </c>
      <c r="F30" s="41" t="s">
        <v>66</v>
      </c>
      <c r="G30" s="42" t="s">
        <v>57</v>
      </c>
      <c r="H30" s="43"/>
      <c r="I30" s="44" t="s">
        <v>77</v>
      </c>
      <c r="J30" s="7"/>
      <c r="K30" s="8" t="s">
        <v>13</v>
      </c>
      <c r="L30" s="45" t="s">
        <v>78</v>
      </c>
      <c r="M30" s="8" t="s">
        <v>8</v>
      </c>
      <c r="N30" s="47" t="b">
        <v>0</v>
      </c>
      <c r="O30" s="48">
        <f t="shared" si="1"/>
        <v>46314</v>
      </c>
      <c r="P30" s="49">
        <v>46297.0</v>
      </c>
      <c r="Q30" s="50">
        <v>46245.0</v>
      </c>
      <c r="R30" s="86">
        <f t="shared" si="2"/>
        <v>46305</v>
      </c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</row>
    <row r="31">
      <c r="A31" s="53" t="b">
        <v>1</v>
      </c>
      <c r="B31" s="54">
        <v>46256.0</v>
      </c>
      <c r="C31" s="55" t="s">
        <v>79</v>
      </c>
      <c r="D31" s="89">
        <v>970.0</v>
      </c>
      <c r="E31" s="40">
        <f>IFERROR(__xludf.DUMMYFUNCTION("IF(C31="""", """", XLOOKUP(TRIM(C31), 'COTRATOS ALBUNS 25.2'!E:E, 'COTRATOS ALBUNS 25.2'!D:D, XLOOKUP(TRIM(C31), IMPORTRANGE(""16smdYggRVyzhu5y9HP2ayvW__ybkjb1nkVsCvZrByLM"", ""'COTRATOS 26.1'!B:B""), IMPORTRANGE(""16smdYggRVyzhu5y9HP2ayvW__ybkjb1nkVsCvZr"&amp;"ByLM"", ""'COTRATOS 26.1'!A:A""), """")))"),94539.0)</f>
        <v>94539</v>
      </c>
      <c r="F31" s="57" t="s">
        <v>40</v>
      </c>
      <c r="G31" s="42" t="s">
        <v>80</v>
      </c>
      <c r="H31" s="43"/>
      <c r="I31" s="58" t="s">
        <v>81</v>
      </c>
      <c r="J31" s="59"/>
      <c r="K31" s="53" t="s">
        <v>10</v>
      </c>
      <c r="L31" s="59"/>
      <c r="M31" s="59"/>
      <c r="N31" s="47" t="b">
        <v>0</v>
      </c>
      <c r="O31" s="48">
        <f t="shared" si="1"/>
        <v>46273</v>
      </c>
      <c r="P31" s="60"/>
      <c r="Q31" s="61"/>
      <c r="R31" s="51" t="str">
        <f t="shared" si="2"/>
        <v/>
      </c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</row>
    <row r="32">
      <c r="A32" s="56" t="b">
        <v>1</v>
      </c>
      <c r="B32" s="77">
        <v>46251.0</v>
      </c>
      <c r="C32" s="91" t="s">
        <v>82</v>
      </c>
      <c r="D32" s="92">
        <v>1084.0</v>
      </c>
      <c r="E32" s="40">
        <f>IFERROR(__xludf.DUMMYFUNCTION("IF(C32="""", """", XLOOKUP(TRIM(C32), 'COTRATOS ALBUNS 25.2'!E:E, 'COTRATOS ALBUNS 25.2'!D:D, XLOOKUP(TRIM(C32), IMPORTRANGE(""16smdYggRVyzhu5y9HP2ayvW__ybkjb1nkVsCvZrByLM"", ""'COTRATOS 26.1'!B:B""), IMPORTRANGE(""16smdYggRVyzhu5y9HP2ayvW__ybkjb1nkVsCvZr"&amp;"ByLM"", ""'COTRATOS 26.1'!A:A""), """")))"),85926.0)</f>
        <v>85926</v>
      </c>
      <c r="F32" s="57" t="s">
        <v>66</v>
      </c>
      <c r="G32" s="42" t="s">
        <v>37</v>
      </c>
      <c r="H32" s="43"/>
      <c r="I32" s="58" t="s">
        <v>83</v>
      </c>
      <c r="J32" s="59"/>
      <c r="K32" s="46" t="s">
        <v>6</v>
      </c>
      <c r="L32" s="45"/>
      <c r="M32" s="8" t="s">
        <v>8</v>
      </c>
      <c r="N32" s="47" t="b">
        <v>0</v>
      </c>
      <c r="O32" s="48">
        <f t="shared" si="1"/>
        <v>46268</v>
      </c>
      <c r="P32" s="49">
        <v>46300.0</v>
      </c>
      <c r="Q32" s="61"/>
      <c r="R32" s="51" t="str">
        <f t="shared" si="2"/>
        <v/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</row>
    <row r="33">
      <c r="A33" s="36" t="b">
        <v>1</v>
      </c>
      <c r="B33" s="62">
        <v>46275.75167824074</v>
      </c>
      <c r="C33" s="38" t="s">
        <v>84</v>
      </c>
      <c r="D33" s="39">
        <v>1172.0</v>
      </c>
      <c r="E33" s="40">
        <f>IFERROR(__xludf.DUMMYFUNCTION("IF(C33="""", """", XLOOKUP(TRIM(C33), 'COTRATOS ALBUNS 25.2'!E:E, 'COTRATOS ALBUNS 25.2'!D:D, XLOOKUP(TRIM(C33), IMPORTRANGE(""16smdYggRVyzhu5y9HP2ayvW__ybkjb1nkVsCvZrByLM"", ""'COTRATOS 26.1'!B:B""), IMPORTRANGE(""16smdYggRVyzhu5y9HP2ayvW__ybkjb1nkVsCvZr"&amp;"ByLM"", ""'COTRATOS 26.1'!A:A""), """")))"),85487.0)</f>
        <v>85487</v>
      </c>
      <c r="F33" s="41" t="s">
        <v>36</v>
      </c>
      <c r="G33" s="42" t="s">
        <v>60</v>
      </c>
      <c r="H33" s="43"/>
      <c r="I33" s="44" t="s">
        <v>85</v>
      </c>
      <c r="J33" s="7"/>
      <c r="K33" s="8" t="s">
        <v>13</v>
      </c>
      <c r="L33" s="8" t="s">
        <v>69</v>
      </c>
      <c r="M33" s="5"/>
      <c r="N33" s="63" t="b">
        <v>1</v>
      </c>
      <c r="O33" s="64">
        <f t="shared" si="1"/>
        <v>46292.75168</v>
      </c>
      <c r="P33" s="49">
        <v>46297.0</v>
      </c>
      <c r="Q33" s="85">
        <v>46219.0</v>
      </c>
      <c r="R33" s="86">
        <f t="shared" si="2"/>
        <v>46279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</row>
    <row r="34">
      <c r="A34" s="36" t="b">
        <v>1</v>
      </c>
      <c r="B34" s="37">
        <v>46297.0</v>
      </c>
      <c r="C34" s="38" t="s">
        <v>86</v>
      </c>
      <c r="D34" s="39">
        <v>961.0</v>
      </c>
      <c r="E34" s="40">
        <f>IFERROR(__xludf.DUMMYFUNCTION("IF(C34="""", """", XLOOKUP(TRIM(C34), 'COTRATOS ALBUNS 25.2'!E:E, 'COTRATOS ALBUNS 25.2'!D:D, XLOOKUP(TRIM(C34), IMPORTRANGE(""16smdYggRVyzhu5y9HP2ayvW__ybkjb1nkVsCvZrByLM"", ""'COTRATOS 26.1'!B:B""), IMPORTRANGE(""16smdYggRVyzhu5y9HP2ayvW__ybkjb1nkVsCvZr"&amp;"ByLM"", ""'COTRATOS 26.1'!A:A""), """")))"),73467.0)</f>
        <v>73467</v>
      </c>
      <c r="F34" s="41" t="s">
        <v>56</v>
      </c>
      <c r="G34" s="42" t="s">
        <v>87</v>
      </c>
      <c r="H34" s="43"/>
      <c r="I34" s="44" t="s">
        <v>88</v>
      </c>
      <c r="J34" s="7"/>
      <c r="K34" s="8" t="s">
        <v>14</v>
      </c>
      <c r="L34" s="8" t="s">
        <v>89</v>
      </c>
      <c r="M34" s="8" t="s">
        <v>8</v>
      </c>
      <c r="N34" s="47" t="b">
        <v>0</v>
      </c>
      <c r="O34" s="48">
        <f t="shared" si="1"/>
        <v>46314</v>
      </c>
      <c r="P34" s="49">
        <v>46297.0</v>
      </c>
      <c r="Q34" s="93">
        <v>46287.0</v>
      </c>
      <c r="R34" s="76">
        <f t="shared" si="2"/>
        <v>46347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</row>
    <row r="35">
      <c r="A35" s="36" t="b">
        <v>1</v>
      </c>
      <c r="B35" s="94">
        <v>46268.42569444445</v>
      </c>
      <c r="C35" s="38" t="s">
        <v>90</v>
      </c>
      <c r="D35" s="36">
        <v>850.0</v>
      </c>
      <c r="E35" s="40">
        <f>IFERROR(__xludf.DUMMYFUNCTION("IF(C35="""", """", XLOOKUP(TRIM(C35), 'COTRATOS ALBUNS 25.2'!E:E, 'COTRATOS ALBUNS 25.2'!D:D, XLOOKUP(TRIM(C35), IMPORTRANGE(""16smdYggRVyzhu5y9HP2ayvW__ybkjb1nkVsCvZrByLM"", ""'COTRATOS 26.1'!B:B""), IMPORTRANGE(""16smdYggRVyzhu5y9HP2ayvW__ybkjb1nkVsCvZr"&amp;"ByLM"", ""'COTRATOS 26.1'!A:A""), """")))"),75788.0)</f>
        <v>75788</v>
      </c>
      <c r="F35" s="41" t="s">
        <v>66</v>
      </c>
      <c r="G35" s="42" t="s">
        <v>91</v>
      </c>
      <c r="H35" s="43"/>
      <c r="I35" s="44" t="s">
        <v>92</v>
      </c>
      <c r="J35" s="5"/>
      <c r="K35" s="8" t="s">
        <v>13</v>
      </c>
      <c r="L35" s="8" t="s">
        <v>93</v>
      </c>
      <c r="M35" s="8" t="s">
        <v>8</v>
      </c>
      <c r="N35" s="63" t="b">
        <v>1</v>
      </c>
      <c r="O35" s="64">
        <f t="shared" si="1"/>
        <v>46285.42569</v>
      </c>
      <c r="P35" s="49">
        <v>46297.0</v>
      </c>
      <c r="Q35" s="93">
        <v>46203.0</v>
      </c>
      <c r="R35" s="76">
        <f t="shared" si="2"/>
        <v>46263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</row>
    <row r="36">
      <c r="A36" s="53" t="b">
        <v>1</v>
      </c>
      <c r="B36" s="54">
        <v>46276.0</v>
      </c>
      <c r="C36" s="95" t="s">
        <v>94</v>
      </c>
      <c r="D36" s="38">
        <v>1172.0</v>
      </c>
      <c r="E36" s="40">
        <f>IFERROR(__xludf.DUMMYFUNCTION("IF(C36="""", """", XLOOKUP(TRIM(C36), 'COTRATOS ALBUNS 25.2'!E:E, 'COTRATOS ALBUNS 25.2'!D:D, XLOOKUP(TRIM(C36), IMPORTRANGE(""16smdYggRVyzhu5y9HP2ayvW__ybkjb1nkVsCvZrByLM"", ""'COTRATOS 26.1'!B:B""), IMPORTRANGE(""16smdYggRVyzhu5y9HP2ayvW__ybkjb1nkVsCvZr"&amp;"ByLM"", ""'COTRATOS 26.1'!A:A""), """")))"),86092.0)</f>
        <v>86092</v>
      </c>
      <c r="F36" s="57" t="s">
        <v>36</v>
      </c>
      <c r="G36" s="42" t="s">
        <v>95</v>
      </c>
      <c r="H36" s="43"/>
      <c r="I36" s="58" t="s">
        <v>96</v>
      </c>
      <c r="J36" s="59"/>
      <c r="K36" s="53" t="s">
        <v>17</v>
      </c>
      <c r="L36" s="59"/>
      <c r="M36" s="59"/>
      <c r="N36" s="47" t="b">
        <v>0</v>
      </c>
      <c r="O36" s="48">
        <f t="shared" si="1"/>
        <v>46293</v>
      </c>
      <c r="P36" s="60"/>
      <c r="Q36" s="61"/>
      <c r="R36" s="51" t="str">
        <f t="shared" si="2"/>
        <v/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>
      <c r="A37" s="96" t="b">
        <v>1</v>
      </c>
      <c r="B37" s="97">
        <v>46297.0</v>
      </c>
      <c r="C37" s="98" t="s">
        <v>97</v>
      </c>
      <c r="D37" s="99">
        <v>970.0</v>
      </c>
      <c r="E37" s="40">
        <f>IFERROR(__xludf.DUMMYFUNCTION("IF(C37="""", """", XLOOKUP(TRIM(C37), 'COTRATOS ALBUNS 25.2'!E:E, 'COTRATOS ALBUNS 25.2'!D:D, XLOOKUP(TRIM(C37), IMPORTRANGE(""16smdYggRVyzhu5y9HP2ayvW__ybkjb1nkVsCvZrByLM"", ""'COTRATOS 26.1'!B:B""), IMPORTRANGE(""16smdYggRVyzhu5y9HP2ayvW__ybkjb1nkVsCvZr"&amp;"ByLM"", ""'COTRATOS 26.1'!A:A""), """")))"),90164.0)</f>
        <v>90164</v>
      </c>
      <c r="F37" s="57" t="s">
        <v>40</v>
      </c>
      <c r="G37" s="42" t="s">
        <v>52</v>
      </c>
      <c r="H37" s="43"/>
      <c r="I37" s="58" t="s">
        <v>98</v>
      </c>
      <c r="J37" s="59"/>
      <c r="K37" s="8" t="s">
        <v>14</v>
      </c>
      <c r="L37" s="8" t="s">
        <v>89</v>
      </c>
      <c r="M37" s="46" t="s">
        <v>8</v>
      </c>
      <c r="N37" s="47" t="b">
        <v>0</v>
      </c>
      <c r="O37" s="48">
        <f t="shared" si="1"/>
        <v>46314</v>
      </c>
      <c r="P37" s="49">
        <v>46297.0</v>
      </c>
      <c r="Q37" s="61">
        <v>46288.0</v>
      </c>
      <c r="R37" s="76">
        <f t="shared" si="2"/>
        <v>46348</v>
      </c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>
      <c r="A38" s="36" t="b">
        <v>1</v>
      </c>
      <c r="B38" s="100">
        <v>46297.0</v>
      </c>
      <c r="C38" s="38" t="s">
        <v>99</v>
      </c>
      <c r="D38" s="36">
        <v>1172.0</v>
      </c>
      <c r="E38" s="40">
        <f>IFERROR(__xludf.DUMMYFUNCTION("IF(C38="""", """", XLOOKUP(TRIM(C38), 'COTRATOS ALBUNS 25.2'!E:E, 'COTRATOS ALBUNS 25.2'!D:D, XLOOKUP(TRIM(C38), IMPORTRANGE(""16smdYggRVyzhu5y9HP2ayvW__ybkjb1nkVsCvZrByLM"", ""'COTRATOS 26.1'!B:B""), IMPORTRANGE(""16smdYggRVyzhu5y9HP2ayvW__ybkjb1nkVsCvZr"&amp;"ByLM"", ""'COTRATOS 26.1'!A:A""), """")))"),86996.0)</f>
        <v>86996</v>
      </c>
      <c r="F38" s="41" t="s">
        <v>66</v>
      </c>
      <c r="G38" s="42" t="s">
        <v>67</v>
      </c>
      <c r="H38" s="43"/>
      <c r="I38" s="44" t="s">
        <v>100</v>
      </c>
      <c r="J38" s="5"/>
      <c r="K38" s="8" t="s">
        <v>13</v>
      </c>
      <c r="L38" s="8" t="s">
        <v>101</v>
      </c>
      <c r="M38" s="46" t="s">
        <v>8</v>
      </c>
      <c r="N38" s="47" t="b">
        <v>0</v>
      </c>
      <c r="O38" s="48">
        <f t="shared" si="1"/>
        <v>46314</v>
      </c>
      <c r="P38" s="49">
        <v>46297.0</v>
      </c>
      <c r="Q38" s="93">
        <v>46251.0</v>
      </c>
      <c r="R38" s="76">
        <f t="shared" si="2"/>
        <v>46311</v>
      </c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>
      <c r="A39" s="36" t="b">
        <v>1</v>
      </c>
      <c r="B39" s="90">
        <v>46297.0</v>
      </c>
      <c r="C39" s="81" t="s">
        <v>102</v>
      </c>
      <c r="D39" s="79">
        <v>958.0</v>
      </c>
      <c r="E39" s="40">
        <f>IFERROR(__xludf.DUMMYFUNCTION("IF(C39="""", """", XLOOKUP(TRIM(C39), 'COTRATOS ALBUNS 25.2'!E:E, 'COTRATOS ALBUNS 25.2'!D:D, XLOOKUP(TRIM(C39), IMPORTRANGE(""16smdYggRVyzhu5y9HP2ayvW__ybkjb1nkVsCvZrByLM"", ""'COTRATOS 26.1'!B:B""), IMPORTRANGE(""16smdYggRVyzhu5y9HP2ayvW__ybkjb1nkVsCvZr"&amp;"ByLM"", ""'COTRATOS 26.1'!A:A""), """")))"),85224.0)</f>
        <v>85224</v>
      </c>
      <c r="F39" s="41" t="s">
        <v>44</v>
      </c>
      <c r="G39" s="42" t="s">
        <v>45</v>
      </c>
      <c r="H39" s="43"/>
      <c r="I39" s="44" t="s">
        <v>103</v>
      </c>
      <c r="J39" s="7"/>
      <c r="K39" s="8" t="s">
        <v>14</v>
      </c>
      <c r="L39" s="8" t="s">
        <v>89</v>
      </c>
      <c r="M39" s="5"/>
      <c r="N39" s="47" t="b">
        <v>0</v>
      </c>
      <c r="O39" s="48">
        <f t="shared" si="1"/>
        <v>46314</v>
      </c>
      <c r="P39" s="49">
        <v>46297.0</v>
      </c>
      <c r="Q39" s="93">
        <v>46287.0</v>
      </c>
      <c r="R39" s="76">
        <f t="shared" si="2"/>
        <v>46347</v>
      </c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</row>
    <row r="40">
      <c r="A40" s="53" t="b">
        <v>1</v>
      </c>
      <c r="B40" s="54">
        <v>46283.0</v>
      </c>
      <c r="C40" s="83" t="s">
        <v>104</v>
      </c>
      <c r="D40" s="92">
        <v>896.0</v>
      </c>
      <c r="E40" s="40">
        <f>IFERROR(__xludf.DUMMYFUNCTION("IF(C40="""", """", XLOOKUP(TRIM(C40), 'COTRATOS ALBUNS 25.2'!E:E, 'COTRATOS ALBUNS 25.2'!D:D, XLOOKUP(TRIM(C40), IMPORTRANGE(""16smdYggRVyzhu5y9HP2ayvW__ybkjb1nkVsCvZrByLM"", ""'COTRATOS 26.1'!B:B""), IMPORTRANGE(""16smdYggRVyzhu5y9HP2ayvW__ybkjb1nkVsCvZr"&amp;"ByLM"", ""'COTRATOS 26.1'!A:A""), """")))"),87367.0)</f>
        <v>87367</v>
      </c>
      <c r="F40" s="57" t="s">
        <v>40</v>
      </c>
      <c r="G40" s="42" t="s">
        <v>52</v>
      </c>
      <c r="H40" s="43"/>
      <c r="I40" s="58" t="s">
        <v>105</v>
      </c>
      <c r="J40" s="59"/>
      <c r="K40" s="53" t="s">
        <v>6</v>
      </c>
      <c r="L40" s="59"/>
      <c r="M40" s="53" t="s">
        <v>8</v>
      </c>
      <c r="N40" s="47" t="b">
        <v>0</v>
      </c>
      <c r="O40" s="48">
        <f t="shared" si="1"/>
        <v>46300</v>
      </c>
      <c r="P40" s="49">
        <v>46309.0</v>
      </c>
      <c r="Q40" s="61"/>
      <c r="R40" s="51" t="str">
        <f t="shared" si="2"/>
        <v/>
      </c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</row>
    <row r="41">
      <c r="A41" s="67" t="b">
        <v>1</v>
      </c>
      <c r="B41" s="68">
        <v>46268.42623842593</v>
      </c>
      <c r="C41" s="69" t="s">
        <v>106</v>
      </c>
      <c r="D41" s="70">
        <v>1084.0</v>
      </c>
      <c r="E41" s="40">
        <f>IFERROR(__xludf.DUMMYFUNCTION("IF(C41="""", """", XLOOKUP(TRIM(C41), 'COTRATOS ALBUNS 25.2'!E:E, 'COTRATOS ALBUNS 25.2'!D:D, XLOOKUP(TRIM(C41), IMPORTRANGE(""16smdYggRVyzhu5y9HP2ayvW__ybkjb1nkVsCvZrByLM"", ""'COTRATOS 26.1'!B:B""), IMPORTRANGE(""16smdYggRVyzhu5y9HP2ayvW__ybkjb1nkVsCvZr"&amp;"ByLM"", ""'COTRATOS 26.1'!A:A""), """")))"),77467.0)</f>
        <v>77467</v>
      </c>
      <c r="F41" s="71" t="s">
        <v>66</v>
      </c>
      <c r="G41" s="42" t="s">
        <v>91</v>
      </c>
      <c r="H41" s="43"/>
      <c r="I41" s="44" t="s">
        <v>107</v>
      </c>
      <c r="J41" s="5"/>
      <c r="K41" s="8" t="s">
        <v>13</v>
      </c>
      <c r="L41" s="8" t="s">
        <v>108</v>
      </c>
      <c r="M41" s="8" t="s">
        <v>8</v>
      </c>
      <c r="N41" s="63" t="b">
        <v>1</v>
      </c>
      <c r="O41" s="64">
        <f t="shared" si="1"/>
        <v>46285.42624</v>
      </c>
      <c r="P41" s="49">
        <v>46297.0</v>
      </c>
      <c r="Q41" s="72">
        <f t="shared" ref="Q41:Q42" si="4">B41</f>
        <v>46268.42624</v>
      </c>
      <c r="R41" s="73">
        <f t="shared" si="2"/>
        <v>46328.42624</v>
      </c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</row>
    <row r="42">
      <c r="A42" s="67" t="b">
        <v>1</v>
      </c>
      <c r="B42" s="68">
        <v>46268.42621527778</v>
      </c>
      <c r="C42" s="101" t="s">
        <v>109</v>
      </c>
      <c r="D42" s="70">
        <v>971.0</v>
      </c>
      <c r="E42" s="40">
        <f>IFERROR(__xludf.DUMMYFUNCTION("IF(C42="""", """", XLOOKUP(TRIM(C42), 'COTRATOS ALBUNS 25.2'!E:E, 'COTRATOS ALBUNS 25.2'!D:D, XLOOKUP(TRIM(C42), IMPORTRANGE(""16smdYggRVyzhu5y9HP2ayvW__ybkjb1nkVsCvZrByLM"", ""'COTRATOS 26.1'!B:B""), IMPORTRANGE(""16smdYggRVyzhu5y9HP2ayvW__ybkjb1nkVsCvZr"&amp;"ByLM"", ""'COTRATOS 26.1'!A:A""), """")))"),86806.0)</f>
        <v>86806</v>
      </c>
      <c r="F42" s="71" t="s">
        <v>36</v>
      </c>
      <c r="G42" s="42" t="s">
        <v>110</v>
      </c>
      <c r="H42" s="43"/>
      <c r="I42" s="44" t="s">
        <v>111</v>
      </c>
      <c r="J42" s="5"/>
      <c r="K42" s="8" t="s">
        <v>13</v>
      </c>
      <c r="L42" s="8" t="s">
        <v>54</v>
      </c>
      <c r="M42" s="8" t="s">
        <v>8</v>
      </c>
      <c r="N42" s="63" t="b">
        <v>1</v>
      </c>
      <c r="O42" s="64">
        <f t="shared" si="1"/>
        <v>46285.42622</v>
      </c>
      <c r="P42" s="49">
        <v>46176.0</v>
      </c>
      <c r="Q42" s="72">
        <f t="shared" si="4"/>
        <v>46268.42622</v>
      </c>
      <c r="R42" s="73">
        <f t="shared" si="2"/>
        <v>46328.42622</v>
      </c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</row>
    <row r="43">
      <c r="A43" s="56" t="b">
        <v>1</v>
      </c>
      <c r="B43" s="77">
        <v>46297.0</v>
      </c>
      <c r="C43" s="98" t="s">
        <v>112</v>
      </c>
      <c r="D43" s="56">
        <v>948.0</v>
      </c>
      <c r="E43" s="102">
        <v>57512.0</v>
      </c>
      <c r="F43" s="57" t="s">
        <v>40</v>
      </c>
      <c r="G43" s="42" t="s">
        <v>45</v>
      </c>
      <c r="H43" s="43"/>
      <c r="I43" s="58" t="s">
        <v>113</v>
      </c>
      <c r="J43" s="59"/>
      <c r="K43" s="8" t="s">
        <v>13</v>
      </c>
      <c r="L43" s="53" t="s">
        <v>78</v>
      </c>
      <c r="M43" s="53" t="s">
        <v>8</v>
      </c>
      <c r="N43" s="47" t="b">
        <v>0</v>
      </c>
      <c r="O43" s="48">
        <f t="shared" si="1"/>
        <v>46314</v>
      </c>
      <c r="P43" s="49">
        <v>46297.0</v>
      </c>
      <c r="Q43" s="61">
        <v>46266.0</v>
      </c>
      <c r="R43" s="76">
        <f t="shared" si="2"/>
        <v>46326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</row>
    <row r="44">
      <c r="A44" s="67" t="b">
        <v>1</v>
      </c>
      <c r="B44" s="68">
        <v>46268.42571759259</v>
      </c>
      <c r="C44" s="69" t="s">
        <v>114</v>
      </c>
      <c r="D44" s="70">
        <v>971.0</v>
      </c>
      <c r="E44" s="40">
        <f>IFERROR(__xludf.DUMMYFUNCTION("IF(C44="""", """", XLOOKUP(TRIM(C44), 'COTRATOS ALBUNS 25.2'!E:E, 'COTRATOS ALBUNS 25.2'!D:D, XLOOKUP(TRIM(C44), IMPORTRANGE(""16smdYggRVyzhu5y9HP2ayvW__ybkjb1nkVsCvZrByLM"", ""'COTRATOS 26.1'!B:B""), IMPORTRANGE(""16smdYggRVyzhu5y9HP2ayvW__ybkjb1nkVsCvZr"&amp;"ByLM"", ""'COTRATOS 26.1'!A:A""), """")))"),88483.0)</f>
        <v>88483</v>
      </c>
      <c r="F44" s="71" t="s">
        <v>66</v>
      </c>
      <c r="G44" s="42" t="s">
        <v>110</v>
      </c>
      <c r="H44" s="43"/>
      <c r="I44" s="44" t="s">
        <v>115</v>
      </c>
      <c r="J44" s="5"/>
      <c r="K44" s="8" t="s">
        <v>13</v>
      </c>
      <c r="L44" s="8" t="s">
        <v>54</v>
      </c>
      <c r="M44" s="8" t="s">
        <v>8</v>
      </c>
      <c r="N44" s="63" t="b">
        <v>1</v>
      </c>
      <c r="O44" s="64">
        <f t="shared" si="1"/>
        <v>46285.42572</v>
      </c>
      <c r="P44" s="49">
        <v>46297.0</v>
      </c>
      <c r="Q44" s="72">
        <f>B44</f>
        <v>46268.42572</v>
      </c>
      <c r="R44" s="73">
        <f t="shared" si="2"/>
        <v>46328.42572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>
      <c r="A45" s="53" t="b">
        <v>1</v>
      </c>
      <c r="B45" s="54">
        <v>46296.0</v>
      </c>
      <c r="C45" s="55" t="s">
        <v>116</v>
      </c>
      <c r="D45" s="56">
        <v>972.0</v>
      </c>
      <c r="E45" s="40">
        <f>IFERROR(__xludf.DUMMYFUNCTION("IF(C45="""", """", XLOOKUP(TRIM(C45), 'COTRATOS ALBUNS 25.2'!E:E, 'COTRATOS ALBUNS 25.2'!D:D, XLOOKUP(TRIM(C45), IMPORTRANGE(""16smdYggRVyzhu5y9HP2ayvW__ybkjb1nkVsCvZrByLM"", ""'COTRATOS 26.1'!B:B""), IMPORTRANGE(""16smdYggRVyzhu5y9HP2ayvW__ybkjb1nkVsCvZr"&amp;"ByLM"", ""'COTRATOS 26.1'!A:A""), """")))"),95114.0)</f>
        <v>95114</v>
      </c>
      <c r="F45" s="87" t="s">
        <v>40</v>
      </c>
      <c r="G45" s="42" t="s">
        <v>117</v>
      </c>
      <c r="H45" s="43"/>
      <c r="I45" s="58" t="s">
        <v>118</v>
      </c>
      <c r="J45" s="59"/>
      <c r="K45" s="53" t="s">
        <v>6</v>
      </c>
      <c r="L45" s="59"/>
      <c r="M45" s="53" t="s">
        <v>8</v>
      </c>
      <c r="N45" s="47" t="b">
        <v>0</v>
      </c>
      <c r="O45" s="48">
        <f t="shared" si="1"/>
        <v>46313</v>
      </c>
      <c r="P45" s="49">
        <v>46310.0</v>
      </c>
      <c r="Q45" s="61"/>
      <c r="R45" s="51" t="str">
        <f t="shared" si="2"/>
        <v/>
      </c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>
      <c r="A46" s="67" t="b">
        <v>1</v>
      </c>
      <c r="B46" s="68">
        <v>46216.49277777778</v>
      </c>
      <c r="C46" s="38" t="s">
        <v>119</v>
      </c>
      <c r="D46" s="36">
        <v>1173.0</v>
      </c>
      <c r="E46" s="40">
        <f>IFERROR(__xludf.DUMMYFUNCTION("IF(C46="""", """", XLOOKUP(TRIM(C46), 'COTRATOS ALBUNS 25.2'!E:E, 'COTRATOS ALBUNS 25.2'!D:D, XLOOKUP(TRIM(C46), IMPORTRANGE(""16smdYggRVyzhu5y9HP2ayvW__ybkjb1nkVsCvZrByLM"", ""'COTRATOS 26.1'!B:B""), IMPORTRANGE(""16smdYggRVyzhu5y9HP2ayvW__ybkjb1nkVsCvZr"&amp;"ByLM"", ""'COTRATOS 26.1'!A:A""), """")))"),85414.0)</f>
        <v>85414</v>
      </c>
      <c r="F46" s="41" t="s">
        <v>66</v>
      </c>
      <c r="G46" s="42" t="s">
        <v>117</v>
      </c>
      <c r="H46" s="43"/>
      <c r="I46" s="44" t="s">
        <v>120</v>
      </c>
      <c r="J46" s="5"/>
      <c r="K46" s="8" t="s">
        <v>13</v>
      </c>
      <c r="L46" s="8" t="s">
        <v>121</v>
      </c>
      <c r="M46" s="5"/>
      <c r="N46" s="63" t="b">
        <v>1</v>
      </c>
      <c r="O46" s="64">
        <f t="shared" si="1"/>
        <v>46233.49278</v>
      </c>
      <c r="P46" s="49">
        <v>46297.0</v>
      </c>
      <c r="Q46" s="85">
        <v>46216.0</v>
      </c>
      <c r="R46" s="86">
        <f t="shared" si="2"/>
        <v>46276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</row>
    <row r="47">
      <c r="A47" s="53" t="b">
        <v>1</v>
      </c>
      <c r="B47" s="54">
        <v>46293.0</v>
      </c>
      <c r="C47" s="55" t="s">
        <v>122</v>
      </c>
      <c r="D47" s="56">
        <v>1172.0</v>
      </c>
      <c r="E47" s="40">
        <f>IFERROR(__xludf.DUMMYFUNCTION("IF(C47="""", """", XLOOKUP(TRIM(C47), 'COTRATOS ALBUNS 25.2'!E:E, 'COTRATOS ALBUNS 25.2'!D:D, XLOOKUP(TRIM(C47), IMPORTRANGE(""16smdYggRVyzhu5y9HP2ayvW__ybkjb1nkVsCvZrByLM"", ""'COTRATOS 26.1'!B:B""), IMPORTRANGE(""16smdYggRVyzhu5y9HP2ayvW__ybkjb1nkVsCvZr"&amp;"ByLM"", ""'COTRATOS 26.1'!A:A""), """")))"),85250.0)</f>
        <v>85250</v>
      </c>
      <c r="F47" s="57" t="s">
        <v>36</v>
      </c>
      <c r="G47" s="42" t="s">
        <v>123</v>
      </c>
      <c r="H47" s="43"/>
      <c r="I47" s="58" t="s">
        <v>124</v>
      </c>
      <c r="J47" s="59"/>
      <c r="K47" s="53" t="s">
        <v>6</v>
      </c>
      <c r="L47" s="59"/>
      <c r="M47" s="53" t="s">
        <v>8</v>
      </c>
      <c r="N47" s="47" t="b">
        <v>0</v>
      </c>
      <c r="O47" s="48">
        <f t="shared" si="1"/>
        <v>46310</v>
      </c>
      <c r="P47" s="49">
        <v>46310.0</v>
      </c>
      <c r="Q47" s="61"/>
      <c r="R47" s="51" t="str">
        <f t="shared" si="2"/>
        <v/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</row>
    <row r="48">
      <c r="A48" s="53" t="b">
        <v>1</v>
      </c>
      <c r="B48" s="54">
        <v>46274.0</v>
      </c>
      <c r="C48" s="55" t="s">
        <v>125</v>
      </c>
      <c r="D48" s="38">
        <v>1172.0</v>
      </c>
      <c r="E48" s="40">
        <f>IFERROR(__xludf.DUMMYFUNCTION("IF(C48="""", """", XLOOKUP(TRIM(C48), 'COTRATOS ALBUNS 25.2'!E:E, 'COTRATOS ALBUNS 25.2'!D:D, XLOOKUP(TRIM(C48), IMPORTRANGE(""16smdYggRVyzhu5y9HP2ayvW__ybkjb1nkVsCvZrByLM"", ""'COTRATOS 26.1'!B:B""), IMPORTRANGE(""16smdYggRVyzhu5y9HP2ayvW__ybkjb1nkVsCvZr"&amp;"ByLM"", ""'COTRATOS 26.1'!A:A""), """")))"),89862.0)</f>
        <v>89862</v>
      </c>
      <c r="F48" s="57" t="s">
        <v>56</v>
      </c>
      <c r="G48" s="42" t="s">
        <v>126</v>
      </c>
      <c r="H48" s="43"/>
      <c r="I48" s="58" t="s">
        <v>127</v>
      </c>
      <c r="J48" s="59"/>
      <c r="K48" s="53" t="s">
        <v>17</v>
      </c>
      <c r="L48" s="59"/>
      <c r="M48" s="59"/>
      <c r="N48" s="47" t="b">
        <v>0</v>
      </c>
      <c r="O48" s="48">
        <f t="shared" si="1"/>
        <v>46291</v>
      </c>
      <c r="P48" s="60"/>
      <c r="Q48" s="61"/>
      <c r="R48" s="51" t="str">
        <f t="shared" si="2"/>
        <v/>
      </c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</row>
    <row r="49">
      <c r="A49" s="67" t="b">
        <v>1</v>
      </c>
      <c r="B49" s="74">
        <v>46268.42601851852</v>
      </c>
      <c r="C49" s="69" t="s">
        <v>128</v>
      </c>
      <c r="D49" s="70">
        <v>971.0</v>
      </c>
      <c r="E49" s="40">
        <f>IFERROR(__xludf.DUMMYFUNCTION("IF(C49="""", """", XLOOKUP(TRIM(C49), 'COTRATOS ALBUNS 25.2'!E:E, 'COTRATOS ALBUNS 25.2'!D:D, XLOOKUP(TRIM(C49), IMPORTRANGE(""16smdYggRVyzhu5y9HP2ayvW__ybkjb1nkVsCvZrByLM"", ""'COTRATOS 26.1'!B:B""), IMPORTRANGE(""16smdYggRVyzhu5y9HP2ayvW__ybkjb1nkVsCvZr"&amp;"ByLM"", ""'COTRATOS 26.1'!A:A""), """")))"),85229.0)</f>
        <v>85229</v>
      </c>
      <c r="F49" s="71" t="s">
        <v>36</v>
      </c>
      <c r="G49" s="42" t="s">
        <v>52</v>
      </c>
      <c r="H49" s="43"/>
      <c r="I49" s="44" t="s">
        <v>129</v>
      </c>
      <c r="J49" s="5"/>
      <c r="K49" s="8" t="s">
        <v>13</v>
      </c>
      <c r="L49" s="8" t="s">
        <v>50</v>
      </c>
      <c r="M49" s="8" t="s">
        <v>8</v>
      </c>
      <c r="N49" s="63" t="b">
        <v>1</v>
      </c>
      <c r="O49" s="48">
        <f t="shared" si="1"/>
        <v>46285.42602</v>
      </c>
      <c r="P49" s="49">
        <v>46297.0</v>
      </c>
      <c r="Q49" s="75">
        <f>B49</f>
        <v>46268.42602</v>
      </c>
      <c r="R49" s="76">
        <f t="shared" si="2"/>
        <v>46328.42602</v>
      </c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</row>
    <row r="50">
      <c r="A50" s="36" t="b">
        <v>1</v>
      </c>
      <c r="B50" s="37">
        <v>46297.0</v>
      </c>
      <c r="C50" s="38" t="s">
        <v>130</v>
      </c>
      <c r="D50" s="39">
        <v>6118.0</v>
      </c>
      <c r="E50" s="40">
        <f>IFERROR(__xludf.DUMMYFUNCTION("IF(C50="""", """", XLOOKUP(TRIM(C50), 'COTRATOS ALBUNS 25.2'!E:E, 'COTRATOS ALBUNS 25.2'!D:D, XLOOKUP(TRIM(C50), IMPORTRANGE(""16smdYggRVyzhu5y9HP2ayvW__ybkjb1nkVsCvZrByLM"", ""'COTRATOS 26.1'!B:B""), IMPORTRANGE(""16smdYggRVyzhu5y9HP2ayvW__ybkjb1nkVsCvZr"&amp;"ByLM"", ""'COTRATOS 26.1'!A:A""), """")))"),77138.0)</f>
        <v>77138</v>
      </c>
      <c r="F50" s="41" t="s">
        <v>40</v>
      </c>
      <c r="G50" s="42" t="s">
        <v>52</v>
      </c>
      <c r="H50" s="43"/>
      <c r="I50" s="44" t="s">
        <v>131</v>
      </c>
      <c r="J50" s="7"/>
      <c r="K50" s="8" t="s">
        <v>14</v>
      </c>
      <c r="L50" s="103" t="s">
        <v>132</v>
      </c>
      <c r="M50" s="46" t="s">
        <v>8</v>
      </c>
      <c r="N50" s="47" t="b">
        <v>0</v>
      </c>
      <c r="O50" s="48">
        <f t="shared" si="1"/>
        <v>46314</v>
      </c>
      <c r="P50" s="49">
        <v>46297.0</v>
      </c>
      <c r="Q50" s="93">
        <v>46281.0</v>
      </c>
      <c r="R50" s="76">
        <f t="shared" si="2"/>
        <v>46341</v>
      </c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>
      <c r="A51" s="96" t="b">
        <v>1</v>
      </c>
      <c r="B51" s="97">
        <v>46238.0</v>
      </c>
      <c r="C51" s="98" t="s">
        <v>133</v>
      </c>
      <c r="D51" s="99">
        <v>968.0</v>
      </c>
      <c r="E51" s="40">
        <f>IFERROR(__xludf.DUMMYFUNCTION("IF(C51="""", """", XLOOKUP(TRIM(C51), 'COTRATOS ALBUNS 25.2'!E:E, 'COTRATOS ALBUNS 25.2'!D:D, XLOOKUP(TRIM(C51), IMPORTRANGE(""16smdYggRVyzhu5y9HP2ayvW__ybkjb1nkVsCvZrByLM"", ""'COTRATOS 26.1'!B:B""), IMPORTRANGE(""16smdYggRVyzhu5y9HP2ayvW__ybkjb1nkVsCvZr"&amp;"ByLM"", ""'COTRATOS 26.1'!A:A""), """")))"),86778.0)</f>
        <v>86778</v>
      </c>
      <c r="F51" s="57" t="s">
        <v>36</v>
      </c>
      <c r="G51" s="42" t="s">
        <v>134</v>
      </c>
      <c r="H51" s="43"/>
      <c r="I51" s="58" t="s">
        <v>135</v>
      </c>
      <c r="J51" s="59"/>
      <c r="K51" s="8" t="s">
        <v>6</v>
      </c>
      <c r="L51" s="45"/>
      <c r="M51" s="46" t="s">
        <v>8</v>
      </c>
      <c r="N51" s="47" t="b">
        <v>0</v>
      </c>
      <c r="O51" s="48">
        <f t="shared" si="1"/>
        <v>46255</v>
      </c>
      <c r="P51" s="49">
        <v>46266.0</v>
      </c>
      <c r="Q51" s="104"/>
      <c r="R51" s="51" t="str">
        <f t="shared" si="2"/>
        <v/>
      </c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  <row r="52">
      <c r="A52" s="67" t="b">
        <v>1</v>
      </c>
      <c r="B52" s="68">
        <v>46268.42655092593</v>
      </c>
      <c r="C52" s="38" t="s">
        <v>136</v>
      </c>
      <c r="D52" s="36">
        <v>1084.0</v>
      </c>
      <c r="E52" s="40">
        <f>IFERROR(__xludf.DUMMYFUNCTION("IF(C52="""", """", XLOOKUP(TRIM(C52), 'COTRATOS ALBUNS 25.2'!E:E, 'COTRATOS ALBUNS 25.2'!D:D, XLOOKUP(TRIM(C52), IMPORTRANGE(""16smdYggRVyzhu5y9HP2ayvW__ybkjb1nkVsCvZrByLM"", ""'COTRATOS 26.1'!B:B""), IMPORTRANGE(""16smdYggRVyzhu5y9HP2ayvW__ybkjb1nkVsCvZr"&amp;"ByLM"", ""'COTRATOS 26.1'!A:A""), """")))"),87526.0)</f>
        <v>87526</v>
      </c>
      <c r="F52" s="41" t="s">
        <v>66</v>
      </c>
      <c r="G52" s="42" t="s">
        <v>41</v>
      </c>
      <c r="H52" s="43"/>
      <c r="I52" s="44" t="s">
        <v>137</v>
      </c>
      <c r="J52" s="5"/>
      <c r="K52" s="8" t="s">
        <v>13</v>
      </c>
      <c r="L52" s="8" t="s">
        <v>93</v>
      </c>
      <c r="M52" s="8" t="s">
        <v>8</v>
      </c>
      <c r="N52" s="63" t="b">
        <v>1</v>
      </c>
      <c r="O52" s="64">
        <f t="shared" si="1"/>
        <v>46285.42655</v>
      </c>
      <c r="P52" s="49">
        <v>46261.0</v>
      </c>
      <c r="Q52" s="93">
        <v>46297.0</v>
      </c>
      <c r="R52" s="76">
        <f t="shared" si="2"/>
        <v>46357</v>
      </c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>
      <c r="A53" s="53" t="b">
        <v>1</v>
      </c>
      <c r="B53" s="54">
        <v>46282.0</v>
      </c>
      <c r="C53" s="105" t="s">
        <v>138</v>
      </c>
      <c r="D53" s="84">
        <v>996.0</v>
      </c>
      <c r="E53" s="40">
        <f>IFERROR(__xludf.DUMMYFUNCTION("IF(C53="""", """", XLOOKUP(TRIM(C53), 'COTRATOS ALBUNS 25.2'!E:E, 'COTRATOS ALBUNS 25.2'!D:D, XLOOKUP(TRIM(C53), IMPORTRANGE(""16smdYggRVyzhu5y9HP2ayvW__ybkjb1nkVsCvZrByLM"", ""'COTRATOS 26.1'!B:B""), IMPORTRANGE(""16smdYggRVyzhu5y9HP2ayvW__ybkjb1nkVsCvZr"&amp;"ByLM"", ""'COTRATOS 26.1'!A:A""), """")))"),86123.0)</f>
        <v>86123</v>
      </c>
      <c r="F53" s="57" t="s">
        <v>56</v>
      </c>
      <c r="G53" s="42" t="s">
        <v>45</v>
      </c>
      <c r="H53" s="43"/>
      <c r="I53" s="58" t="s">
        <v>139</v>
      </c>
      <c r="J53" s="59"/>
      <c r="K53" s="53" t="s">
        <v>6</v>
      </c>
      <c r="L53" s="59"/>
      <c r="M53" s="53" t="s">
        <v>8</v>
      </c>
      <c r="N53" s="47" t="b">
        <v>0</v>
      </c>
      <c r="O53" s="48">
        <f t="shared" si="1"/>
        <v>46299</v>
      </c>
      <c r="P53" s="49">
        <v>46309.0</v>
      </c>
      <c r="Q53" s="61"/>
      <c r="R53" s="51" t="str">
        <f t="shared" si="2"/>
        <v/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>
      <c r="A54" s="53" t="b">
        <v>1</v>
      </c>
      <c r="B54" s="54">
        <v>46278.0</v>
      </c>
      <c r="C54" s="55" t="s">
        <v>140</v>
      </c>
      <c r="D54" s="56">
        <v>1066.0</v>
      </c>
      <c r="E54" s="40">
        <f>IFERROR(__xludf.DUMMYFUNCTION("IF(C54="""", """", XLOOKUP(TRIM(C54), 'COTRATOS ALBUNS 25.2'!E:E, 'COTRATOS ALBUNS 25.2'!D:D, XLOOKUP(TRIM(C54), IMPORTRANGE(""16smdYggRVyzhu5y9HP2ayvW__ybkjb1nkVsCvZrByLM"", ""'COTRATOS 26.1'!B:B""), IMPORTRANGE(""16smdYggRVyzhu5y9HP2ayvW__ybkjb1nkVsCvZr"&amp;"ByLM"", ""'COTRATOS 26.1'!A:A""), """")))"),70391.0)</f>
        <v>70391</v>
      </c>
      <c r="F54" s="57" t="s">
        <v>40</v>
      </c>
      <c r="G54" s="42" t="s">
        <v>45</v>
      </c>
      <c r="H54" s="43"/>
      <c r="I54" s="58" t="s">
        <v>141</v>
      </c>
      <c r="J54" s="59"/>
      <c r="K54" s="53" t="s">
        <v>6</v>
      </c>
      <c r="L54" s="59"/>
      <c r="M54" s="53" t="s">
        <v>8</v>
      </c>
      <c r="N54" s="47" t="b">
        <v>0</v>
      </c>
      <c r="O54" s="48">
        <f t="shared" si="1"/>
        <v>46295</v>
      </c>
      <c r="P54" s="49">
        <v>46310.0</v>
      </c>
      <c r="Q54" s="61"/>
      <c r="R54" s="51" t="str">
        <f t="shared" si="2"/>
        <v/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5">
      <c r="A55" s="53" t="b">
        <v>1</v>
      </c>
      <c r="B55" s="54">
        <v>46283.0</v>
      </c>
      <c r="C55" s="83" t="s">
        <v>142</v>
      </c>
      <c r="D55" s="84">
        <v>957.0</v>
      </c>
      <c r="E55" s="40">
        <f>IFERROR(__xludf.DUMMYFUNCTION("IF(C55="""", """", XLOOKUP(TRIM(C55), 'COTRATOS ALBUNS 25.2'!E:E, 'COTRATOS ALBUNS 25.2'!D:D, XLOOKUP(TRIM(C55), IMPORTRANGE(""16smdYggRVyzhu5y9HP2ayvW__ybkjb1nkVsCvZrByLM"", ""'COTRATOS 26.1'!B:B""), IMPORTRANGE(""16smdYggRVyzhu5y9HP2ayvW__ybkjb1nkVsCvZr"&amp;"ByLM"", ""'COTRATOS 26.1'!A:A""), """")))"),87637.0)</f>
        <v>87637</v>
      </c>
      <c r="F55" s="57" t="s">
        <v>36</v>
      </c>
      <c r="G55" s="42" t="s">
        <v>45</v>
      </c>
      <c r="H55" s="43"/>
      <c r="I55" s="58" t="s">
        <v>143</v>
      </c>
      <c r="J55" s="59"/>
      <c r="K55" s="53" t="s">
        <v>144</v>
      </c>
      <c r="L55" s="59"/>
      <c r="M55" s="59"/>
      <c r="N55" s="47" t="b">
        <v>0</v>
      </c>
      <c r="O55" s="48">
        <f t="shared" si="1"/>
        <v>46300</v>
      </c>
      <c r="P55" s="49">
        <v>46309.0</v>
      </c>
      <c r="Q55" s="61">
        <v>46311.0</v>
      </c>
      <c r="R55" s="76">
        <f t="shared" si="2"/>
        <v>46371</v>
      </c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</row>
    <row r="56">
      <c r="A56" s="67" t="b">
        <v>1</v>
      </c>
      <c r="B56" s="74">
        <v>46268.425625</v>
      </c>
      <c r="C56" s="70" t="s">
        <v>145</v>
      </c>
      <c r="D56" s="70">
        <v>895.0</v>
      </c>
      <c r="E56" s="40">
        <f>IFERROR(__xludf.DUMMYFUNCTION("IF(C56="""", """", XLOOKUP(TRIM(C56), 'COTRATOS ALBUNS 25.2'!E:E, 'COTRATOS ALBUNS 25.2'!D:D, XLOOKUP(TRIM(C56), IMPORTRANGE(""16smdYggRVyzhu5y9HP2ayvW__ybkjb1nkVsCvZrByLM"", ""'COTRATOS 26.1'!B:B""), IMPORTRANGE(""16smdYggRVyzhu5y9HP2ayvW__ybkjb1nkVsCvZr"&amp;"ByLM"", ""'COTRATOS 26.1'!A:A""), """")))"),79477.0)</f>
        <v>79477</v>
      </c>
      <c r="F56" s="71" t="s">
        <v>66</v>
      </c>
      <c r="G56" s="42" t="s">
        <v>41</v>
      </c>
      <c r="H56" s="43"/>
      <c r="I56" s="44" t="s">
        <v>146</v>
      </c>
      <c r="J56" s="5"/>
      <c r="K56" s="8" t="s">
        <v>13</v>
      </c>
      <c r="L56" s="8" t="s">
        <v>50</v>
      </c>
      <c r="M56" s="8" t="s">
        <v>8</v>
      </c>
      <c r="N56" s="63" t="b">
        <v>1</v>
      </c>
      <c r="O56" s="48">
        <f t="shared" si="1"/>
        <v>46285.42563</v>
      </c>
      <c r="P56" s="49">
        <v>46297.0</v>
      </c>
      <c r="Q56" s="75">
        <f>B56</f>
        <v>46268.42563</v>
      </c>
      <c r="R56" s="76">
        <f t="shared" si="2"/>
        <v>46328.42563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</row>
    <row r="57">
      <c r="A57" s="56" t="b">
        <v>1</v>
      </c>
      <c r="B57" s="54">
        <v>46274.0</v>
      </c>
      <c r="C57" s="106" t="s">
        <v>147</v>
      </c>
      <c r="D57" s="56">
        <v>1172.0</v>
      </c>
      <c r="E57" s="40">
        <f>IFERROR(__xludf.DUMMYFUNCTION("IF(C57="""", """", XLOOKUP(TRIM(C57), 'COTRATOS ALBUNS 25.2'!E:E, 'COTRATOS ALBUNS 25.2'!D:D, XLOOKUP(TRIM(C57), IMPORTRANGE(""16smdYggRVyzhu5y9HP2ayvW__ybkjb1nkVsCvZrByLM"", ""'COTRATOS 26.1'!B:B""), IMPORTRANGE(""16smdYggRVyzhu5y9HP2ayvW__ybkjb1nkVsCvZr"&amp;"ByLM"", ""'COTRATOS 26.1'!A:A""), """")))"),86106.0)</f>
        <v>86106</v>
      </c>
      <c r="F57" s="57" t="s">
        <v>66</v>
      </c>
      <c r="G57" s="42" t="s">
        <v>63</v>
      </c>
      <c r="H57" s="43"/>
      <c r="I57" s="58" t="s">
        <v>148</v>
      </c>
      <c r="J57" s="59"/>
      <c r="K57" s="53" t="s">
        <v>6</v>
      </c>
      <c r="L57" s="59"/>
      <c r="M57" s="8" t="s">
        <v>8</v>
      </c>
      <c r="N57" s="47" t="b">
        <v>0</v>
      </c>
      <c r="O57" s="48">
        <f t="shared" si="1"/>
        <v>46291</v>
      </c>
      <c r="P57" s="49">
        <v>46300.0</v>
      </c>
      <c r="Q57" s="61"/>
      <c r="R57" s="51" t="str">
        <f t="shared" si="2"/>
        <v/>
      </c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</row>
    <row r="58">
      <c r="A58" s="67" t="b">
        <v>1</v>
      </c>
      <c r="B58" s="74">
        <v>46109.0</v>
      </c>
      <c r="C58" s="69" t="s">
        <v>149</v>
      </c>
      <c r="D58" s="70">
        <v>971.0</v>
      </c>
      <c r="E58" s="40">
        <f>IFERROR(__xludf.DUMMYFUNCTION("IF(C58="""", """", XLOOKUP(TRIM(C58), 'COTRATOS ALBUNS 25.2'!E:E, 'COTRATOS ALBUNS 25.2'!D:D, XLOOKUP(TRIM(C58), IMPORTRANGE(""16smdYggRVyzhu5y9HP2ayvW__ybkjb1nkVsCvZrByLM"", ""'COTRATOS 26.1'!B:B""), IMPORTRANGE(""16smdYggRVyzhu5y9HP2ayvW__ybkjb1nkVsCvZr"&amp;"ByLM"", ""'COTRATOS 26.1'!A:A""), """")))"),87580.0)</f>
        <v>87580</v>
      </c>
      <c r="F58" s="71" t="s">
        <v>36</v>
      </c>
      <c r="G58" s="42" t="s">
        <v>117</v>
      </c>
      <c r="H58" s="43"/>
      <c r="I58" s="44" t="s">
        <v>150</v>
      </c>
      <c r="J58" s="5"/>
      <c r="K58" s="8" t="s">
        <v>144</v>
      </c>
      <c r="L58" s="5"/>
      <c r="M58" s="46" t="s">
        <v>8</v>
      </c>
      <c r="N58" s="47" t="b">
        <v>0</v>
      </c>
      <c r="O58" s="48">
        <f t="shared" si="1"/>
        <v>46126</v>
      </c>
      <c r="P58" s="107">
        <v>46266.51359953704</v>
      </c>
      <c r="Q58" s="93">
        <v>46311.0</v>
      </c>
      <c r="R58" s="76">
        <f t="shared" si="2"/>
        <v>46371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</row>
    <row r="59" ht="16.5" customHeight="1">
      <c r="A59" s="36" t="b">
        <v>1</v>
      </c>
      <c r="B59" s="90">
        <v>46297.0</v>
      </c>
      <c r="C59" s="81" t="s">
        <v>151</v>
      </c>
      <c r="D59" s="79">
        <v>988.0</v>
      </c>
      <c r="E59" s="40">
        <f>IFERROR(__xludf.DUMMYFUNCTION("IF(C59="""", """", XLOOKUP(TRIM(C59), 'COTRATOS ALBUNS 25.2'!E:E, 'COTRATOS ALBUNS 25.2'!D:D, XLOOKUP(TRIM(C59), IMPORTRANGE(""16smdYggRVyzhu5y9HP2ayvW__ybkjb1nkVsCvZrByLM"", ""'COTRATOS 26.1'!B:B""), IMPORTRANGE(""16smdYggRVyzhu5y9HP2ayvW__ybkjb1nkVsCvZr"&amp;"ByLM"", ""'COTRATOS 26.1'!A:A""), """")))"),70185.0)</f>
        <v>70185</v>
      </c>
      <c r="F59" s="41" t="s">
        <v>36</v>
      </c>
      <c r="G59" s="42" t="s">
        <v>45</v>
      </c>
      <c r="H59" s="43"/>
      <c r="I59" s="44" t="s">
        <v>152</v>
      </c>
      <c r="J59" s="7"/>
      <c r="K59" s="8" t="s">
        <v>14</v>
      </c>
      <c r="L59" s="8" t="s">
        <v>132</v>
      </c>
      <c r="M59" s="8" t="s">
        <v>8</v>
      </c>
      <c r="N59" s="47" t="b">
        <v>0</v>
      </c>
      <c r="O59" s="48">
        <f t="shared" si="1"/>
        <v>46314</v>
      </c>
      <c r="P59" s="49">
        <v>46297.0</v>
      </c>
      <c r="Q59" s="93">
        <v>46276.0</v>
      </c>
      <c r="R59" s="76">
        <f t="shared" si="2"/>
        <v>46336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</row>
    <row r="60">
      <c r="A60" s="36" t="b">
        <v>1</v>
      </c>
      <c r="B60" s="90">
        <v>46224.0</v>
      </c>
      <c r="C60" s="81" t="s">
        <v>153</v>
      </c>
      <c r="D60" s="79">
        <v>1172.0</v>
      </c>
      <c r="E60" s="40">
        <f>IFERROR(__xludf.DUMMYFUNCTION("IF(C60="""", """", XLOOKUP(TRIM(C60), 'COTRATOS ALBUNS 25.2'!E:E, 'COTRATOS ALBUNS 25.2'!D:D, XLOOKUP(TRIM(C60), IMPORTRANGE(""16smdYggRVyzhu5y9HP2ayvW__ybkjb1nkVsCvZrByLM"", ""'COTRATOS 26.1'!B:B""), IMPORTRANGE(""16smdYggRVyzhu5y9HP2ayvW__ybkjb1nkVsCvZr"&amp;"ByLM"", ""'COTRATOS 26.1'!A:A""), """")))"),89847.0)</f>
        <v>89847</v>
      </c>
      <c r="F60" s="41" t="s">
        <v>36</v>
      </c>
      <c r="G60" s="42" t="s">
        <v>154</v>
      </c>
      <c r="H60" s="43"/>
      <c r="I60" s="44" t="s">
        <v>155</v>
      </c>
      <c r="J60" s="7"/>
      <c r="K60" s="53" t="s">
        <v>14</v>
      </c>
      <c r="L60" s="108" t="s">
        <v>156</v>
      </c>
      <c r="M60" s="46" t="s">
        <v>8</v>
      </c>
      <c r="N60" s="47" t="b">
        <v>0</v>
      </c>
      <c r="O60" s="48">
        <f t="shared" si="1"/>
        <v>46241</v>
      </c>
      <c r="P60" s="49">
        <v>46245.0</v>
      </c>
      <c r="Q60" s="50">
        <v>46245.0</v>
      </c>
      <c r="R60" s="86">
        <f t="shared" si="2"/>
        <v>46305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</row>
    <row r="61">
      <c r="A61" s="67" t="b">
        <v>1</v>
      </c>
      <c r="B61" s="74">
        <v>46268.426203703704</v>
      </c>
      <c r="C61" s="69" t="s">
        <v>157</v>
      </c>
      <c r="D61" s="70">
        <v>1084.0</v>
      </c>
      <c r="E61" s="40">
        <f>IFERROR(__xludf.DUMMYFUNCTION("IF(C61="""", """", XLOOKUP(TRIM(C61), 'COTRATOS ALBUNS 25.2'!E:E, 'COTRATOS ALBUNS 25.2'!D:D, XLOOKUP(TRIM(C61), IMPORTRANGE(""16smdYggRVyzhu5y9HP2ayvW__ybkjb1nkVsCvZrByLM"", ""'COTRATOS 26.1'!B:B""), IMPORTRANGE(""16smdYggRVyzhu5y9HP2ayvW__ybkjb1nkVsCvZr"&amp;"ByLM"", ""'COTRATOS 26.1'!A:A""), """")))"),85920.0)</f>
        <v>85920</v>
      </c>
      <c r="F61" s="71" t="s">
        <v>36</v>
      </c>
      <c r="G61" s="42" t="s">
        <v>45</v>
      </c>
      <c r="H61" s="43"/>
      <c r="I61" s="44" t="s">
        <v>158</v>
      </c>
      <c r="J61" s="5"/>
      <c r="K61" s="8" t="s">
        <v>13</v>
      </c>
      <c r="L61" s="8" t="s">
        <v>50</v>
      </c>
      <c r="M61" s="8" t="s">
        <v>8</v>
      </c>
      <c r="N61" s="63" t="b">
        <v>1</v>
      </c>
      <c r="O61" s="48">
        <f t="shared" si="1"/>
        <v>46285.4262</v>
      </c>
      <c r="P61" s="49">
        <v>46297.0</v>
      </c>
      <c r="Q61" s="75">
        <f>B61</f>
        <v>46268.4262</v>
      </c>
      <c r="R61" s="76">
        <f t="shared" si="2"/>
        <v>46328.4262</v>
      </c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</row>
    <row r="62">
      <c r="A62" s="56" t="b">
        <v>1</v>
      </c>
      <c r="B62" s="77">
        <v>46252.0</v>
      </c>
      <c r="C62" s="78" t="s">
        <v>159</v>
      </c>
      <c r="D62" s="38">
        <v>958.0</v>
      </c>
      <c r="E62" s="40">
        <f>IFERROR(__xludf.DUMMYFUNCTION("IF(C62="""", """", XLOOKUP(TRIM(C62), 'COTRATOS ALBUNS 25.2'!E:E, 'COTRATOS ALBUNS 25.2'!D:D, XLOOKUP(TRIM(C62), IMPORTRANGE(""16smdYggRVyzhu5y9HP2ayvW__ybkjb1nkVsCvZrByLM"", ""'COTRATOS 26.1'!B:B""), IMPORTRANGE(""16smdYggRVyzhu5y9HP2ayvW__ybkjb1nkVsCvZr"&amp;"ByLM"", ""'COTRATOS 26.1'!A:A""), """")))"),95591.0)</f>
        <v>95591</v>
      </c>
      <c r="F62" s="57" t="s">
        <v>44</v>
      </c>
      <c r="G62" s="42" t="s">
        <v>91</v>
      </c>
      <c r="H62" s="43"/>
      <c r="I62" s="58" t="s">
        <v>160</v>
      </c>
      <c r="J62" s="59"/>
      <c r="K62" s="46" t="s">
        <v>12</v>
      </c>
      <c r="L62" s="45"/>
      <c r="M62" s="8" t="s">
        <v>8</v>
      </c>
      <c r="N62" s="47" t="b">
        <v>0</v>
      </c>
      <c r="O62" s="48">
        <f t="shared" si="1"/>
        <v>46269</v>
      </c>
      <c r="P62" s="49">
        <v>46300.0</v>
      </c>
      <c r="Q62" s="61"/>
      <c r="R62" s="51" t="str">
        <f t="shared" si="2"/>
        <v/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</row>
    <row r="63">
      <c r="A63" s="53" t="b">
        <v>1</v>
      </c>
      <c r="B63" s="54">
        <v>46281.0</v>
      </c>
      <c r="C63" s="105" t="s">
        <v>161</v>
      </c>
      <c r="D63" s="84">
        <v>1172.0</v>
      </c>
      <c r="E63" s="40">
        <f>IFERROR(__xludf.DUMMYFUNCTION("IF(C63="""", """", XLOOKUP(TRIM(C63), 'COTRATOS ALBUNS 25.2'!E:E, 'COTRATOS ALBUNS 25.2'!D:D, XLOOKUP(TRIM(C63), IMPORTRANGE(""16smdYggRVyzhu5y9HP2ayvW__ybkjb1nkVsCvZrByLM"", ""'COTRATOS 26.1'!B:B""), IMPORTRANGE(""16smdYggRVyzhu5y9HP2ayvW__ybkjb1nkVsCvZr"&amp;"ByLM"", ""'COTRATOS 26.1'!A:A""), """")))"),87336.0)</f>
        <v>87336</v>
      </c>
      <c r="F63" s="109" t="s">
        <v>36</v>
      </c>
      <c r="G63" s="42" t="s">
        <v>45</v>
      </c>
      <c r="H63" s="43"/>
      <c r="I63" s="58" t="s">
        <v>162</v>
      </c>
      <c r="J63" s="59"/>
      <c r="K63" s="53" t="s">
        <v>17</v>
      </c>
      <c r="L63" s="59"/>
      <c r="M63" s="53" t="s">
        <v>8</v>
      </c>
      <c r="N63" s="47" t="b">
        <v>0</v>
      </c>
      <c r="O63" s="48">
        <f t="shared" si="1"/>
        <v>46298</v>
      </c>
      <c r="P63" s="60"/>
      <c r="Q63" s="61"/>
      <c r="R63" s="51" t="str">
        <f t="shared" si="2"/>
        <v/>
      </c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</row>
    <row r="64">
      <c r="A64" s="67" t="b">
        <v>1</v>
      </c>
      <c r="B64" s="68">
        <v>46226.4242824074</v>
      </c>
      <c r="C64" s="38" t="s">
        <v>163</v>
      </c>
      <c r="D64" s="36">
        <v>1172.0</v>
      </c>
      <c r="E64" s="40">
        <f>IFERROR(__xludf.DUMMYFUNCTION("IF(C64="""", """", XLOOKUP(TRIM(C64), 'COTRATOS ALBUNS 25.2'!E:E, 'COTRATOS ALBUNS 25.2'!D:D, XLOOKUP(TRIM(C64), IMPORTRANGE(""16smdYggRVyzhu5y9HP2ayvW__ybkjb1nkVsCvZrByLM"", ""'COTRATOS 26.1'!B:B""), IMPORTRANGE(""16smdYggRVyzhu5y9HP2ayvW__ybkjb1nkVsCvZr"&amp;"ByLM"", ""'COTRATOS 26.1'!A:A""), """")))"),87094.0)</f>
        <v>87094</v>
      </c>
      <c r="F64" s="41" t="s">
        <v>66</v>
      </c>
      <c r="G64" s="42" t="s">
        <v>37</v>
      </c>
      <c r="H64" s="43"/>
      <c r="I64" s="44" t="s">
        <v>164</v>
      </c>
      <c r="J64" s="5"/>
      <c r="K64" s="8" t="s">
        <v>13</v>
      </c>
      <c r="L64" s="8" t="s">
        <v>47</v>
      </c>
      <c r="M64" s="5"/>
      <c r="N64" s="63" t="b">
        <v>1</v>
      </c>
      <c r="O64" s="64">
        <f t="shared" si="1"/>
        <v>46243.42428</v>
      </c>
      <c r="P64" s="49">
        <v>46297.0</v>
      </c>
      <c r="Q64" s="65">
        <v>46227.0</v>
      </c>
      <c r="R64" s="66">
        <f t="shared" si="2"/>
        <v>46287</v>
      </c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</row>
    <row r="65">
      <c r="A65" s="36" t="b">
        <v>1</v>
      </c>
      <c r="B65" s="37">
        <v>46297.0</v>
      </c>
      <c r="C65" s="38" t="s">
        <v>165</v>
      </c>
      <c r="D65" s="39">
        <v>971.0</v>
      </c>
      <c r="E65" s="40">
        <f>IFERROR(__xludf.DUMMYFUNCTION("IF(C65="""", """", XLOOKUP(TRIM(C65), 'COTRATOS ALBUNS 25.2'!E:E, 'COTRATOS ALBUNS 25.2'!D:D, XLOOKUP(TRIM(C65), IMPORTRANGE(""16smdYggRVyzhu5y9HP2ayvW__ybkjb1nkVsCvZrByLM"", ""'COTRATOS 26.1'!B:B""), IMPORTRANGE(""16smdYggRVyzhu5y9HP2ayvW__ybkjb1nkVsCvZr"&amp;"ByLM"", ""'COTRATOS 26.1'!A:A""), """")))"),88090.0)</f>
        <v>88090</v>
      </c>
      <c r="F65" s="41" t="s">
        <v>36</v>
      </c>
      <c r="G65" s="42" t="s">
        <v>57</v>
      </c>
      <c r="H65" s="43"/>
      <c r="I65" s="44" t="s">
        <v>166</v>
      </c>
      <c r="J65" s="7"/>
      <c r="K65" s="8" t="s">
        <v>13</v>
      </c>
      <c r="L65" s="108" t="s">
        <v>101</v>
      </c>
      <c r="M65" s="46" t="s">
        <v>8</v>
      </c>
      <c r="N65" s="47" t="b">
        <v>0</v>
      </c>
      <c r="O65" s="48">
        <f t="shared" si="1"/>
        <v>46314</v>
      </c>
      <c r="P65" s="49">
        <v>46297.0</v>
      </c>
      <c r="Q65" s="93">
        <v>46251.0</v>
      </c>
      <c r="R65" s="76">
        <f t="shared" si="2"/>
        <v>46311</v>
      </c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</row>
    <row r="66">
      <c r="A66" s="53" t="b">
        <v>1</v>
      </c>
      <c r="B66" s="54">
        <v>46297.0</v>
      </c>
      <c r="C66" s="55" t="s">
        <v>167</v>
      </c>
      <c r="D66" s="56">
        <v>1172.0</v>
      </c>
      <c r="E66" s="102">
        <v>88863.0</v>
      </c>
      <c r="F66" s="57" t="s">
        <v>36</v>
      </c>
      <c r="G66" s="42" t="s">
        <v>168</v>
      </c>
      <c r="H66" s="43"/>
      <c r="I66" s="58" t="s">
        <v>169</v>
      </c>
      <c r="J66" s="59"/>
      <c r="K66" s="53" t="s">
        <v>14</v>
      </c>
      <c r="L66" s="53" t="s">
        <v>132</v>
      </c>
      <c r="M66" s="59"/>
      <c r="N66" s="47" t="b">
        <v>0</v>
      </c>
      <c r="O66" s="48">
        <f t="shared" si="1"/>
        <v>46314</v>
      </c>
      <c r="P66" s="60"/>
      <c r="Q66" s="61">
        <v>46297.0</v>
      </c>
      <c r="R66" s="76">
        <f t="shared" si="2"/>
        <v>46357</v>
      </c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</row>
    <row r="67">
      <c r="A67" s="67" t="b">
        <v>1</v>
      </c>
      <c r="B67" s="68">
        <v>46268.42528935186</v>
      </c>
      <c r="C67" s="38" t="s">
        <v>170</v>
      </c>
      <c r="D67" s="36">
        <v>1172.0</v>
      </c>
      <c r="E67" s="40">
        <f>IFERROR(__xludf.DUMMYFUNCTION("IF(C67="""", """", XLOOKUP(TRIM(C67), 'COTRATOS ALBUNS 25.2'!E:E, 'COTRATOS ALBUNS 25.2'!D:D, XLOOKUP(TRIM(C67), IMPORTRANGE(""16smdYggRVyzhu5y9HP2ayvW__ybkjb1nkVsCvZrByLM"", ""'COTRATOS 26.1'!B:B""), IMPORTRANGE(""16smdYggRVyzhu5y9HP2ayvW__ybkjb1nkVsCvZr"&amp;"ByLM"", ""'COTRATOS 26.1'!A:A""), """")))"),86379.0)</f>
        <v>86379</v>
      </c>
      <c r="F67" s="41" t="s">
        <v>66</v>
      </c>
      <c r="G67" s="42" t="s">
        <v>80</v>
      </c>
      <c r="H67" s="43"/>
      <c r="I67" s="44" t="s">
        <v>171</v>
      </c>
      <c r="J67" s="5"/>
      <c r="K67" s="8" t="s">
        <v>13</v>
      </c>
      <c r="L67" s="8" t="s">
        <v>93</v>
      </c>
      <c r="M67" s="8" t="s">
        <v>8</v>
      </c>
      <c r="N67" s="63" t="b">
        <v>1</v>
      </c>
      <c r="O67" s="64">
        <f t="shared" si="1"/>
        <v>46285.42529</v>
      </c>
      <c r="P67" s="49">
        <v>46218.0</v>
      </c>
      <c r="Q67" s="93">
        <v>46297.0</v>
      </c>
      <c r="R67" s="76">
        <f t="shared" si="2"/>
        <v>46357</v>
      </c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</row>
    <row r="68">
      <c r="A68" s="96" t="b">
        <v>1</v>
      </c>
      <c r="B68" s="97">
        <v>46297.0</v>
      </c>
      <c r="C68" s="98" t="s">
        <v>172</v>
      </c>
      <c r="D68" s="99">
        <v>1172.0</v>
      </c>
      <c r="E68" s="40">
        <f>IFERROR(__xludf.DUMMYFUNCTION("IF(C68="""", """", XLOOKUP(TRIM(C68), 'COTRATOS ALBUNS 25.2'!E:E, 'COTRATOS ALBUNS 25.2'!D:D, XLOOKUP(TRIM(C68), IMPORTRANGE(""16smdYggRVyzhu5y9HP2ayvW__ybkjb1nkVsCvZrByLM"", ""'COTRATOS 26.1'!B:B""), IMPORTRANGE(""16smdYggRVyzhu5y9HP2ayvW__ybkjb1nkVsCvZr"&amp;"ByLM"", ""'COTRATOS 26.1'!A:A""), """")))"),86969.0)</f>
        <v>86969</v>
      </c>
      <c r="F68" s="57" t="s">
        <v>36</v>
      </c>
      <c r="G68" s="42" t="s">
        <v>67</v>
      </c>
      <c r="H68" s="43"/>
      <c r="I68" s="58" t="s">
        <v>173</v>
      </c>
      <c r="J68" s="59"/>
      <c r="K68" s="8" t="s">
        <v>13</v>
      </c>
      <c r="L68" s="45" t="s">
        <v>78</v>
      </c>
      <c r="M68" s="46" t="s">
        <v>8</v>
      </c>
      <c r="N68" s="47" t="b">
        <v>0</v>
      </c>
      <c r="O68" s="48">
        <f t="shared" si="1"/>
        <v>46314</v>
      </c>
      <c r="P68" s="49">
        <v>46297.0</v>
      </c>
      <c r="Q68" s="61">
        <v>46266.0</v>
      </c>
      <c r="R68" s="76">
        <f t="shared" si="2"/>
        <v>46326</v>
      </c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</row>
    <row r="69">
      <c r="A69" s="36" t="b">
        <v>1</v>
      </c>
      <c r="B69" s="100">
        <v>46297.0</v>
      </c>
      <c r="C69" s="38" t="s">
        <v>174</v>
      </c>
      <c r="D69" s="36">
        <v>937.0</v>
      </c>
      <c r="E69" s="40">
        <f>IFERROR(__xludf.DUMMYFUNCTION("IF(C69="""", """", XLOOKUP(TRIM(C69), 'COTRATOS ALBUNS 25.2'!E:E, 'COTRATOS ALBUNS 25.2'!D:D, XLOOKUP(TRIM(C69), IMPORTRANGE(""16smdYggRVyzhu5y9HP2ayvW__ybkjb1nkVsCvZrByLM"", ""'COTRATOS 26.1'!B:B""), IMPORTRANGE(""16smdYggRVyzhu5y9HP2ayvW__ybkjb1nkVsCvZr"&amp;"ByLM"", ""'COTRATOS 26.1'!A:A""), """")))"),87546.0)</f>
        <v>87546</v>
      </c>
      <c r="F69" s="41" t="s">
        <v>44</v>
      </c>
      <c r="G69" s="42" t="s">
        <v>175</v>
      </c>
      <c r="H69" s="43"/>
      <c r="I69" s="44" t="s">
        <v>176</v>
      </c>
      <c r="J69" s="5"/>
      <c r="K69" s="8" t="s">
        <v>13</v>
      </c>
      <c r="L69" s="8" t="s">
        <v>101</v>
      </c>
      <c r="M69" s="46" t="s">
        <v>8</v>
      </c>
      <c r="N69" s="47" t="b">
        <v>0</v>
      </c>
      <c r="O69" s="48">
        <f t="shared" si="1"/>
        <v>46314</v>
      </c>
      <c r="P69" s="49">
        <v>46297.0</v>
      </c>
      <c r="Q69" s="93">
        <v>46254.0</v>
      </c>
      <c r="R69" s="76">
        <f t="shared" si="2"/>
        <v>46314</v>
      </c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</row>
    <row r="70">
      <c r="A70" s="36" t="b">
        <v>1</v>
      </c>
      <c r="B70" s="94">
        <v>46212.67958333333</v>
      </c>
      <c r="C70" s="38" t="s">
        <v>177</v>
      </c>
      <c r="D70" s="36">
        <v>1084.0</v>
      </c>
      <c r="E70" s="40">
        <f>IFERROR(__xludf.DUMMYFUNCTION("IF(C70="""", """", XLOOKUP(TRIM(C70), 'COTRATOS ALBUNS 25.2'!E:E, 'COTRATOS ALBUNS 25.2'!D:D, XLOOKUP(TRIM(C70), IMPORTRANGE(""16smdYggRVyzhu5y9HP2ayvW__ybkjb1nkVsCvZrByLM"", ""'COTRATOS 26.1'!B:B""), IMPORTRANGE(""16smdYggRVyzhu5y9HP2ayvW__ybkjb1nkVsCvZr"&amp;"ByLM"", ""'COTRATOS 26.1'!A:A""), """")))"),86222.0)</f>
        <v>86222</v>
      </c>
      <c r="F70" s="41" t="s">
        <v>66</v>
      </c>
      <c r="G70" s="42" t="s">
        <v>45</v>
      </c>
      <c r="H70" s="43"/>
      <c r="I70" s="44" t="s">
        <v>178</v>
      </c>
      <c r="J70" s="5"/>
      <c r="K70" s="8" t="s">
        <v>13</v>
      </c>
      <c r="L70" s="8" t="s">
        <v>121</v>
      </c>
      <c r="M70" s="5"/>
      <c r="N70" s="63" t="b">
        <v>1</v>
      </c>
      <c r="O70" s="64">
        <f t="shared" si="1"/>
        <v>46229.67958</v>
      </c>
      <c r="P70" s="49">
        <v>46261.0</v>
      </c>
      <c r="Q70" s="85">
        <v>46213.0</v>
      </c>
      <c r="R70" s="86">
        <f t="shared" si="2"/>
        <v>46273</v>
      </c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</row>
    <row r="71">
      <c r="A71" s="36" t="b">
        <v>1</v>
      </c>
      <c r="B71" s="94">
        <v>46209.64855324074</v>
      </c>
      <c r="C71" s="38" t="s">
        <v>179</v>
      </c>
      <c r="D71" s="36">
        <v>1103.0</v>
      </c>
      <c r="E71" s="40">
        <f>IFERROR(__xludf.DUMMYFUNCTION("IF(C71="""", """", XLOOKUP(TRIM(C71), 'COTRATOS ALBUNS 25.2'!E:E, 'COTRATOS ALBUNS 25.2'!D:D, XLOOKUP(TRIM(C71), IMPORTRANGE(""16smdYggRVyzhu5y9HP2ayvW__ybkjb1nkVsCvZrByLM"", ""'COTRATOS 26.1'!B:B""), IMPORTRANGE(""16smdYggRVyzhu5y9HP2ayvW__ybkjb1nkVsCvZr"&amp;"ByLM"", ""'COTRATOS 26.1'!A:A""), """")))"),90193.0)</f>
        <v>90193</v>
      </c>
      <c r="F71" s="41" t="s">
        <v>36</v>
      </c>
      <c r="G71" s="42" t="s">
        <v>45</v>
      </c>
      <c r="H71" s="43"/>
      <c r="I71" s="44" t="s">
        <v>180</v>
      </c>
      <c r="J71" s="5"/>
      <c r="K71" s="8" t="s">
        <v>13</v>
      </c>
      <c r="L71" s="8" t="s">
        <v>121</v>
      </c>
      <c r="M71" s="5"/>
      <c r="N71" s="63" t="b">
        <v>1</v>
      </c>
      <c r="O71" s="64">
        <f t="shared" si="1"/>
        <v>46226.64855</v>
      </c>
      <c r="P71" s="49">
        <v>46297.0</v>
      </c>
      <c r="Q71" s="85">
        <v>46211.0</v>
      </c>
      <c r="R71" s="86">
        <f t="shared" si="2"/>
        <v>46271</v>
      </c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</row>
    <row r="72">
      <c r="A72" s="67" t="b">
        <v>1</v>
      </c>
      <c r="B72" s="68">
        <v>46216.46103009259</v>
      </c>
      <c r="C72" s="38" t="s">
        <v>181</v>
      </c>
      <c r="D72" s="36">
        <v>850.0</v>
      </c>
      <c r="E72" s="40">
        <f>IFERROR(__xludf.DUMMYFUNCTION("IF(C72="""", """", XLOOKUP(TRIM(C72), 'COTRATOS ALBUNS 25.2'!E:E, 'COTRATOS ALBUNS 25.2'!D:D, XLOOKUP(TRIM(C72), IMPORTRANGE(""16smdYggRVyzhu5y9HP2ayvW__ybkjb1nkVsCvZrByLM"", ""'COTRATOS 26.1'!B:B""), IMPORTRANGE(""16smdYggRVyzhu5y9HP2ayvW__ybkjb1nkVsCvZr"&amp;"ByLM"", ""'COTRATOS 26.1'!A:A""), """")))"),86653.0)</f>
        <v>86653</v>
      </c>
      <c r="F72" s="41" t="s">
        <v>36</v>
      </c>
      <c r="G72" s="42" t="s">
        <v>45</v>
      </c>
      <c r="H72" s="43"/>
      <c r="I72" s="44" t="s">
        <v>182</v>
      </c>
      <c r="J72" s="5"/>
      <c r="K72" s="8" t="s">
        <v>13</v>
      </c>
      <c r="L72" s="8" t="s">
        <v>121</v>
      </c>
      <c r="M72" s="5"/>
      <c r="N72" s="63" t="b">
        <v>1</v>
      </c>
      <c r="O72" s="64">
        <f t="shared" si="1"/>
        <v>46233.46103</v>
      </c>
      <c r="P72" s="49">
        <v>46297.0</v>
      </c>
      <c r="Q72" s="85">
        <v>46216.0</v>
      </c>
      <c r="R72" s="86">
        <f t="shared" si="2"/>
        <v>46276</v>
      </c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</row>
    <row r="73">
      <c r="A73" s="36" t="b">
        <v>1</v>
      </c>
      <c r="B73" s="90">
        <v>46297.0</v>
      </c>
      <c r="C73" s="81" t="s">
        <v>183</v>
      </c>
      <c r="D73" s="79">
        <v>1099.0</v>
      </c>
      <c r="E73" s="40">
        <f>IFERROR(__xludf.DUMMYFUNCTION("IF(C73="""", """", XLOOKUP(TRIM(C73), 'COTRATOS ALBUNS 25.2'!E:E, 'COTRATOS ALBUNS 25.2'!D:D, XLOOKUP(TRIM(C73), IMPORTRANGE(""16smdYggRVyzhu5y9HP2ayvW__ybkjb1nkVsCvZrByLM"", ""'COTRATOS 26.1'!B:B""), IMPORTRANGE(""16smdYggRVyzhu5y9HP2ayvW__ybkjb1nkVsCvZr"&amp;"ByLM"", ""'COTRATOS 26.1'!A:A""), """")))"),95017.0)</f>
        <v>95017</v>
      </c>
      <c r="F73" s="41" t="s">
        <v>44</v>
      </c>
      <c r="G73" s="42" t="s">
        <v>67</v>
      </c>
      <c r="H73" s="43"/>
      <c r="I73" s="44" t="s">
        <v>184</v>
      </c>
      <c r="J73" s="7"/>
      <c r="K73" s="8" t="s">
        <v>14</v>
      </c>
      <c r="L73" s="45" t="s">
        <v>132</v>
      </c>
      <c r="M73" s="8" t="s">
        <v>8</v>
      </c>
      <c r="N73" s="47" t="b">
        <v>0</v>
      </c>
      <c r="O73" s="48">
        <f t="shared" si="1"/>
        <v>46314</v>
      </c>
      <c r="P73" s="49">
        <v>46297.0</v>
      </c>
      <c r="Q73" s="50">
        <v>46245.0</v>
      </c>
      <c r="R73" s="86">
        <f t="shared" si="2"/>
        <v>46305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</row>
    <row r="74">
      <c r="A74" s="53" t="b">
        <v>1</v>
      </c>
      <c r="B74" s="54">
        <v>46290.0</v>
      </c>
      <c r="C74" s="55" t="s">
        <v>185</v>
      </c>
      <c r="D74" s="56">
        <v>1179.0</v>
      </c>
      <c r="E74" s="40">
        <f>IFERROR(__xludf.DUMMYFUNCTION("IF(C74="""", """", XLOOKUP(TRIM(C74), 'COTRATOS ALBUNS 25.2'!E:E, 'COTRATOS ALBUNS 25.2'!D:D, XLOOKUP(TRIM(C74), IMPORTRANGE(""16smdYggRVyzhu5y9HP2ayvW__ybkjb1nkVsCvZrByLM"", ""'COTRATOS 26.1'!B:B""), IMPORTRANGE(""16smdYggRVyzhu5y9HP2ayvW__ybkjb1nkVsCvZr"&amp;"ByLM"", ""'COTRATOS 26.1'!A:A""), """")))"),94498.0)</f>
        <v>94498</v>
      </c>
      <c r="F74" s="57" t="s">
        <v>56</v>
      </c>
      <c r="G74" s="42" t="s">
        <v>67</v>
      </c>
      <c r="H74" s="43"/>
      <c r="I74" s="58" t="s">
        <v>186</v>
      </c>
      <c r="J74" s="59"/>
      <c r="K74" s="53" t="s">
        <v>6</v>
      </c>
      <c r="L74" s="59"/>
      <c r="M74" s="53" t="s">
        <v>8</v>
      </c>
      <c r="N74" s="47" t="b">
        <v>0</v>
      </c>
      <c r="O74" s="48">
        <f t="shared" si="1"/>
        <v>46307</v>
      </c>
      <c r="P74" s="49">
        <v>46310.0</v>
      </c>
      <c r="Q74" s="61"/>
      <c r="R74" s="51" t="str">
        <f t="shared" si="2"/>
        <v/>
      </c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</row>
    <row r="75">
      <c r="A75" s="67" t="b">
        <v>1</v>
      </c>
      <c r="B75" s="68">
        <v>46209.622708333336</v>
      </c>
      <c r="C75" s="69" t="s">
        <v>187</v>
      </c>
      <c r="D75" s="70">
        <v>1084.0</v>
      </c>
      <c r="E75" s="40">
        <f>IFERROR(__xludf.DUMMYFUNCTION("IF(C75="""", """", XLOOKUP(TRIM(C75), 'COTRATOS ALBUNS 25.2'!E:E, 'COTRATOS ALBUNS 25.2'!D:D, XLOOKUP(TRIM(C75), IMPORTRANGE(""16smdYggRVyzhu5y9HP2ayvW__ybkjb1nkVsCvZrByLM"", ""'COTRATOS 26.1'!B:B""), IMPORTRANGE(""16smdYggRVyzhu5y9HP2ayvW__ybkjb1nkVsCvZr"&amp;"ByLM"", ""'COTRATOS 26.1'!A:A""), """")))"),86991.0)</f>
        <v>86991</v>
      </c>
      <c r="F75" s="71" t="s">
        <v>66</v>
      </c>
      <c r="G75" s="42" t="s">
        <v>154</v>
      </c>
      <c r="H75" s="43"/>
      <c r="I75" s="44" t="s">
        <v>188</v>
      </c>
      <c r="J75" s="5"/>
      <c r="K75" s="8" t="s">
        <v>13</v>
      </c>
      <c r="L75" s="8" t="s">
        <v>121</v>
      </c>
      <c r="M75" s="5"/>
      <c r="N75" s="63" t="b">
        <v>1</v>
      </c>
      <c r="O75" s="64">
        <f t="shared" si="1"/>
        <v>46226.62271</v>
      </c>
      <c r="P75" s="49">
        <v>46297.0</v>
      </c>
      <c r="Q75" s="85">
        <v>46211.0</v>
      </c>
      <c r="R75" s="86">
        <f t="shared" si="2"/>
        <v>46271</v>
      </c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</row>
    <row r="76">
      <c r="A76" s="36" t="b">
        <v>1</v>
      </c>
      <c r="B76" s="37">
        <v>46297.0</v>
      </c>
      <c r="C76" s="98" t="s">
        <v>189</v>
      </c>
      <c r="D76" s="39">
        <v>1172.0</v>
      </c>
      <c r="E76" s="40">
        <f>IFERROR(__xludf.DUMMYFUNCTION("IF(C76="""", """", XLOOKUP(TRIM(C76), 'COTRATOS ALBUNS 25.2'!E:E, 'COTRATOS ALBUNS 25.2'!D:D, XLOOKUP(TRIM(C76), IMPORTRANGE(""16smdYggRVyzhu5y9HP2ayvW__ybkjb1nkVsCvZrByLM"", ""'COTRATOS 26.1'!B:B""), IMPORTRANGE(""16smdYggRVyzhu5y9HP2ayvW__ybkjb1nkVsCvZr"&amp;"ByLM"", ""'COTRATOS 26.1'!A:A""), """")))"),88585.0)</f>
        <v>88585</v>
      </c>
      <c r="F76" s="41" t="s">
        <v>66</v>
      </c>
      <c r="G76" s="42" t="s">
        <v>45</v>
      </c>
      <c r="H76" s="43"/>
      <c r="I76" s="44" t="s">
        <v>190</v>
      </c>
      <c r="J76" s="7"/>
      <c r="K76" s="8" t="s">
        <v>13</v>
      </c>
      <c r="L76" s="8" t="s">
        <v>101</v>
      </c>
      <c r="M76" s="46" t="s">
        <v>8</v>
      </c>
      <c r="N76" s="47" t="b">
        <v>0</v>
      </c>
      <c r="O76" s="48">
        <f t="shared" si="1"/>
        <v>46314</v>
      </c>
      <c r="P76" s="49">
        <v>46297.0</v>
      </c>
      <c r="Q76" s="50">
        <v>46246.0</v>
      </c>
      <c r="R76" s="86">
        <f t="shared" si="2"/>
        <v>46306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</row>
    <row r="77">
      <c r="A77" s="36" t="b">
        <v>1</v>
      </c>
      <c r="B77" s="94">
        <v>46229.85789351852</v>
      </c>
      <c r="C77" s="38" t="s">
        <v>191</v>
      </c>
      <c r="D77" s="36">
        <v>621.0</v>
      </c>
      <c r="E77" s="40">
        <f>IFERROR(__xludf.DUMMYFUNCTION("IF(C77="""", """", XLOOKUP(TRIM(C77), 'COTRATOS ALBUNS 25.2'!E:E, 'COTRATOS ALBUNS 25.2'!D:D, XLOOKUP(TRIM(C77), IMPORTRANGE(""16smdYggRVyzhu5y9HP2ayvW__ybkjb1nkVsCvZrByLM"", ""'COTRATOS 26.1'!B:B""), IMPORTRANGE(""16smdYggRVyzhu5y9HP2ayvW__ybkjb1nkVsCvZr"&amp;"ByLM"", ""'COTRATOS 26.1'!A:A""), """")))"),88707.0)</f>
        <v>88707</v>
      </c>
      <c r="F77" s="41" t="s">
        <v>36</v>
      </c>
      <c r="G77" s="42" t="s">
        <v>91</v>
      </c>
      <c r="H77" s="43"/>
      <c r="I77" s="44" t="s">
        <v>192</v>
      </c>
      <c r="J77" s="5"/>
      <c r="K77" s="8" t="s">
        <v>13</v>
      </c>
      <c r="L77" s="8" t="s">
        <v>193</v>
      </c>
      <c r="M77" s="8" t="s">
        <v>8</v>
      </c>
      <c r="N77" s="63" t="b">
        <v>1</v>
      </c>
      <c r="O77" s="64">
        <f t="shared" si="1"/>
        <v>46246.85789</v>
      </c>
      <c r="P77" s="49">
        <v>46297.0</v>
      </c>
      <c r="Q77" s="50">
        <v>46200.0</v>
      </c>
      <c r="R77" s="86">
        <f t="shared" si="2"/>
        <v>46260</v>
      </c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</row>
    <row r="78">
      <c r="A78" s="67" t="b">
        <v>1</v>
      </c>
      <c r="B78" s="74">
        <v>46296.467673611114</v>
      </c>
      <c r="C78" s="69" t="s">
        <v>194</v>
      </c>
      <c r="D78" s="70">
        <v>971.0</v>
      </c>
      <c r="E78" s="40">
        <f>IFERROR(__xludf.DUMMYFUNCTION("IF(C78="""", """", XLOOKUP(TRIM(C78), 'COTRATOS ALBUNS 25.2'!E:E, 'COTRATOS ALBUNS 25.2'!D:D, XLOOKUP(TRIM(C78), IMPORTRANGE(""16smdYggRVyzhu5y9HP2ayvW__ybkjb1nkVsCvZrByLM"", ""'COTRATOS 26.1'!B:B""), IMPORTRANGE(""16smdYggRVyzhu5y9HP2ayvW__ybkjb1nkVsCvZr"&amp;"ByLM"", ""'COTRATOS 26.1'!A:A""), """")))"),85083.0)</f>
        <v>85083</v>
      </c>
      <c r="F78" s="71" t="s">
        <v>66</v>
      </c>
      <c r="G78" s="42" t="s">
        <v>52</v>
      </c>
      <c r="H78" s="43"/>
      <c r="I78" s="44" t="s">
        <v>195</v>
      </c>
      <c r="J78" s="5"/>
      <c r="K78" s="8" t="s">
        <v>13</v>
      </c>
      <c r="L78" s="8" t="s">
        <v>121</v>
      </c>
      <c r="M78" s="5"/>
      <c r="N78" s="63" t="b">
        <v>1</v>
      </c>
      <c r="O78" s="48">
        <f t="shared" si="1"/>
        <v>46313.46767</v>
      </c>
      <c r="P78" s="49">
        <v>46297.0</v>
      </c>
      <c r="Q78" s="85">
        <v>46216.0</v>
      </c>
      <c r="R78" s="86">
        <f t="shared" si="2"/>
        <v>46276</v>
      </c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</row>
    <row r="79">
      <c r="A79" s="53" t="b">
        <v>1</v>
      </c>
      <c r="B79" s="54">
        <v>46297.0</v>
      </c>
      <c r="C79" s="55" t="s">
        <v>196</v>
      </c>
      <c r="D79" s="56">
        <v>964.0</v>
      </c>
      <c r="E79" s="40">
        <f>IFERROR(__xludf.DUMMYFUNCTION("IF(C79="""", """", XLOOKUP(TRIM(C79), 'COTRATOS ALBUNS 25.2'!E:E, 'COTRATOS ALBUNS 25.2'!D:D, XLOOKUP(TRIM(C79), IMPORTRANGE(""16smdYggRVyzhu5y9HP2ayvW__ybkjb1nkVsCvZrByLM"", ""'COTRATOS 26.1'!B:B""), IMPORTRANGE(""16smdYggRVyzhu5y9HP2ayvW__ybkjb1nkVsCvZr"&amp;"ByLM"", ""'COTRATOS 26.1'!A:A""), """")))"),85891.0)</f>
        <v>85891</v>
      </c>
      <c r="F79" s="57" t="s">
        <v>74</v>
      </c>
      <c r="G79" s="42" t="s">
        <v>67</v>
      </c>
      <c r="H79" s="43"/>
      <c r="I79" s="58" t="s">
        <v>197</v>
      </c>
      <c r="J79" s="59"/>
      <c r="K79" s="53" t="s">
        <v>14</v>
      </c>
      <c r="L79" s="53" t="s">
        <v>156</v>
      </c>
      <c r="M79" s="53" t="s">
        <v>8</v>
      </c>
      <c r="N79" s="47" t="b">
        <v>0</v>
      </c>
      <c r="O79" s="48">
        <f t="shared" si="1"/>
        <v>46314</v>
      </c>
      <c r="P79" s="49">
        <v>46297.0</v>
      </c>
      <c r="Q79" s="61">
        <v>46297.0</v>
      </c>
      <c r="R79" s="76">
        <f t="shared" si="2"/>
        <v>46357</v>
      </c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</row>
    <row r="80">
      <c r="A80" s="67" t="b">
        <v>1</v>
      </c>
      <c r="B80" s="74">
        <v>46268.42537037037</v>
      </c>
      <c r="C80" s="69" t="s">
        <v>198</v>
      </c>
      <c r="D80" s="70">
        <v>1173.0</v>
      </c>
      <c r="E80" s="40">
        <f>IFERROR(__xludf.DUMMYFUNCTION("IF(C80="""", """", XLOOKUP(TRIM(C80), 'COTRATOS ALBUNS 25.2'!E:E, 'COTRATOS ALBUNS 25.2'!D:D, XLOOKUP(TRIM(C80), IMPORTRANGE(""16smdYggRVyzhu5y9HP2ayvW__ybkjb1nkVsCvZrByLM"", ""'COTRATOS 26.1'!B:B""), IMPORTRANGE(""16smdYggRVyzhu5y9HP2ayvW__ybkjb1nkVsCvZr"&amp;"ByLM"", ""'COTRATOS 26.1'!A:A""), """")))"),85411.0)</f>
        <v>85411</v>
      </c>
      <c r="F80" s="71" t="s">
        <v>36</v>
      </c>
      <c r="G80" s="42" t="s">
        <v>41</v>
      </c>
      <c r="H80" s="43"/>
      <c r="I80" s="44" t="s">
        <v>199</v>
      </c>
      <c r="J80" s="5"/>
      <c r="K80" s="8" t="s">
        <v>13</v>
      </c>
      <c r="L80" s="8" t="s">
        <v>50</v>
      </c>
      <c r="M80" s="8" t="s">
        <v>8</v>
      </c>
      <c r="N80" s="63" t="b">
        <v>1</v>
      </c>
      <c r="O80" s="48">
        <f t="shared" si="1"/>
        <v>46285.42537</v>
      </c>
      <c r="P80" s="49">
        <v>46297.0</v>
      </c>
      <c r="Q80" s="75">
        <f>B80</f>
        <v>46268.42537</v>
      </c>
      <c r="R80" s="76">
        <f t="shared" si="2"/>
        <v>46328.42537</v>
      </c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</row>
    <row r="81">
      <c r="A81" s="56" t="b">
        <v>1</v>
      </c>
      <c r="B81" s="110">
        <v>46259.0</v>
      </c>
      <c r="C81" s="106" t="s">
        <v>200</v>
      </c>
      <c r="D81" s="38">
        <v>968.0</v>
      </c>
      <c r="E81" s="40">
        <f>IFERROR(__xludf.DUMMYFUNCTION("IF(C81="""", """", XLOOKUP(TRIM(C81), 'COTRATOS ALBUNS 25.2'!E:E, 'COTRATOS ALBUNS 25.2'!D:D, XLOOKUP(TRIM(C81), IMPORTRANGE(""16smdYggRVyzhu5y9HP2ayvW__ybkjb1nkVsCvZrByLM"", ""'COTRATOS 26.1'!B:B""), IMPORTRANGE(""16smdYggRVyzhu5y9HP2ayvW__ybkjb1nkVsCvZr"&amp;"ByLM"", ""'COTRATOS 26.1'!A:A""), """")))"),87996.0)</f>
        <v>87996</v>
      </c>
      <c r="F81" s="57" t="s">
        <v>40</v>
      </c>
      <c r="G81" s="42" t="s">
        <v>52</v>
      </c>
      <c r="H81" s="43"/>
      <c r="I81" s="58" t="s">
        <v>201</v>
      </c>
      <c r="J81" s="59"/>
      <c r="K81" s="53" t="s">
        <v>6</v>
      </c>
      <c r="L81" s="59"/>
      <c r="M81" s="53" t="s">
        <v>8</v>
      </c>
      <c r="N81" s="47" t="b">
        <v>0</v>
      </c>
      <c r="O81" s="48">
        <f t="shared" si="1"/>
        <v>46276</v>
      </c>
      <c r="P81" s="49">
        <v>46287.0</v>
      </c>
      <c r="Q81" s="61"/>
      <c r="R81" s="51" t="str">
        <f t="shared" si="2"/>
        <v/>
      </c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</row>
    <row r="82">
      <c r="A82" s="36" t="b">
        <v>1</v>
      </c>
      <c r="B82" s="94">
        <v>46275.75140046296</v>
      </c>
      <c r="C82" s="38" t="s">
        <v>202</v>
      </c>
      <c r="D82" s="36">
        <v>968.0</v>
      </c>
      <c r="E82" s="40">
        <f>IFERROR(__xludf.DUMMYFUNCTION("IF(C82="""", """", XLOOKUP(TRIM(C82), 'COTRATOS ALBUNS 25.2'!E:E, 'COTRATOS ALBUNS 25.2'!D:D, XLOOKUP(TRIM(C82), IMPORTRANGE(""16smdYggRVyzhu5y9HP2ayvW__ybkjb1nkVsCvZrByLM"", ""'COTRATOS 26.1'!B:B""), IMPORTRANGE(""16smdYggRVyzhu5y9HP2ayvW__ybkjb1nkVsCvZr"&amp;"ByLM"", ""'COTRATOS 26.1'!A:A""), """")))"),80929.0)</f>
        <v>80929</v>
      </c>
      <c r="F82" s="41" t="s">
        <v>36</v>
      </c>
      <c r="G82" s="42" t="s">
        <v>110</v>
      </c>
      <c r="H82" s="43"/>
      <c r="I82" s="44" t="s">
        <v>203</v>
      </c>
      <c r="J82" s="5"/>
      <c r="K82" s="8" t="s">
        <v>13</v>
      </c>
      <c r="L82" s="8" t="s">
        <v>69</v>
      </c>
      <c r="M82" s="5"/>
      <c r="N82" s="63" t="b">
        <v>1</v>
      </c>
      <c r="O82" s="64">
        <f t="shared" si="1"/>
        <v>46292.7514</v>
      </c>
      <c r="P82" s="49">
        <v>46297.0</v>
      </c>
      <c r="Q82" s="85">
        <v>46219.0</v>
      </c>
      <c r="R82" s="86">
        <f t="shared" si="2"/>
        <v>46279</v>
      </c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>
      <c r="A83" s="53" t="b">
        <v>1</v>
      </c>
      <c r="B83" s="54">
        <v>46297.0</v>
      </c>
      <c r="C83" s="83" t="s">
        <v>204</v>
      </c>
      <c r="D83" s="56">
        <v>1177.0</v>
      </c>
      <c r="E83" s="40">
        <f>IFERROR(__xludf.DUMMYFUNCTION("IF(C83="""", """", XLOOKUP(TRIM(C83), 'COTRATOS ALBUNS 25.2'!E:E, 'COTRATOS ALBUNS 25.2'!D:D, XLOOKUP(TRIM(C83), IMPORTRANGE(""16smdYggRVyzhu5y9HP2ayvW__ybkjb1nkVsCvZrByLM"", ""'COTRATOS 26.1'!B:B""), IMPORTRANGE(""16smdYggRVyzhu5y9HP2ayvW__ybkjb1nkVsCvZr"&amp;"ByLM"", ""'COTRATOS 26.1'!A:A""), """")))"),88392.0)</f>
        <v>88392</v>
      </c>
      <c r="F83" s="57" t="s">
        <v>74</v>
      </c>
      <c r="G83" s="42" t="s">
        <v>123</v>
      </c>
      <c r="H83" s="43"/>
      <c r="I83" s="58" t="s">
        <v>205</v>
      </c>
      <c r="J83" s="59"/>
      <c r="K83" s="8" t="s">
        <v>14</v>
      </c>
      <c r="L83" s="8" t="s">
        <v>89</v>
      </c>
      <c r="M83" s="53" t="s">
        <v>8</v>
      </c>
      <c r="N83" s="47" t="b">
        <v>0</v>
      </c>
      <c r="O83" s="48">
        <f t="shared" si="1"/>
        <v>46314</v>
      </c>
      <c r="P83" s="49">
        <v>46282.0</v>
      </c>
      <c r="Q83" s="61">
        <v>46297.0</v>
      </c>
      <c r="R83" s="76">
        <f t="shared" si="2"/>
        <v>46357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</row>
    <row r="84">
      <c r="A84" s="67" t="b">
        <v>1</v>
      </c>
      <c r="B84" s="68">
        <v>46268.42575231481</v>
      </c>
      <c r="C84" s="69" t="s">
        <v>206</v>
      </c>
      <c r="D84" s="70">
        <v>971.0</v>
      </c>
      <c r="E84" s="40">
        <f>IFERROR(__xludf.DUMMYFUNCTION("IF(C84="""", """", XLOOKUP(TRIM(C84), 'COTRATOS ALBUNS 25.2'!E:E, 'COTRATOS ALBUNS 25.2'!D:D, XLOOKUP(TRIM(C84), IMPORTRANGE(""16smdYggRVyzhu5y9HP2ayvW__ybkjb1nkVsCvZrByLM"", ""'COTRATOS 26.1'!B:B""), IMPORTRANGE(""16smdYggRVyzhu5y9HP2ayvW__ybkjb1nkVsCvZr"&amp;"ByLM"", ""'COTRATOS 26.1'!A:A""), """")))"),86928.0)</f>
        <v>86928</v>
      </c>
      <c r="F84" s="41" t="s">
        <v>74</v>
      </c>
      <c r="G84" s="42" t="s">
        <v>207</v>
      </c>
      <c r="H84" s="43"/>
      <c r="I84" s="44" t="s">
        <v>208</v>
      </c>
      <c r="J84" s="5"/>
      <c r="K84" s="8" t="s">
        <v>13</v>
      </c>
      <c r="L84" s="8" t="s">
        <v>54</v>
      </c>
      <c r="M84" s="8" t="s">
        <v>8</v>
      </c>
      <c r="N84" s="63" t="b">
        <v>1</v>
      </c>
      <c r="O84" s="64">
        <f t="shared" si="1"/>
        <v>46285.42575</v>
      </c>
      <c r="P84" s="49">
        <v>46297.0</v>
      </c>
      <c r="Q84" s="72">
        <f>B84</f>
        <v>46268.42575</v>
      </c>
      <c r="R84" s="73">
        <f t="shared" si="2"/>
        <v>46328.42575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</row>
    <row r="85">
      <c r="A85" s="53" t="b">
        <v>1</v>
      </c>
      <c r="B85" s="54">
        <v>46279.0</v>
      </c>
      <c r="C85" s="55" t="s">
        <v>209</v>
      </c>
      <c r="D85" s="56">
        <v>1177.0</v>
      </c>
      <c r="E85" s="40">
        <f>IFERROR(__xludf.DUMMYFUNCTION("IF(C85="""", """", XLOOKUP(TRIM(C85), 'COTRATOS ALBUNS 25.2'!E:E, 'COTRATOS ALBUNS 25.2'!D:D, XLOOKUP(TRIM(C85), IMPORTRANGE(""16smdYggRVyzhu5y9HP2ayvW__ybkjb1nkVsCvZrByLM"", ""'COTRATOS 26.1'!B:B""), IMPORTRANGE(""16smdYggRVyzhu5y9HP2ayvW__ybkjb1nkVsCvZr"&amp;"ByLM"", ""'COTRATOS 26.1'!A:A""), """")))"),88247.0)</f>
        <v>88247</v>
      </c>
      <c r="F85" s="57" t="s">
        <v>74</v>
      </c>
      <c r="G85" s="42" t="s">
        <v>37</v>
      </c>
      <c r="H85" s="43"/>
      <c r="I85" s="58" t="s">
        <v>210</v>
      </c>
      <c r="J85" s="59"/>
      <c r="K85" s="53" t="s">
        <v>6</v>
      </c>
      <c r="L85" s="59"/>
      <c r="M85" s="53" t="s">
        <v>8</v>
      </c>
      <c r="N85" s="47" t="b">
        <v>0</v>
      </c>
      <c r="O85" s="48">
        <f t="shared" si="1"/>
        <v>46296</v>
      </c>
      <c r="P85" s="49">
        <v>46309.0</v>
      </c>
      <c r="Q85" s="61"/>
      <c r="R85" s="51" t="str">
        <f t="shared" si="2"/>
        <v/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</row>
    <row r="86">
      <c r="A86" s="67" t="b">
        <v>1</v>
      </c>
      <c r="B86" s="68">
        <v>46226.38481481481</v>
      </c>
      <c r="C86" s="38" t="s">
        <v>211</v>
      </c>
      <c r="D86" s="36">
        <v>1173.0</v>
      </c>
      <c r="E86" s="40">
        <f>IFERROR(__xludf.DUMMYFUNCTION("IF(C86="""", """", XLOOKUP(TRIM(C86), 'COTRATOS ALBUNS 25.2'!E:E, 'COTRATOS ALBUNS 25.2'!D:D, XLOOKUP(TRIM(C86), IMPORTRANGE(""16smdYggRVyzhu5y9HP2ayvW__ybkjb1nkVsCvZrByLM"", ""'COTRATOS 26.1'!B:B""), IMPORTRANGE(""16smdYggRVyzhu5y9HP2ayvW__ybkjb1nkVsCvZr"&amp;"ByLM"", ""'COTRATOS 26.1'!A:A""), """")))"),87819.0)</f>
        <v>87819</v>
      </c>
      <c r="F86" s="41" t="s">
        <v>36</v>
      </c>
      <c r="G86" s="42" t="s">
        <v>117</v>
      </c>
      <c r="H86" s="43"/>
      <c r="I86" s="44" t="s">
        <v>212</v>
      </c>
      <c r="J86" s="5"/>
      <c r="K86" s="8" t="s">
        <v>13</v>
      </c>
      <c r="L86" s="8" t="s">
        <v>47</v>
      </c>
      <c r="M86" s="8" t="s">
        <v>8</v>
      </c>
      <c r="N86" s="63" t="b">
        <v>1</v>
      </c>
      <c r="O86" s="64">
        <f t="shared" si="1"/>
        <v>46243.38481</v>
      </c>
      <c r="P86" s="49">
        <v>46297.0</v>
      </c>
      <c r="Q86" s="65">
        <v>46226.0</v>
      </c>
      <c r="R86" s="66">
        <f t="shared" si="2"/>
        <v>46286</v>
      </c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</row>
    <row r="87">
      <c r="A87" s="36" t="b">
        <v>1</v>
      </c>
      <c r="B87" s="90">
        <v>46232.0</v>
      </c>
      <c r="C87" s="81" t="s">
        <v>213</v>
      </c>
      <c r="D87" s="79">
        <v>994.0</v>
      </c>
      <c r="E87" s="40">
        <f>IFERROR(__xludf.DUMMYFUNCTION("IF(C87="""", """", XLOOKUP(TRIM(C87), 'COTRATOS ALBUNS 25.2'!E:E, 'COTRATOS ALBUNS 25.2'!D:D, XLOOKUP(TRIM(C87), IMPORTRANGE(""16smdYggRVyzhu5y9HP2ayvW__ybkjb1nkVsCvZrByLM"", ""'COTRATOS 26.1'!B:B""), IMPORTRANGE(""16smdYggRVyzhu5y9HP2ayvW__ybkjb1nkVsCvZr"&amp;"ByLM"", ""'COTRATOS 26.1'!A:A""), """")))"),87901.0)</f>
        <v>87901</v>
      </c>
      <c r="F87" s="41" t="s">
        <v>36</v>
      </c>
      <c r="G87" s="42" t="s">
        <v>214</v>
      </c>
      <c r="H87" s="43"/>
      <c r="I87" s="44" t="s">
        <v>215</v>
      </c>
      <c r="J87" s="7"/>
      <c r="K87" s="8" t="s">
        <v>6</v>
      </c>
      <c r="L87" s="46"/>
      <c r="M87" s="46" t="s">
        <v>8</v>
      </c>
      <c r="N87" s="47" t="b">
        <v>0</v>
      </c>
      <c r="O87" s="48">
        <f t="shared" si="1"/>
        <v>46249</v>
      </c>
      <c r="P87" s="49">
        <v>46265.0</v>
      </c>
      <c r="Q87" s="82"/>
      <c r="R87" s="51" t="str">
        <f t="shared" si="2"/>
        <v/>
      </c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</row>
    <row r="88">
      <c r="A88" s="36" t="b">
        <v>1</v>
      </c>
      <c r="B88" s="94">
        <v>46246.60590277778</v>
      </c>
      <c r="C88" s="38" t="s">
        <v>216</v>
      </c>
      <c r="D88" s="36">
        <v>850.0</v>
      </c>
      <c r="E88" s="40">
        <f>IFERROR(__xludf.DUMMYFUNCTION("IF(C88="""", """", XLOOKUP(TRIM(C88), 'COTRATOS ALBUNS 25.2'!E:E, 'COTRATOS ALBUNS 25.2'!D:D, XLOOKUP(TRIM(C88), IMPORTRANGE(""16smdYggRVyzhu5y9HP2ayvW__ybkjb1nkVsCvZrByLM"", ""'COTRATOS 26.1'!B:B""), IMPORTRANGE(""16smdYggRVyzhu5y9HP2ayvW__ybkjb1nkVsCvZr"&amp;"ByLM"", ""'COTRATOS 26.1'!A:A""), """")))"),88394.0)</f>
        <v>88394</v>
      </c>
      <c r="F88" s="41" t="s">
        <v>66</v>
      </c>
      <c r="G88" s="42" t="s">
        <v>57</v>
      </c>
      <c r="H88" s="43"/>
      <c r="I88" s="44" t="s">
        <v>217</v>
      </c>
      <c r="J88" s="5"/>
      <c r="K88" s="8" t="s">
        <v>13</v>
      </c>
      <c r="L88" s="8" t="s">
        <v>218</v>
      </c>
      <c r="M88" s="8" t="s">
        <v>8</v>
      </c>
      <c r="N88" s="63" t="b">
        <v>1</v>
      </c>
      <c r="O88" s="64">
        <f t="shared" si="1"/>
        <v>46263.6059</v>
      </c>
      <c r="P88" s="49">
        <v>46297.0</v>
      </c>
      <c r="Q88" s="50">
        <v>46246.0</v>
      </c>
      <c r="R88" s="86">
        <f t="shared" si="2"/>
        <v>46306</v>
      </c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</row>
    <row r="89">
      <c r="A89" s="67" t="b">
        <v>1</v>
      </c>
      <c r="B89" s="74">
        <v>46297.0</v>
      </c>
      <c r="C89" s="38" t="s">
        <v>219</v>
      </c>
      <c r="D89" s="36">
        <v>1172.0</v>
      </c>
      <c r="E89" s="40">
        <f>IFERROR(__xludf.DUMMYFUNCTION("IF(C89="""", """", XLOOKUP(TRIM(C89), 'COTRATOS ALBUNS 25.2'!E:E, 'COTRATOS ALBUNS 25.2'!D:D, XLOOKUP(TRIM(C89), IMPORTRANGE(""16smdYggRVyzhu5y9HP2ayvW__ybkjb1nkVsCvZrByLM"", ""'COTRATOS 26.1'!B:B""), IMPORTRANGE(""16smdYggRVyzhu5y9HP2ayvW__ybkjb1nkVsCvZr"&amp;"ByLM"", ""'COTRATOS 26.1'!A:A""), """")))"),85573.0)</f>
        <v>85573</v>
      </c>
      <c r="F89" s="41" t="s">
        <v>36</v>
      </c>
      <c r="G89" s="42" t="s">
        <v>95</v>
      </c>
      <c r="H89" s="43"/>
      <c r="I89" s="44" t="s">
        <v>220</v>
      </c>
      <c r="J89" s="5"/>
      <c r="K89" s="8" t="s">
        <v>13</v>
      </c>
      <c r="L89" s="46" t="s">
        <v>101</v>
      </c>
      <c r="M89" s="46" t="s">
        <v>8</v>
      </c>
      <c r="N89" s="47" t="b">
        <v>0</v>
      </c>
      <c r="O89" s="48">
        <f t="shared" si="1"/>
        <v>46314</v>
      </c>
      <c r="P89" s="49">
        <v>46297.0</v>
      </c>
      <c r="Q89" s="50">
        <v>46245.0</v>
      </c>
      <c r="R89" s="86">
        <f t="shared" si="2"/>
        <v>46305</v>
      </c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</row>
    <row r="90">
      <c r="A90" s="67" t="b">
        <v>1</v>
      </c>
      <c r="B90" s="68">
        <v>46242.60070601852</v>
      </c>
      <c r="C90" s="38" t="s">
        <v>221</v>
      </c>
      <c r="D90" s="36">
        <v>850.0</v>
      </c>
      <c r="E90" s="40">
        <f>IFERROR(__xludf.DUMMYFUNCTION("IF(C90="""", """", XLOOKUP(TRIM(C90), 'COTRATOS ALBUNS 25.2'!E:E, 'COTRATOS ALBUNS 25.2'!D:D, XLOOKUP(TRIM(C90), IMPORTRANGE(""16smdYggRVyzhu5y9HP2ayvW__ybkjb1nkVsCvZrByLM"", ""'COTRATOS 26.1'!B:B""), IMPORTRANGE(""16smdYggRVyzhu5y9HP2ayvW__ybkjb1nkVsCvZr"&amp;"ByLM"", ""'COTRATOS 26.1'!A:A""), """")))"),80693.0)</f>
        <v>80693</v>
      </c>
      <c r="F90" s="41" t="s">
        <v>66</v>
      </c>
      <c r="G90" s="42" t="s">
        <v>91</v>
      </c>
      <c r="H90" s="43"/>
      <c r="I90" s="44" t="s">
        <v>222</v>
      </c>
      <c r="J90" s="5"/>
      <c r="K90" s="8" t="s">
        <v>13</v>
      </c>
      <c r="L90" s="46" t="s">
        <v>193</v>
      </c>
      <c r="M90" s="46" t="s">
        <v>8</v>
      </c>
      <c r="N90" s="63" t="b">
        <v>1</v>
      </c>
      <c r="O90" s="64">
        <f t="shared" si="1"/>
        <v>46259.60071</v>
      </c>
      <c r="P90" s="49">
        <v>46297.0</v>
      </c>
      <c r="Q90" s="111">
        <v>46242.390381944446</v>
      </c>
      <c r="R90" s="112">
        <f t="shared" si="2"/>
        <v>46302.39038</v>
      </c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</row>
    <row r="91">
      <c r="A91" s="36" t="b">
        <v>1</v>
      </c>
      <c r="B91" s="94">
        <v>46210.854212962964</v>
      </c>
      <c r="C91" s="38" t="s">
        <v>223</v>
      </c>
      <c r="D91" s="36">
        <v>1103.0</v>
      </c>
      <c r="E91" s="40">
        <f>IFERROR(__xludf.DUMMYFUNCTION("IF(C91="""", """", XLOOKUP(TRIM(C91), 'COTRATOS ALBUNS 25.2'!E:E, 'COTRATOS ALBUNS 25.2'!D:D, XLOOKUP(TRIM(C91), IMPORTRANGE(""16smdYggRVyzhu5y9HP2ayvW__ybkjb1nkVsCvZrByLM"", ""'COTRATOS 26.1'!B:B""), IMPORTRANGE(""16smdYggRVyzhu5y9HP2ayvW__ybkjb1nkVsCvZr"&amp;"ByLM"", ""'COTRATOS 26.1'!A:A""), """")))"),78221.0)</f>
        <v>78221</v>
      </c>
      <c r="F91" s="41" t="s">
        <v>36</v>
      </c>
      <c r="G91" s="42" t="s">
        <v>45</v>
      </c>
      <c r="H91" s="43"/>
      <c r="I91" s="44" t="s">
        <v>224</v>
      </c>
      <c r="J91" s="5"/>
      <c r="K91" s="8" t="s">
        <v>13</v>
      </c>
      <c r="L91" s="8" t="s">
        <v>47</v>
      </c>
      <c r="M91" s="5"/>
      <c r="N91" s="63" t="b">
        <v>1</v>
      </c>
      <c r="O91" s="64">
        <f t="shared" si="1"/>
        <v>46227.85421</v>
      </c>
      <c r="P91" s="49">
        <v>46297.0</v>
      </c>
      <c r="Q91" s="85">
        <v>46224.0</v>
      </c>
      <c r="R91" s="86">
        <f t="shared" si="2"/>
        <v>46284</v>
      </c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</row>
    <row r="92">
      <c r="A92" s="67" t="b">
        <v>1</v>
      </c>
      <c r="B92" s="74">
        <v>46268.42561342593</v>
      </c>
      <c r="C92" s="69" t="s">
        <v>225</v>
      </c>
      <c r="D92" s="70">
        <v>904.0</v>
      </c>
      <c r="E92" s="40">
        <f>IFERROR(__xludf.DUMMYFUNCTION("IF(C92="""", """", XLOOKUP(TRIM(C92), 'COTRATOS ALBUNS 25.2'!E:E, 'COTRATOS ALBUNS 25.2'!D:D, XLOOKUP(TRIM(C92), IMPORTRANGE(""16smdYggRVyzhu5y9HP2ayvW__ybkjb1nkVsCvZrByLM"", ""'COTRATOS 26.1'!B:B""), IMPORTRANGE(""16smdYggRVyzhu5y9HP2ayvW__ybkjb1nkVsCvZr"&amp;"ByLM"", ""'COTRATOS 26.1'!A:A""), """")))"),87476.0)</f>
        <v>87476</v>
      </c>
      <c r="F92" s="71" t="s">
        <v>36</v>
      </c>
      <c r="G92" s="42" t="s">
        <v>134</v>
      </c>
      <c r="H92" s="43"/>
      <c r="I92" s="44" t="s">
        <v>226</v>
      </c>
      <c r="J92" s="5"/>
      <c r="K92" s="8" t="s">
        <v>13</v>
      </c>
      <c r="L92" s="8" t="s">
        <v>54</v>
      </c>
      <c r="M92" s="8" t="s">
        <v>8</v>
      </c>
      <c r="N92" s="63" t="b">
        <v>1</v>
      </c>
      <c r="O92" s="48">
        <f t="shared" si="1"/>
        <v>46285.42561</v>
      </c>
      <c r="P92" s="49">
        <v>46297.0</v>
      </c>
      <c r="Q92" s="75">
        <f>B92</f>
        <v>46268.42561</v>
      </c>
      <c r="R92" s="76">
        <f t="shared" si="2"/>
        <v>46328.42561</v>
      </c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</row>
    <row r="93">
      <c r="A93" s="36" t="b">
        <v>1</v>
      </c>
      <c r="B93" s="94">
        <v>46209.36821759259</v>
      </c>
      <c r="C93" s="38" t="s">
        <v>227</v>
      </c>
      <c r="D93" s="36">
        <v>968.0</v>
      </c>
      <c r="E93" s="40">
        <f>IFERROR(__xludf.DUMMYFUNCTION("IF(C93="""", """", XLOOKUP(TRIM(C93), 'COTRATOS ALBUNS 25.2'!E:E, 'COTRATOS ALBUNS 25.2'!D:D, XLOOKUP(TRIM(C93), IMPORTRANGE(""16smdYggRVyzhu5y9HP2ayvW__ybkjb1nkVsCvZrByLM"", ""'COTRATOS 26.1'!B:B""), IMPORTRANGE(""16smdYggRVyzhu5y9HP2ayvW__ybkjb1nkVsCvZr"&amp;"ByLM"", ""'COTRATOS 26.1'!A:A""), """")))"),86842.0)</f>
        <v>86842</v>
      </c>
      <c r="F93" s="41" t="s">
        <v>36</v>
      </c>
      <c r="G93" s="42" t="s">
        <v>52</v>
      </c>
      <c r="H93" s="43"/>
      <c r="I93" s="44" t="s">
        <v>228</v>
      </c>
      <c r="J93" s="5"/>
      <c r="K93" s="8" t="s">
        <v>13</v>
      </c>
      <c r="L93" s="8" t="s">
        <v>121</v>
      </c>
      <c r="M93" s="5"/>
      <c r="N93" s="63" t="b">
        <v>1</v>
      </c>
      <c r="O93" s="64">
        <f t="shared" si="1"/>
        <v>46226.36822</v>
      </c>
      <c r="P93" s="49">
        <v>46297.0</v>
      </c>
      <c r="Q93" s="85">
        <v>46211.0</v>
      </c>
      <c r="R93" s="86">
        <f t="shared" si="2"/>
        <v>46271</v>
      </c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</row>
    <row r="94">
      <c r="A94" s="67" t="b">
        <v>1</v>
      </c>
      <c r="B94" s="68">
        <v>46268.42556712963</v>
      </c>
      <c r="C94" s="69" t="s">
        <v>229</v>
      </c>
      <c r="D94" s="70">
        <v>968.0</v>
      </c>
      <c r="E94" s="40">
        <f>IFERROR(__xludf.DUMMYFUNCTION("IF(C94="""", """", XLOOKUP(TRIM(C94), 'COTRATOS ALBUNS 25.2'!E:E, 'COTRATOS ALBUNS 25.2'!D:D, XLOOKUP(TRIM(C94), IMPORTRANGE(""16smdYggRVyzhu5y9HP2ayvW__ybkjb1nkVsCvZrByLM"", ""'COTRATOS 26.1'!B:B""), IMPORTRANGE(""16smdYggRVyzhu5y9HP2ayvW__ybkjb1nkVsCvZr"&amp;"ByLM"", ""'COTRATOS 26.1'!A:A""), """")))"),86643.0)</f>
        <v>86643</v>
      </c>
      <c r="F94" s="71" t="s">
        <v>36</v>
      </c>
      <c r="G94" s="42" t="s">
        <v>52</v>
      </c>
      <c r="H94" s="43"/>
      <c r="I94" s="44" t="s">
        <v>230</v>
      </c>
      <c r="J94" s="5"/>
      <c r="K94" s="8" t="s">
        <v>13</v>
      </c>
      <c r="L94" s="8" t="s">
        <v>50</v>
      </c>
      <c r="M94" s="8" t="s">
        <v>8</v>
      </c>
      <c r="N94" s="63" t="b">
        <v>1</v>
      </c>
      <c r="O94" s="64">
        <f t="shared" si="1"/>
        <v>46285.42557</v>
      </c>
      <c r="P94" s="49">
        <v>46297.0</v>
      </c>
      <c r="Q94" s="72">
        <f>B94</f>
        <v>46268.42557</v>
      </c>
      <c r="R94" s="73">
        <f t="shared" si="2"/>
        <v>46328.42557</v>
      </c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</row>
    <row r="95">
      <c r="A95" s="36" t="b">
        <v>1</v>
      </c>
      <c r="B95" s="113">
        <v>46219.0</v>
      </c>
      <c r="C95" s="38" t="s">
        <v>231</v>
      </c>
      <c r="D95" s="36">
        <v>1172.0</v>
      </c>
      <c r="E95" s="40">
        <v>86097.0</v>
      </c>
      <c r="F95" s="41" t="s">
        <v>66</v>
      </c>
      <c r="G95" s="114"/>
      <c r="H95" s="43"/>
      <c r="I95" s="44" t="s">
        <v>232</v>
      </c>
      <c r="J95" s="7"/>
      <c r="K95" s="8" t="s">
        <v>13</v>
      </c>
      <c r="L95" s="46" t="s">
        <v>193</v>
      </c>
      <c r="M95" s="8" t="s">
        <v>8</v>
      </c>
      <c r="N95" s="63" t="b">
        <v>1</v>
      </c>
      <c r="O95" s="52">
        <f t="shared" si="1"/>
        <v>46236</v>
      </c>
      <c r="P95" s="60"/>
      <c r="Q95" s="50">
        <v>46242.0</v>
      </c>
      <c r="R95" s="86">
        <f t="shared" si="2"/>
        <v>46302</v>
      </c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</row>
    <row r="96">
      <c r="A96" s="67" t="b">
        <v>1</v>
      </c>
      <c r="B96" s="74">
        <v>46297.0</v>
      </c>
      <c r="C96" s="38" t="s">
        <v>233</v>
      </c>
      <c r="D96" s="36">
        <v>824.0</v>
      </c>
      <c r="E96" s="40">
        <f>IFERROR(__xludf.DUMMYFUNCTION("IF(C96="""", """", XLOOKUP(TRIM(C96), 'COTRATOS ALBUNS 25.2'!E:E, 'COTRATOS ALBUNS 25.2'!D:D, XLOOKUP(TRIM(C96), IMPORTRANGE(""16smdYggRVyzhu5y9HP2ayvW__ybkjb1nkVsCvZrByLM"", ""'COTRATOS 26.1'!B:B""), IMPORTRANGE(""16smdYggRVyzhu5y9HP2ayvW__ybkjb1nkVsCvZr"&amp;"ByLM"", ""'COTRATOS 26.1'!A:A""), """")))"),85753.0)</f>
        <v>85753</v>
      </c>
      <c r="F96" s="41" t="s">
        <v>36</v>
      </c>
      <c r="G96" s="42" t="s">
        <v>154</v>
      </c>
      <c r="H96" s="43"/>
      <c r="I96" s="44" t="s">
        <v>234</v>
      </c>
      <c r="J96" s="5"/>
      <c r="K96" s="8" t="s">
        <v>13</v>
      </c>
      <c r="L96" s="8" t="s">
        <v>78</v>
      </c>
      <c r="M96" s="46" t="s">
        <v>8</v>
      </c>
      <c r="N96" s="47" t="b">
        <v>0</v>
      </c>
      <c r="O96" s="48">
        <f t="shared" si="1"/>
        <v>46314</v>
      </c>
      <c r="P96" s="49">
        <v>46297.0</v>
      </c>
      <c r="Q96" s="93">
        <v>46256.0</v>
      </c>
      <c r="R96" s="76">
        <f t="shared" si="2"/>
        <v>46316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</row>
    <row r="97">
      <c r="A97" s="56" t="b">
        <v>1</v>
      </c>
      <c r="B97" s="110">
        <v>46261.0</v>
      </c>
      <c r="C97" s="98" t="s">
        <v>235</v>
      </c>
      <c r="D97" s="38">
        <v>968.0</v>
      </c>
      <c r="E97" s="40">
        <f>IFERROR(__xludf.DUMMYFUNCTION("IF(C97="""", """", XLOOKUP(TRIM(C97), 'COTRATOS ALBUNS 25.2'!E:E, 'COTRATOS ALBUNS 25.2'!D:D, XLOOKUP(TRIM(C97), IMPORTRANGE(""16smdYggRVyzhu5y9HP2ayvW__ybkjb1nkVsCvZrByLM"", ""'COTRATOS 26.1'!B:B""), IMPORTRANGE(""16smdYggRVyzhu5y9HP2ayvW__ybkjb1nkVsCvZr"&amp;"ByLM"", ""'COTRATOS 26.1'!A:A""), """")))"),94416.0)</f>
        <v>94416</v>
      </c>
      <c r="F97" s="57" t="s">
        <v>56</v>
      </c>
      <c r="G97" s="42" t="s">
        <v>168</v>
      </c>
      <c r="H97" s="43"/>
      <c r="I97" s="58" t="s">
        <v>236</v>
      </c>
      <c r="J97" s="59"/>
      <c r="K97" s="53" t="s">
        <v>12</v>
      </c>
      <c r="L97" s="59"/>
      <c r="M97" s="8" t="s">
        <v>8</v>
      </c>
      <c r="N97" s="47" t="b">
        <v>0</v>
      </c>
      <c r="O97" s="48">
        <f t="shared" si="1"/>
        <v>46278</v>
      </c>
      <c r="P97" s="49">
        <v>46300.0</v>
      </c>
      <c r="Q97" s="61"/>
      <c r="R97" s="51" t="str">
        <f t="shared" si="2"/>
        <v/>
      </c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</row>
    <row r="98">
      <c r="A98" s="53" t="b">
        <v>1</v>
      </c>
      <c r="B98" s="54">
        <v>46276.0</v>
      </c>
      <c r="C98" s="55" t="s">
        <v>237</v>
      </c>
      <c r="D98" s="38">
        <v>1172.0</v>
      </c>
      <c r="E98" s="40">
        <f>IFERROR(__xludf.DUMMYFUNCTION("IF(C98="""", """", XLOOKUP(TRIM(C98), 'COTRATOS ALBUNS 25.2'!E:E, 'COTRATOS ALBUNS 25.2'!D:D, XLOOKUP(TRIM(C98), IMPORTRANGE(""16smdYggRVyzhu5y9HP2ayvW__ybkjb1nkVsCvZrByLM"", ""'COTRATOS 26.1'!B:B""), IMPORTRANGE(""16smdYggRVyzhu5y9HP2ayvW__ybkjb1nkVsCvZr"&amp;"ByLM"", ""'COTRATOS 26.1'!A:A""), """")))"),86678.0)</f>
        <v>86678</v>
      </c>
      <c r="F98" s="57" t="s">
        <v>36</v>
      </c>
      <c r="G98" s="42" t="s">
        <v>87</v>
      </c>
      <c r="H98" s="43"/>
      <c r="I98" s="58" t="s">
        <v>238</v>
      </c>
      <c r="J98" s="59"/>
      <c r="K98" s="53" t="s">
        <v>8</v>
      </c>
      <c r="L98" s="59"/>
      <c r="M98" s="53" t="s">
        <v>8</v>
      </c>
      <c r="N98" s="47" t="b">
        <v>0</v>
      </c>
      <c r="O98" s="48">
        <f t="shared" si="1"/>
        <v>46293</v>
      </c>
      <c r="P98" s="60"/>
      <c r="Q98" s="61"/>
      <c r="R98" s="51" t="str">
        <f t="shared" si="2"/>
        <v/>
      </c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</row>
    <row r="99">
      <c r="A99" s="67" t="b">
        <v>1</v>
      </c>
      <c r="B99" s="68">
        <v>46212.87149305556</v>
      </c>
      <c r="C99" s="38" t="s">
        <v>239</v>
      </c>
      <c r="D99" s="36">
        <v>953.0</v>
      </c>
      <c r="E99" s="40">
        <f>IFERROR(__xludf.DUMMYFUNCTION("IF(C99="""", """", XLOOKUP(TRIM(C99), 'COTRATOS ALBUNS 25.2'!E:E, 'COTRATOS ALBUNS 25.2'!D:D, XLOOKUP(TRIM(C99), IMPORTRANGE(""16smdYggRVyzhu5y9HP2ayvW__ybkjb1nkVsCvZrByLM"", ""'COTRATOS 26.1'!B:B""), IMPORTRANGE(""16smdYggRVyzhu5y9HP2ayvW__ybkjb1nkVsCvZr"&amp;"ByLM"", ""'COTRATOS 26.1'!A:A""), """")))"),88837.0)</f>
        <v>88837</v>
      </c>
      <c r="F99" s="41" t="s">
        <v>66</v>
      </c>
      <c r="G99" s="42" t="s">
        <v>71</v>
      </c>
      <c r="H99" s="43"/>
      <c r="I99" s="44" t="s">
        <v>240</v>
      </c>
      <c r="J99" s="5"/>
      <c r="K99" s="8" t="s">
        <v>13</v>
      </c>
      <c r="L99" s="8" t="s">
        <v>121</v>
      </c>
      <c r="M99" s="5"/>
      <c r="N99" s="63" t="b">
        <v>1</v>
      </c>
      <c r="O99" s="64">
        <f t="shared" si="1"/>
        <v>46229.87149</v>
      </c>
      <c r="P99" s="49">
        <v>46297.0</v>
      </c>
      <c r="Q99" s="85">
        <v>46213.0</v>
      </c>
      <c r="R99" s="86">
        <f t="shared" si="2"/>
        <v>46273</v>
      </c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</row>
    <row r="100">
      <c r="A100" s="56" t="b">
        <v>1</v>
      </c>
      <c r="B100" s="110">
        <v>46262.0</v>
      </c>
      <c r="C100" s="98" t="s">
        <v>241</v>
      </c>
      <c r="D100" s="92">
        <v>953.0</v>
      </c>
      <c r="E100" s="40">
        <f>IFERROR(__xludf.DUMMYFUNCTION("IF(C100="""", """", XLOOKUP(TRIM(C100), 'COTRATOS ALBUNS 25.2'!E:E, 'COTRATOS ALBUNS 25.2'!D:D, XLOOKUP(TRIM(C100), IMPORTRANGE(""16smdYggRVyzhu5y9HP2ayvW__ybkjb1nkVsCvZrByLM"", ""'COTRATOS 26.1'!B:B""), IMPORTRANGE(""16smdYggRVyzhu5y9HP2ayvW__ybkjb1nkVsC"&amp;"vZrByLM"", ""'COTRATOS 26.1'!A:A""), """")))"),82758.0)</f>
        <v>82758</v>
      </c>
      <c r="F100" s="57" t="s">
        <v>56</v>
      </c>
      <c r="G100" s="42" t="s">
        <v>57</v>
      </c>
      <c r="H100" s="43"/>
      <c r="I100" s="58" t="s">
        <v>242</v>
      </c>
      <c r="J100" s="59"/>
      <c r="K100" s="53" t="s">
        <v>6</v>
      </c>
      <c r="L100" s="59"/>
      <c r="M100" s="53" t="s">
        <v>8</v>
      </c>
      <c r="N100" s="47" t="b">
        <v>0</v>
      </c>
      <c r="O100" s="48">
        <f t="shared" si="1"/>
        <v>46279</v>
      </c>
      <c r="P100" s="49">
        <v>46288.0</v>
      </c>
      <c r="Q100" s="61"/>
      <c r="R100" s="51" t="str">
        <f t="shared" si="2"/>
        <v/>
      </c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</row>
    <row r="101">
      <c r="A101" s="67" t="b">
        <v>1</v>
      </c>
      <c r="B101" s="68">
        <v>46275.751446759255</v>
      </c>
      <c r="C101" s="38" t="s">
        <v>243</v>
      </c>
      <c r="D101" s="36">
        <v>957.0</v>
      </c>
      <c r="E101" s="40">
        <f>IFERROR(__xludf.DUMMYFUNCTION("IF(C101="""", """", XLOOKUP(TRIM(C101), 'COTRATOS ALBUNS 25.2'!E:E, 'COTRATOS ALBUNS 25.2'!D:D, XLOOKUP(TRIM(C101), IMPORTRANGE(""16smdYggRVyzhu5y9HP2ayvW__ybkjb1nkVsCvZrByLM"", ""'COTRATOS 26.1'!B:B""), IMPORTRANGE(""16smdYggRVyzhu5y9HP2ayvW__ybkjb1nkVsC"&amp;"vZrByLM"", ""'COTRATOS 26.1'!A:A""), """")))"),75588.0)</f>
        <v>75588</v>
      </c>
      <c r="F101" s="41" t="s">
        <v>66</v>
      </c>
      <c r="G101" s="42" t="s">
        <v>71</v>
      </c>
      <c r="H101" s="43"/>
      <c r="I101" s="44" t="s">
        <v>244</v>
      </c>
      <c r="J101" s="5"/>
      <c r="K101" s="8" t="s">
        <v>13</v>
      </c>
      <c r="L101" s="8" t="s">
        <v>69</v>
      </c>
      <c r="M101" s="5"/>
      <c r="N101" s="63" t="b">
        <v>1</v>
      </c>
      <c r="O101" s="64">
        <f t="shared" si="1"/>
        <v>46292.75145</v>
      </c>
      <c r="P101" s="49">
        <v>46297.0</v>
      </c>
      <c r="Q101" s="85">
        <v>46219.0</v>
      </c>
      <c r="R101" s="86">
        <f t="shared" si="2"/>
        <v>46279</v>
      </c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</row>
    <row r="102">
      <c r="A102" s="36" t="b">
        <v>1</v>
      </c>
      <c r="B102" s="37">
        <v>46297.0</v>
      </c>
      <c r="C102" s="98" t="s">
        <v>245</v>
      </c>
      <c r="D102" s="39">
        <v>1172.0</v>
      </c>
      <c r="E102" s="40">
        <f>IFERROR(__xludf.DUMMYFUNCTION("IF(C102="""", """", XLOOKUP(TRIM(C102), 'COTRATOS ALBUNS 25.2'!E:E, 'COTRATOS ALBUNS 25.2'!D:D, XLOOKUP(TRIM(C102), IMPORTRANGE(""16smdYggRVyzhu5y9HP2ayvW__ybkjb1nkVsCvZrByLM"", ""'COTRATOS 26.1'!B:B""), IMPORTRANGE(""16smdYggRVyzhu5y9HP2ayvW__ybkjb1nkVsC"&amp;"vZrByLM"", ""'COTRATOS 26.1'!A:A""), """")))"),86523.0)</f>
        <v>86523</v>
      </c>
      <c r="F102" s="41" t="s">
        <v>36</v>
      </c>
      <c r="G102" s="42" t="s">
        <v>57</v>
      </c>
      <c r="H102" s="43"/>
      <c r="I102" s="44" t="s">
        <v>246</v>
      </c>
      <c r="J102" s="7"/>
      <c r="K102" s="8" t="s">
        <v>13</v>
      </c>
      <c r="L102" s="108" t="s">
        <v>101</v>
      </c>
      <c r="M102" s="46" t="s">
        <v>8</v>
      </c>
      <c r="N102" s="47" t="b">
        <v>0</v>
      </c>
      <c r="O102" s="48">
        <f t="shared" si="1"/>
        <v>46314</v>
      </c>
      <c r="P102" s="49">
        <v>46297.0</v>
      </c>
      <c r="Q102" s="50">
        <v>46246.0</v>
      </c>
      <c r="R102" s="86">
        <f t="shared" si="2"/>
        <v>46306</v>
      </c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</row>
    <row r="103">
      <c r="A103" s="53" t="b">
        <v>1</v>
      </c>
      <c r="B103" s="54">
        <v>46293.0</v>
      </c>
      <c r="C103" s="55" t="s">
        <v>247</v>
      </c>
      <c r="D103" s="56">
        <v>1179.0</v>
      </c>
      <c r="E103" s="40">
        <f>IFERROR(__xludf.DUMMYFUNCTION("IF(C103="""", """", XLOOKUP(TRIM(C103), 'COTRATOS ALBUNS 25.2'!E:E, 'COTRATOS ALBUNS 25.2'!D:D, XLOOKUP(TRIM(C103), IMPORTRANGE(""16smdYggRVyzhu5y9HP2ayvW__ybkjb1nkVsCvZrByLM"", ""'COTRATOS 26.1'!B:B""), IMPORTRANGE(""16smdYggRVyzhu5y9HP2ayvW__ybkjb1nkVsC"&amp;"vZrByLM"", ""'COTRATOS 26.1'!A:A""), """")))"),93624.0)</f>
        <v>93624</v>
      </c>
      <c r="F103" s="57" t="s">
        <v>44</v>
      </c>
      <c r="G103" s="42" t="s">
        <v>45</v>
      </c>
      <c r="H103" s="43"/>
      <c r="I103" s="58" t="s">
        <v>248</v>
      </c>
      <c r="J103" s="59"/>
      <c r="K103" s="53" t="s">
        <v>17</v>
      </c>
      <c r="L103" s="59"/>
      <c r="M103" s="59"/>
      <c r="N103" s="47" t="b">
        <v>0</v>
      </c>
      <c r="O103" s="48">
        <f t="shared" si="1"/>
        <v>46310</v>
      </c>
      <c r="P103" s="60"/>
      <c r="Q103" s="61"/>
      <c r="R103" s="51" t="str">
        <f t="shared" si="2"/>
        <v/>
      </c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</row>
    <row r="104">
      <c r="A104" s="67" t="b">
        <v>1</v>
      </c>
      <c r="B104" s="68">
        <v>46268.42532407407</v>
      </c>
      <c r="C104" s="38" t="s">
        <v>249</v>
      </c>
      <c r="D104" s="36">
        <v>964.0</v>
      </c>
      <c r="E104" s="40">
        <f>IFERROR(__xludf.DUMMYFUNCTION("IF(C104="""", """", XLOOKUP(TRIM(C104), 'COTRATOS ALBUNS 25.2'!E:E, 'COTRATOS ALBUNS 25.2'!D:D, XLOOKUP(TRIM(C104), IMPORTRANGE(""16smdYggRVyzhu5y9HP2ayvW__ybkjb1nkVsCvZrByLM"", ""'COTRATOS 26.1'!B:B""), IMPORTRANGE(""16smdYggRVyzhu5y9HP2ayvW__ybkjb1nkVsC"&amp;"vZrByLM"", ""'COTRATOS 26.1'!A:A""), """")))"),85976.0)</f>
        <v>85976</v>
      </c>
      <c r="F104" s="41" t="s">
        <v>40</v>
      </c>
      <c r="G104" s="42" t="s">
        <v>250</v>
      </c>
      <c r="H104" s="43"/>
      <c r="I104" s="44" t="s">
        <v>251</v>
      </c>
      <c r="J104" s="5"/>
      <c r="K104" s="8" t="s">
        <v>13</v>
      </c>
      <c r="L104" s="8" t="s">
        <v>93</v>
      </c>
      <c r="M104" s="8" t="s">
        <v>8</v>
      </c>
      <c r="N104" s="63" t="b">
        <v>1</v>
      </c>
      <c r="O104" s="64">
        <f t="shared" si="1"/>
        <v>46285.42532</v>
      </c>
      <c r="P104" s="49">
        <v>46297.0</v>
      </c>
      <c r="Q104" s="93">
        <v>46205.0</v>
      </c>
      <c r="R104" s="76">
        <f t="shared" si="2"/>
        <v>46265</v>
      </c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</row>
    <row r="105">
      <c r="A105" s="36" t="b">
        <v>1</v>
      </c>
      <c r="B105" s="37">
        <v>46297.0</v>
      </c>
      <c r="C105" s="38" t="s">
        <v>252</v>
      </c>
      <c r="D105" s="39">
        <v>971.0</v>
      </c>
      <c r="E105" s="40">
        <f>IFERROR(__xludf.DUMMYFUNCTION("IF(C105="""", """", XLOOKUP(TRIM(C105), 'COTRATOS ALBUNS 25.2'!E:E, 'COTRATOS ALBUNS 25.2'!D:D, XLOOKUP(TRIM(C105), IMPORTRANGE(""16smdYggRVyzhu5y9HP2ayvW__ybkjb1nkVsCvZrByLM"", ""'COTRATOS 26.1'!B:B""), IMPORTRANGE(""16smdYggRVyzhu5y9HP2ayvW__ybkjb1nkVsC"&amp;"vZrByLM"", ""'COTRATOS 26.1'!A:A""), """")))"),86055.0)</f>
        <v>86055</v>
      </c>
      <c r="F105" s="41" t="s">
        <v>44</v>
      </c>
      <c r="G105" s="42" t="s">
        <v>95</v>
      </c>
      <c r="H105" s="43"/>
      <c r="I105" s="44" t="s">
        <v>253</v>
      </c>
      <c r="J105" s="7"/>
      <c r="K105" s="8" t="s">
        <v>13</v>
      </c>
      <c r="L105" s="8" t="s">
        <v>78</v>
      </c>
      <c r="M105" s="8" t="s">
        <v>8</v>
      </c>
      <c r="N105" s="47" t="b">
        <v>0</v>
      </c>
      <c r="O105" s="48">
        <f t="shared" si="1"/>
        <v>46314</v>
      </c>
      <c r="P105" s="49">
        <v>46297.0</v>
      </c>
      <c r="Q105" s="50">
        <v>46245.0</v>
      </c>
      <c r="R105" s="86">
        <f t="shared" si="2"/>
        <v>46305</v>
      </c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</row>
    <row r="106">
      <c r="A106" s="53" t="b">
        <v>1</v>
      </c>
      <c r="B106" s="54">
        <v>46291.0</v>
      </c>
      <c r="C106" s="55" t="s">
        <v>254</v>
      </c>
      <c r="D106" s="56">
        <v>957.0</v>
      </c>
      <c r="E106" s="40">
        <f>IFERROR(__xludf.DUMMYFUNCTION("IF(C106="""", """", XLOOKUP(TRIM(C106), 'COTRATOS ALBUNS 25.2'!E:E, 'COTRATOS ALBUNS 25.2'!D:D, XLOOKUP(TRIM(C106), IMPORTRANGE(""16smdYggRVyzhu5y9HP2ayvW__ybkjb1nkVsCvZrByLM"", ""'COTRATOS 26.1'!B:B""), IMPORTRANGE(""16smdYggRVyzhu5y9HP2ayvW__ybkjb1nkVsC"&amp;"vZrByLM"", ""'COTRATOS 26.1'!A:A""), """")))"),59555.0)</f>
        <v>59555</v>
      </c>
      <c r="F106" s="57" t="s">
        <v>36</v>
      </c>
      <c r="G106" s="42" t="s">
        <v>255</v>
      </c>
      <c r="H106" s="43"/>
      <c r="I106" s="58" t="s">
        <v>256</v>
      </c>
      <c r="J106" s="59"/>
      <c r="K106" s="53" t="s">
        <v>6</v>
      </c>
      <c r="L106" s="59"/>
      <c r="M106" s="53" t="s">
        <v>8</v>
      </c>
      <c r="N106" s="47" t="b">
        <v>0</v>
      </c>
      <c r="O106" s="48">
        <f t="shared" si="1"/>
        <v>46308</v>
      </c>
      <c r="P106" s="49">
        <v>46310.0</v>
      </c>
      <c r="Q106" s="61"/>
      <c r="R106" s="51" t="str">
        <f t="shared" si="2"/>
        <v/>
      </c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</row>
    <row r="107">
      <c r="A107" s="67" t="b">
        <v>1</v>
      </c>
      <c r="B107" s="68">
        <v>46268.42619212963</v>
      </c>
      <c r="C107" s="69" t="s">
        <v>257</v>
      </c>
      <c r="D107" s="70">
        <v>968.0</v>
      </c>
      <c r="E107" s="40">
        <f>IFERROR(__xludf.DUMMYFUNCTION("IF(C107="""", """", XLOOKUP(TRIM(C107), 'COTRATOS ALBUNS 25.2'!E:E, 'COTRATOS ALBUNS 25.2'!D:D, XLOOKUP(TRIM(C107), IMPORTRANGE(""16smdYggRVyzhu5y9HP2ayvW__ybkjb1nkVsCvZrByLM"", ""'COTRATOS 26.1'!B:B""), IMPORTRANGE(""16smdYggRVyzhu5y9HP2ayvW__ybkjb1nkVsC"&amp;"vZrByLM"", ""'COTRATOS 26.1'!A:A""), """")))"),88426.0)</f>
        <v>88426</v>
      </c>
      <c r="F107" s="71" t="s">
        <v>36</v>
      </c>
      <c r="G107" s="42" t="s">
        <v>110</v>
      </c>
      <c r="H107" s="43"/>
      <c r="I107" s="44" t="s">
        <v>258</v>
      </c>
      <c r="J107" s="5"/>
      <c r="K107" s="8" t="s">
        <v>13</v>
      </c>
      <c r="L107" s="8" t="s">
        <v>108</v>
      </c>
      <c r="M107" s="8" t="s">
        <v>8</v>
      </c>
      <c r="N107" s="63" t="b">
        <v>1</v>
      </c>
      <c r="O107" s="64">
        <f t="shared" si="1"/>
        <v>46285.42619</v>
      </c>
      <c r="P107" s="49">
        <v>46297.0</v>
      </c>
      <c r="Q107" s="72">
        <f>B107</f>
        <v>46268.42619</v>
      </c>
      <c r="R107" s="73">
        <f t="shared" si="2"/>
        <v>46328.42619</v>
      </c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</row>
    <row r="108">
      <c r="A108" s="53" t="b">
        <v>1</v>
      </c>
      <c r="B108" s="54">
        <v>46293.0</v>
      </c>
      <c r="C108" s="55" t="s">
        <v>259</v>
      </c>
      <c r="D108" s="56">
        <v>752.0</v>
      </c>
      <c r="E108" s="40">
        <f>IFERROR(__xludf.DUMMYFUNCTION("IF(C108="""", """", XLOOKUP(TRIM(C108), 'COTRATOS ALBUNS 25.2'!E:E, 'COTRATOS ALBUNS 25.2'!D:D, XLOOKUP(TRIM(C108), IMPORTRANGE(""16smdYggRVyzhu5y9HP2ayvW__ybkjb1nkVsCvZrByLM"", ""'COTRATOS 26.1'!B:B""), IMPORTRANGE(""16smdYggRVyzhu5y9HP2ayvW__ybkjb1nkVsC"&amp;"vZrByLM"", ""'COTRATOS 26.1'!A:A""), """")))"),91805.0)</f>
        <v>91805</v>
      </c>
      <c r="F108" s="57" t="s">
        <v>40</v>
      </c>
      <c r="G108" s="42" t="s">
        <v>57</v>
      </c>
      <c r="H108" s="43"/>
      <c r="I108" s="58" t="s">
        <v>260</v>
      </c>
      <c r="J108" s="59"/>
      <c r="K108" s="53" t="s">
        <v>6</v>
      </c>
      <c r="L108" s="59"/>
      <c r="M108" s="53" t="s">
        <v>8</v>
      </c>
      <c r="N108" s="47" t="b">
        <v>0</v>
      </c>
      <c r="O108" s="48">
        <f t="shared" si="1"/>
        <v>46310</v>
      </c>
      <c r="P108" s="49">
        <v>46310.0</v>
      </c>
      <c r="Q108" s="61"/>
      <c r="R108" s="51" t="str">
        <f t="shared" si="2"/>
        <v/>
      </c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</row>
    <row r="109">
      <c r="A109" s="53" t="b">
        <v>1</v>
      </c>
      <c r="B109" s="54">
        <v>46291.0</v>
      </c>
      <c r="C109" s="70" t="s">
        <v>261</v>
      </c>
      <c r="D109" s="56">
        <v>995.0</v>
      </c>
      <c r="E109" s="40">
        <f>IFERROR(__xludf.DUMMYFUNCTION("IF(C109="""", """", XLOOKUP(TRIM(C109), 'COTRATOS ALBUNS 25.2'!E:E, 'COTRATOS ALBUNS 25.2'!D:D, XLOOKUP(TRIM(C109), IMPORTRANGE(""16smdYggRVyzhu5y9HP2ayvW__ybkjb1nkVsCvZrByLM"", ""'COTRATOS 26.1'!B:B""), IMPORTRANGE(""16smdYggRVyzhu5y9HP2ayvW__ybkjb1nkVsC"&amp;"vZrByLM"", ""'COTRATOS 26.1'!A:A""), """")))"),75248.0)</f>
        <v>75248</v>
      </c>
      <c r="F109" s="57" t="s">
        <v>40</v>
      </c>
      <c r="G109" s="42" t="s">
        <v>91</v>
      </c>
      <c r="H109" s="43"/>
      <c r="I109" s="58" t="s">
        <v>262</v>
      </c>
      <c r="J109" s="59"/>
      <c r="K109" s="53" t="s">
        <v>10</v>
      </c>
      <c r="L109" s="59"/>
      <c r="M109" s="59"/>
      <c r="N109" s="47" t="b">
        <v>0</v>
      </c>
      <c r="O109" s="48">
        <f t="shared" si="1"/>
        <v>46308</v>
      </c>
      <c r="P109" s="60"/>
      <c r="Q109" s="61"/>
      <c r="R109" s="51" t="str">
        <f t="shared" si="2"/>
        <v/>
      </c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</row>
    <row r="110">
      <c r="A110" s="67" t="b">
        <v>1</v>
      </c>
      <c r="B110" s="74">
        <v>46115.0</v>
      </c>
      <c r="C110" s="69" t="s">
        <v>263</v>
      </c>
      <c r="D110" s="70">
        <v>957.0</v>
      </c>
      <c r="E110" s="40">
        <f>IFERROR(__xludf.DUMMYFUNCTION("IF(C110="""", """", XLOOKUP(TRIM(C110), 'COTRATOS ALBUNS 25.2'!E:E, 'COTRATOS ALBUNS 25.2'!D:D, XLOOKUP(TRIM(C110), IMPORTRANGE(""16smdYggRVyzhu5y9HP2ayvW__ybkjb1nkVsCvZrByLM"", ""'COTRATOS 26.1'!B:B""), IMPORTRANGE(""16smdYggRVyzhu5y9HP2ayvW__ybkjb1nkVsC"&amp;"vZrByLM"", ""'COTRATOS 26.1'!A:A""), """")))"),87222.0)</f>
        <v>87222</v>
      </c>
      <c r="F110" s="71" t="s">
        <v>36</v>
      </c>
      <c r="G110" s="42" t="s">
        <v>45</v>
      </c>
      <c r="H110" s="43"/>
      <c r="I110" s="44" t="s">
        <v>264</v>
      </c>
      <c r="J110" s="5"/>
      <c r="K110" s="8" t="s">
        <v>6</v>
      </c>
      <c r="L110" s="8"/>
      <c r="M110" s="8" t="s">
        <v>8</v>
      </c>
      <c r="N110" s="47" t="b">
        <v>0</v>
      </c>
      <c r="O110" s="48">
        <f t="shared" si="1"/>
        <v>46132</v>
      </c>
      <c r="P110" s="49">
        <v>46297.0</v>
      </c>
      <c r="Q110" s="82"/>
      <c r="R110" s="51" t="str">
        <f t="shared" si="2"/>
        <v/>
      </c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</row>
    <row r="111">
      <c r="A111" s="36" t="b">
        <v>1</v>
      </c>
      <c r="B111" s="37">
        <v>46297.0</v>
      </c>
      <c r="C111" s="38" t="s">
        <v>265</v>
      </c>
      <c r="D111" s="39">
        <v>968.0</v>
      </c>
      <c r="E111" s="40">
        <f>IFERROR(__xludf.DUMMYFUNCTION("IF(C111="""", """", XLOOKUP(TRIM(C111), 'COTRATOS ALBUNS 25.2'!E:E, 'COTRATOS ALBUNS 25.2'!D:D, XLOOKUP(TRIM(C111), IMPORTRANGE(""16smdYggRVyzhu5y9HP2ayvW__ybkjb1nkVsCvZrByLM"", ""'COTRATOS 26.1'!B:B""), IMPORTRANGE(""16smdYggRVyzhu5y9HP2ayvW__ybkjb1nkVsC"&amp;"vZrByLM"", ""'COTRATOS 26.1'!A:A""), """")))"),89860.0)</f>
        <v>89860</v>
      </c>
      <c r="F111" s="41" t="s">
        <v>56</v>
      </c>
      <c r="G111" s="42" t="s">
        <v>80</v>
      </c>
      <c r="H111" s="43"/>
      <c r="I111" s="44" t="s">
        <v>266</v>
      </c>
      <c r="J111" s="7"/>
      <c r="K111" s="8" t="s">
        <v>13</v>
      </c>
      <c r="L111" s="108" t="s">
        <v>101</v>
      </c>
      <c r="M111" s="46" t="s">
        <v>8</v>
      </c>
      <c r="N111" s="47" t="b">
        <v>0</v>
      </c>
      <c r="O111" s="48">
        <f t="shared" si="1"/>
        <v>46314</v>
      </c>
      <c r="P111" s="49">
        <v>46297.0</v>
      </c>
      <c r="Q111" s="50">
        <v>46245.0</v>
      </c>
      <c r="R111" s="86">
        <f t="shared" si="2"/>
        <v>46305</v>
      </c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</row>
    <row r="112">
      <c r="A112" s="36" t="b">
        <v>1</v>
      </c>
      <c r="B112" s="90">
        <v>46233.0</v>
      </c>
      <c r="C112" s="81" t="s">
        <v>267</v>
      </c>
      <c r="D112" s="79">
        <v>964.0</v>
      </c>
      <c r="E112" s="40">
        <f>IFERROR(__xludf.DUMMYFUNCTION("IF(C112="""", """", XLOOKUP(TRIM(C112), 'COTRATOS ALBUNS 25.2'!E:E, 'COTRATOS ALBUNS 25.2'!D:D, XLOOKUP(TRIM(C112), IMPORTRANGE(""16smdYggRVyzhu5y9HP2ayvW__ybkjb1nkVsCvZrByLM"", ""'COTRATOS 26.1'!B:B""), IMPORTRANGE(""16smdYggRVyzhu5y9HP2ayvW__ybkjb1nkVsC"&amp;"vZrByLM"", ""'COTRATOS 26.1'!A:A""), """")))"),88464.0)</f>
        <v>88464</v>
      </c>
      <c r="F112" s="41" t="s">
        <v>66</v>
      </c>
      <c r="G112" s="42" t="s">
        <v>45</v>
      </c>
      <c r="H112" s="43"/>
      <c r="I112" s="44" t="s">
        <v>268</v>
      </c>
      <c r="J112" s="7"/>
      <c r="K112" s="53" t="s">
        <v>10</v>
      </c>
      <c r="L112" s="5"/>
      <c r="M112" s="5"/>
      <c r="N112" s="47" t="b">
        <v>0</v>
      </c>
      <c r="O112" s="48">
        <f t="shared" si="1"/>
        <v>46250</v>
      </c>
      <c r="P112" s="60"/>
      <c r="Q112" s="82"/>
      <c r="R112" s="51" t="str">
        <f t="shared" si="2"/>
        <v/>
      </c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</row>
    <row r="113">
      <c r="A113" s="67" t="b">
        <v>1</v>
      </c>
      <c r="B113" s="68">
        <v>46221.60362268519</v>
      </c>
      <c r="C113" s="38" t="s">
        <v>269</v>
      </c>
      <c r="D113" s="36">
        <v>1084.0</v>
      </c>
      <c r="E113" s="40">
        <f>IFERROR(__xludf.DUMMYFUNCTION("IF(C113="""", """", XLOOKUP(TRIM(C113), 'COTRATOS ALBUNS 25.2'!E:E, 'COTRATOS ALBUNS 25.2'!D:D, XLOOKUP(TRIM(C113), IMPORTRANGE(""16smdYggRVyzhu5y9HP2ayvW__ybkjb1nkVsCvZrByLM"", ""'COTRATOS 26.1'!B:B""), IMPORTRANGE(""16smdYggRVyzhu5y9HP2ayvW__ybkjb1nkVsC"&amp;"vZrByLM"", ""'COTRATOS 26.1'!A:A""), """")))"),86887.0)</f>
        <v>86887</v>
      </c>
      <c r="F113" s="41" t="s">
        <v>36</v>
      </c>
      <c r="G113" s="42" t="s">
        <v>57</v>
      </c>
      <c r="H113" s="43"/>
      <c r="I113" s="44" t="s">
        <v>270</v>
      </c>
      <c r="J113" s="5"/>
      <c r="K113" s="8" t="s">
        <v>13</v>
      </c>
      <c r="L113" s="8" t="s">
        <v>47</v>
      </c>
      <c r="M113" s="5"/>
      <c r="N113" s="63" t="b">
        <v>1</v>
      </c>
      <c r="O113" s="64">
        <f t="shared" si="1"/>
        <v>46238.60362</v>
      </c>
      <c r="P113" s="49">
        <v>46297.0</v>
      </c>
      <c r="Q113" s="85">
        <v>46224.0</v>
      </c>
      <c r="R113" s="86">
        <f t="shared" si="2"/>
        <v>46284</v>
      </c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</row>
    <row r="114">
      <c r="A114" s="115" t="b">
        <v>1</v>
      </c>
      <c r="B114" s="116">
        <v>46274.0</v>
      </c>
      <c r="C114" s="117" t="s">
        <v>271</v>
      </c>
      <c r="D114" s="118">
        <v>1172.0</v>
      </c>
      <c r="E114" s="40">
        <f>IFERROR(__xludf.DUMMYFUNCTION("IF(C114="""", """", XLOOKUP(TRIM(C114), 'COTRATOS ALBUNS 25.2'!E:E, 'COTRATOS ALBUNS 25.2'!D:D, XLOOKUP(TRIM(C114), IMPORTRANGE(""16smdYggRVyzhu5y9HP2ayvW__ybkjb1nkVsCvZrByLM"", ""'COTRATOS 26.1'!B:B""), IMPORTRANGE(""16smdYggRVyzhu5y9HP2ayvW__ybkjb1nkVsC"&amp;"vZrByLM"", ""'COTRATOS 26.1'!A:A""), """")))"),89932.0)</f>
        <v>89932</v>
      </c>
      <c r="F114" s="109" t="s">
        <v>44</v>
      </c>
      <c r="G114" s="42" t="s">
        <v>154</v>
      </c>
      <c r="H114" s="43"/>
      <c r="I114" s="119" t="s">
        <v>272</v>
      </c>
      <c r="J114" s="120"/>
      <c r="K114" s="8" t="s">
        <v>6</v>
      </c>
      <c r="L114" s="121"/>
      <c r="M114" s="53" t="s">
        <v>8</v>
      </c>
      <c r="N114" s="122" t="b">
        <v>0</v>
      </c>
      <c r="O114" s="48">
        <f t="shared" si="1"/>
        <v>46291</v>
      </c>
      <c r="P114" s="123">
        <v>46282.0</v>
      </c>
      <c r="Q114" s="124"/>
      <c r="R114" s="51" t="str">
        <f t="shared" si="2"/>
        <v/>
      </c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</row>
    <row r="115">
      <c r="A115" s="36" t="b">
        <v>1</v>
      </c>
      <c r="B115" s="94">
        <v>46226.43561342593</v>
      </c>
      <c r="C115" s="38" t="s">
        <v>273</v>
      </c>
      <c r="D115" s="36">
        <v>1019.0</v>
      </c>
      <c r="E115" s="40">
        <f>IFERROR(__xludf.DUMMYFUNCTION("IF(C115="""", """", XLOOKUP(TRIM(C115), 'COTRATOS ALBUNS 25.2'!E:E, 'COTRATOS ALBUNS 25.2'!D:D, XLOOKUP(TRIM(C115), IMPORTRANGE(""16smdYggRVyzhu5y9HP2ayvW__ybkjb1nkVsCvZrByLM"", ""'COTRATOS 26.1'!B:B""), IMPORTRANGE(""16smdYggRVyzhu5y9HP2ayvW__ybkjb1nkVsC"&amp;"vZrByLM"", ""'COTRATOS 26.1'!A:A""), """")))"),84245.0)</f>
        <v>84245</v>
      </c>
      <c r="F115" s="41" t="s">
        <v>74</v>
      </c>
      <c r="G115" s="42" t="s">
        <v>274</v>
      </c>
      <c r="H115" s="43"/>
      <c r="I115" s="44" t="s">
        <v>275</v>
      </c>
      <c r="J115" s="5"/>
      <c r="K115" s="8" t="s">
        <v>13</v>
      </c>
      <c r="L115" s="103" t="s">
        <v>47</v>
      </c>
      <c r="M115" s="5"/>
      <c r="N115" s="63" t="b">
        <v>1</v>
      </c>
      <c r="O115" s="64">
        <f t="shared" si="1"/>
        <v>46243.43561</v>
      </c>
      <c r="P115" s="49">
        <v>46297.0</v>
      </c>
      <c r="Q115" s="85">
        <v>46224.0</v>
      </c>
      <c r="R115" s="86">
        <f t="shared" si="2"/>
        <v>46284</v>
      </c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</row>
    <row r="116">
      <c r="A116" s="36" t="b">
        <v>1</v>
      </c>
      <c r="B116" s="37">
        <v>46297.0</v>
      </c>
      <c r="C116" s="38" t="s">
        <v>276</v>
      </c>
      <c r="D116" s="79">
        <v>1172.0</v>
      </c>
      <c r="E116" s="40">
        <f>IFERROR(__xludf.DUMMYFUNCTION("IF(C116="""", """", XLOOKUP(TRIM(C116), 'COTRATOS ALBUNS 25.2'!E:E, 'COTRATOS ALBUNS 25.2'!D:D, XLOOKUP(TRIM(C116), IMPORTRANGE(""16smdYggRVyzhu5y9HP2ayvW__ybkjb1nkVsCvZrByLM"", ""'COTRATOS 26.1'!B:B""), IMPORTRANGE(""16smdYggRVyzhu5y9HP2ayvW__ybkjb1nkVsC"&amp;"vZrByLM"", ""'COTRATOS 26.1'!A:A""), """")))"),86543.0)</f>
        <v>86543</v>
      </c>
      <c r="F116" s="41" t="s">
        <v>36</v>
      </c>
      <c r="G116" s="42" t="s">
        <v>71</v>
      </c>
      <c r="H116" s="43"/>
      <c r="I116" s="44" t="s">
        <v>277</v>
      </c>
      <c r="J116" s="7"/>
      <c r="K116" s="8" t="s">
        <v>13</v>
      </c>
      <c r="L116" s="8" t="s">
        <v>101</v>
      </c>
      <c r="M116" s="8" t="s">
        <v>8</v>
      </c>
      <c r="N116" s="47" t="b">
        <v>0</v>
      </c>
      <c r="O116" s="48">
        <f t="shared" si="1"/>
        <v>46314</v>
      </c>
      <c r="P116" s="49">
        <v>46297.0</v>
      </c>
      <c r="Q116" s="93">
        <v>46248.0</v>
      </c>
      <c r="R116" s="76">
        <f t="shared" si="2"/>
        <v>46308</v>
      </c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</row>
    <row r="117">
      <c r="A117" s="36" t="b">
        <v>1</v>
      </c>
      <c r="B117" s="37">
        <v>46224.0</v>
      </c>
      <c r="C117" s="125" t="s">
        <v>278</v>
      </c>
      <c r="D117" s="79">
        <v>953.0</v>
      </c>
      <c r="E117" s="40">
        <f>IFERROR(__xludf.DUMMYFUNCTION("IF(C117="""", """", XLOOKUP(TRIM(C117), 'COTRATOS ALBUNS 25.2'!E:E, 'COTRATOS ALBUNS 25.2'!D:D, XLOOKUP(TRIM(C117), IMPORTRANGE(""16smdYggRVyzhu5y9HP2ayvW__ybkjb1nkVsCvZrByLM"", ""'COTRATOS 26.1'!B:B""), IMPORTRANGE(""16smdYggRVyzhu5y9HP2ayvW__ybkjb1nkVsC"&amp;"vZrByLM"", ""'COTRATOS 26.1'!A:A""), """")))"),88642.0)</f>
        <v>88642</v>
      </c>
      <c r="F117" s="41" t="s">
        <v>36</v>
      </c>
      <c r="G117" s="42" t="s">
        <v>71</v>
      </c>
      <c r="H117" s="43"/>
      <c r="I117" s="44" t="s">
        <v>279</v>
      </c>
      <c r="J117" s="7"/>
      <c r="K117" s="8" t="s">
        <v>6</v>
      </c>
      <c r="L117" s="108"/>
      <c r="M117" s="46" t="s">
        <v>8</v>
      </c>
      <c r="N117" s="47" t="b">
        <v>0</v>
      </c>
      <c r="O117" s="48">
        <f t="shared" si="1"/>
        <v>46241</v>
      </c>
      <c r="P117" s="49">
        <v>46245.0</v>
      </c>
      <c r="Q117" s="50"/>
      <c r="R117" s="51" t="str">
        <f t="shared" si="2"/>
        <v/>
      </c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</row>
    <row r="118">
      <c r="A118" s="67" t="b">
        <v>1</v>
      </c>
      <c r="B118" s="74">
        <v>46161.0</v>
      </c>
      <c r="C118" s="38" t="s">
        <v>280</v>
      </c>
      <c r="D118" s="36">
        <v>957.0</v>
      </c>
      <c r="E118" s="40">
        <f>IFERROR(__xludf.DUMMYFUNCTION("IF(C118="""", """", XLOOKUP(TRIM(C118), 'COTRATOS ALBUNS 25.2'!E:E, 'COTRATOS ALBUNS 25.2'!D:D, XLOOKUP(TRIM(C118), IMPORTRANGE(""16smdYggRVyzhu5y9HP2ayvW__ybkjb1nkVsCvZrByLM"", ""'COTRATOS 26.1'!B:B""), IMPORTRANGE(""16smdYggRVyzhu5y9HP2ayvW__ybkjb1nkVsC"&amp;"vZrByLM"", ""'COTRATOS 26.1'!A:A""), """")))"),88691.0)</f>
        <v>88691</v>
      </c>
      <c r="F118" s="41" t="s">
        <v>36</v>
      </c>
      <c r="G118" s="42" t="s">
        <v>57</v>
      </c>
      <c r="H118" s="43"/>
      <c r="I118" s="44" t="s">
        <v>281</v>
      </c>
      <c r="J118" s="5"/>
      <c r="K118" s="8" t="s">
        <v>6</v>
      </c>
      <c r="L118" s="8"/>
      <c r="M118" s="46" t="s">
        <v>8</v>
      </c>
      <c r="N118" s="47" t="b">
        <v>0</v>
      </c>
      <c r="O118" s="48">
        <f t="shared" si="1"/>
        <v>46178</v>
      </c>
      <c r="P118" s="49">
        <v>46219.0</v>
      </c>
      <c r="Q118" s="82"/>
      <c r="R118" s="51" t="str">
        <f t="shared" si="2"/>
        <v/>
      </c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</row>
    <row r="119">
      <c r="A119" s="67" t="b">
        <v>1</v>
      </c>
      <c r="B119" s="126">
        <v>46162.0</v>
      </c>
      <c r="C119" s="69" t="s">
        <v>282</v>
      </c>
      <c r="D119" s="70">
        <v>964.0</v>
      </c>
      <c r="E119" s="40">
        <f>IFERROR(__xludf.DUMMYFUNCTION("IF(C119="""", """", XLOOKUP(TRIM(C119), 'COTRATOS ALBUNS 25.2'!E:E, 'COTRATOS ALBUNS 25.2'!D:D, XLOOKUP(TRIM(C119), IMPORTRANGE(""16smdYggRVyzhu5y9HP2ayvW__ybkjb1nkVsCvZrByLM"", ""'COTRATOS 26.1'!B:B""), IMPORTRANGE(""16smdYggRVyzhu5y9HP2ayvW__ybkjb1nkVsC"&amp;"vZrByLM"", ""'COTRATOS 26.1'!A:A""), """")))"),86402.0)</f>
        <v>86402</v>
      </c>
      <c r="F119" s="71" t="s">
        <v>36</v>
      </c>
      <c r="G119" s="114"/>
      <c r="H119" s="43"/>
      <c r="I119" s="44" t="s">
        <v>283</v>
      </c>
      <c r="J119" s="5"/>
      <c r="K119" s="8" t="s">
        <v>13</v>
      </c>
      <c r="L119" s="8" t="s">
        <v>93</v>
      </c>
      <c r="M119" s="8" t="s">
        <v>8</v>
      </c>
      <c r="N119" s="63" t="b">
        <v>1</v>
      </c>
      <c r="O119" s="127">
        <f t="shared" si="1"/>
        <v>46179</v>
      </c>
      <c r="P119" s="60"/>
      <c r="Q119" s="93">
        <v>46297.0</v>
      </c>
      <c r="R119" s="76">
        <f t="shared" si="2"/>
        <v>46357</v>
      </c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</row>
    <row r="120">
      <c r="A120" s="36" t="b">
        <v>1</v>
      </c>
      <c r="B120" s="62">
        <v>46239.40217592593</v>
      </c>
      <c r="C120" s="38" t="s">
        <v>284</v>
      </c>
      <c r="D120" s="39">
        <v>988.0</v>
      </c>
      <c r="E120" s="40">
        <f>IFERROR(__xludf.DUMMYFUNCTION("IF(C120="""", """", XLOOKUP(TRIM(C120), 'COTRATOS ALBUNS 25.2'!E:E, 'COTRATOS ALBUNS 25.2'!D:D, XLOOKUP(TRIM(C120), IMPORTRANGE(""16smdYggRVyzhu5y9HP2ayvW__ybkjb1nkVsCvZrByLM"", ""'COTRATOS 26.1'!B:B""), IMPORTRANGE(""16smdYggRVyzhu5y9HP2ayvW__ybkjb1nkVsC"&amp;"vZrByLM"", ""'COTRATOS 26.1'!A:A""), """")))"),88609.0)</f>
        <v>88609</v>
      </c>
      <c r="F120" s="41" t="s">
        <v>66</v>
      </c>
      <c r="G120" s="42" t="s">
        <v>57</v>
      </c>
      <c r="H120" s="43"/>
      <c r="I120" s="44" t="s">
        <v>285</v>
      </c>
      <c r="J120" s="7"/>
      <c r="K120" s="8" t="s">
        <v>13</v>
      </c>
      <c r="L120" s="8" t="s">
        <v>218</v>
      </c>
      <c r="M120" s="8" t="s">
        <v>8</v>
      </c>
      <c r="N120" s="63" t="b">
        <v>1</v>
      </c>
      <c r="O120" s="64">
        <f t="shared" si="1"/>
        <v>46256.40218</v>
      </c>
      <c r="P120" s="49">
        <v>46297.0</v>
      </c>
      <c r="Q120" s="85">
        <v>46239.0</v>
      </c>
      <c r="R120" s="86">
        <f t="shared" si="2"/>
        <v>46299</v>
      </c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</row>
    <row r="121">
      <c r="A121" s="67" t="b">
        <v>1</v>
      </c>
      <c r="B121" s="68">
        <v>46210.49940972222</v>
      </c>
      <c r="C121" s="38" t="s">
        <v>286</v>
      </c>
      <c r="D121" s="36">
        <v>1172.0</v>
      </c>
      <c r="E121" s="40">
        <f>IFERROR(__xludf.DUMMYFUNCTION("IF(C121="""", """", XLOOKUP(TRIM(C121), 'COTRATOS ALBUNS 25.2'!E:E, 'COTRATOS ALBUNS 25.2'!D:D, XLOOKUP(TRIM(C121), IMPORTRANGE(""16smdYggRVyzhu5y9HP2ayvW__ybkjb1nkVsCvZrByLM"", ""'COTRATOS 26.1'!B:B""), IMPORTRANGE(""16smdYggRVyzhu5y9HP2ayvW__ybkjb1nkVsC"&amp;"vZrByLM"", ""'COTRATOS 26.1'!A:A""), """")))"),88827.0)</f>
        <v>88827</v>
      </c>
      <c r="F121" s="41" t="s">
        <v>36</v>
      </c>
      <c r="G121" s="42" t="s">
        <v>37</v>
      </c>
      <c r="H121" s="43"/>
      <c r="I121" s="44" t="s">
        <v>287</v>
      </c>
      <c r="J121" s="5"/>
      <c r="K121" s="8" t="s">
        <v>13</v>
      </c>
      <c r="L121" s="8" t="s">
        <v>121</v>
      </c>
      <c r="M121" s="5"/>
      <c r="N121" s="63" t="b">
        <v>1</v>
      </c>
      <c r="O121" s="64">
        <f t="shared" si="1"/>
        <v>46227.49941</v>
      </c>
      <c r="P121" s="49">
        <v>46297.0</v>
      </c>
      <c r="Q121" s="85">
        <v>46211.0</v>
      </c>
      <c r="R121" s="86">
        <f t="shared" si="2"/>
        <v>46271</v>
      </c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</row>
    <row r="122">
      <c r="A122" s="53" t="b">
        <v>1</v>
      </c>
      <c r="B122" s="54">
        <v>46296.0</v>
      </c>
      <c r="C122" s="55" t="s">
        <v>288</v>
      </c>
      <c r="D122" s="56">
        <v>971.0</v>
      </c>
      <c r="E122" s="40">
        <f>IFERROR(__xludf.DUMMYFUNCTION("IF(C122="""", """", XLOOKUP(TRIM(C122), 'COTRATOS ALBUNS 25.2'!E:E, 'COTRATOS ALBUNS 25.2'!D:D, XLOOKUP(TRIM(C122), IMPORTRANGE(""16smdYggRVyzhu5y9HP2ayvW__ybkjb1nkVsCvZrByLM"", ""'COTRATOS 26.1'!B:B""), IMPORTRANGE(""16smdYggRVyzhu5y9HP2ayvW__ybkjb1nkVsC"&amp;"vZrByLM"", ""'COTRATOS 26.1'!A:A""), """")))"),87438.0)</f>
        <v>87438</v>
      </c>
      <c r="F122" s="87" t="s">
        <v>289</v>
      </c>
      <c r="G122" s="42" t="s">
        <v>290</v>
      </c>
      <c r="H122" s="43"/>
      <c r="I122" s="58" t="s">
        <v>291</v>
      </c>
      <c r="J122" s="59"/>
      <c r="K122" s="53" t="s">
        <v>10</v>
      </c>
      <c r="L122" s="59"/>
      <c r="M122" s="59"/>
      <c r="N122" s="47" t="b">
        <v>0</v>
      </c>
      <c r="O122" s="48">
        <f t="shared" si="1"/>
        <v>46313</v>
      </c>
      <c r="P122" s="60"/>
      <c r="Q122" s="61"/>
      <c r="R122" s="51" t="str">
        <f t="shared" si="2"/>
        <v/>
      </c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</row>
    <row r="123">
      <c r="A123" s="53" t="b">
        <v>1</v>
      </c>
      <c r="B123" s="54">
        <v>46289.0</v>
      </c>
      <c r="C123" s="55" t="s">
        <v>292</v>
      </c>
      <c r="D123" s="56">
        <v>1066.0</v>
      </c>
      <c r="E123" s="40">
        <f>IFERROR(__xludf.DUMMYFUNCTION("IF(C123="""", """", XLOOKUP(TRIM(C123), 'COTRATOS ALBUNS 25.2'!E:E, 'COTRATOS ALBUNS 25.2'!D:D, XLOOKUP(TRIM(C123), IMPORTRANGE(""16smdYggRVyzhu5y9HP2ayvW__ybkjb1nkVsCvZrByLM"", ""'COTRATOS 26.1'!B:B""), IMPORTRANGE(""16smdYggRVyzhu5y9HP2ayvW__ybkjb1nkVsC"&amp;"vZrByLM"", ""'COTRATOS 26.1'!A:A""), """")))"),95060.0)</f>
        <v>95060</v>
      </c>
      <c r="F123" s="57" t="s">
        <v>44</v>
      </c>
      <c r="G123" s="42" t="s">
        <v>57</v>
      </c>
      <c r="H123" s="43"/>
      <c r="I123" s="58" t="s">
        <v>293</v>
      </c>
      <c r="J123" s="59"/>
      <c r="K123" s="53" t="s">
        <v>10</v>
      </c>
      <c r="L123" s="59"/>
      <c r="M123" s="59"/>
      <c r="N123" s="47" t="b">
        <v>0</v>
      </c>
      <c r="O123" s="48">
        <f t="shared" si="1"/>
        <v>46306</v>
      </c>
      <c r="P123" s="60"/>
      <c r="Q123" s="61"/>
      <c r="R123" s="51" t="str">
        <f t="shared" si="2"/>
        <v/>
      </c>
      <c r="S123" s="5"/>
      <c r="T123" s="5"/>
      <c r="U123" s="5"/>
      <c r="V123" s="5"/>
      <c r="W123" s="5"/>
      <c r="X123" s="5"/>
      <c r="Y123" s="5"/>
      <c r="Z123" s="5"/>
      <c r="AA123" s="52">
        <v>46288.508592557875</v>
      </c>
      <c r="AB123" s="5"/>
      <c r="AC123" s="5"/>
      <c r="AD123" s="5"/>
      <c r="AE123" s="5"/>
      <c r="AF123" s="5"/>
      <c r="AG123" s="5"/>
      <c r="AH123" s="5"/>
    </row>
    <row r="124">
      <c r="A124" s="53" t="b">
        <v>1</v>
      </c>
      <c r="B124" s="54">
        <v>46279.0</v>
      </c>
      <c r="C124" s="55" t="s">
        <v>294</v>
      </c>
      <c r="D124" s="84">
        <v>1172.0</v>
      </c>
      <c r="E124" s="40">
        <f>IFERROR(__xludf.DUMMYFUNCTION("IF(C124="""", """", XLOOKUP(TRIM(C124), 'COTRATOS ALBUNS 25.2'!E:E, 'COTRATOS ALBUNS 25.2'!D:D, XLOOKUP(TRIM(C124), IMPORTRANGE(""16smdYggRVyzhu5y9HP2ayvW__ybkjb1nkVsCvZrByLM"", ""'COTRATOS 26.1'!B:B""), IMPORTRANGE(""16smdYggRVyzhu5y9HP2ayvW__ybkjb1nkVsC"&amp;"vZrByLM"", ""'COTRATOS 26.1'!A:A""), """")))"),89054.0)</f>
        <v>89054</v>
      </c>
      <c r="F124" s="57" t="s">
        <v>66</v>
      </c>
      <c r="G124" s="42" t="s">
        <v>37</v>
      </c>
      <c r="H124" s="43"/>
      <c r="I124" s="58" t="s">
        <v>295</v>
      </c>
      <c r="J124" s="59"/>
      <c r="K124" s="53" t="s">
        <v>8</v>
      </c>
      <c r="L124" s="59"/>
      <c r="M124" s="53" t="s">
        <v>8</v>
      </c>
      <c r="N124" s="47" t="b">
        <v>0</v>
      </c>
      <c r="O124" s="48">
        <f t="shared" si="1"/>
        <v>46296</v>
      </c>
      <c r="P124" s="60"/>
      <c r="Q124" s="61"/>
      <c r="R124" s="51" t="str">
        <f t="shared" si="2"/>
        <v/>
      </c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</row>
    <row r="125">
      <c r="A125" s="53" t="b">
        <v>1</v>
      </c>
      <c r="B125" s="54">
        <v>46295.0</v>
      </c>
      <c r="C125" s="55" t="s">
        <v>296</v>
      </c>
      <c r="D125" s="56">
        <v>957.0</v>
      </c>
      <c r="E125" s="40">
        <f>IFERROR(__xludf.DUMMYFUNCTION("IF(C125="""", """", XLOOKUP(TRIM(C125), 'COTRATOS ALBUNS 25.2'!E:E, 'COTRATOS ALBUNS 25.2'!D:D, XLOOKUP(TRIM(C125), IMPORTRANGE(""16smdYggRVyzhu5y9HP2ayvW__ybkjb1nkVsCvZrByLM"", ""'COTRATOS 26.1'!B:B""), IMPORTRANGE(""16smdYggRVyzhu5y9HP2ayvW__ybkjb1nkVsC"&amp;"vZrByLM"", ""'COTRATOS 26.1'!A:A""), """")))"),90034.0)</f>
        <v>90034</v>
      </c>
      <c r="F125" s="87" t="s">
        <v>66</v>
      </c>
      <c r="G125" s="42" t="s">
        <v>87</v>
      </c>
      <c r="H125" s="43"/>
      <c r="I125" s="58" t="s">
        <v>297</v>
      </c>
      <c r="J125" s="59"/>
      <c r="K125" s="53" t="s">
        <v>10</v>
      </c>
      <c r="L125" s="59"/>
      <c r="M125" s="59"/>
      <c r="N125" s="47" t="b">
        <v>0</v>
      </c>
      <c r="O125" s="48">
        <f t="shared" si="1"/>
        <v>46312</v>
      </c>
      <c r="P125" s="60"/>
      <c r="Q125" s="61"/>
      <c r="R125" s="51" t="str">
        <f t="shared" si="2"/>
        <v/>
      </c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</row>
    <row r="126">
      <c r="A126" s="36" t="b">
        <v>1</v>
      </c>
      <c r="B126" s="62">
        <v>46246.55255787037</v>
      </c>
      <c r="C126" s="38" t="s">
        <v>298</v>
      </c>
      <c r="D126" s="39">
        <v>1172.0</v>
      </c>
      <c r="E126" s="40">
        <f>IFERROR(__xludf.DUMMYFUNCTION("IF(C126="""", """", XLOOKUP(TRIM(C126), 'COTRATOS ALBUNS 25.2'!E:E, 'COTRATOS ALBUNS 25.2'!D:D, XLOOKUP(TRIM(C126), IMPORTRANGE(""16smdYggRVyzhu5y9HP2ayvW__ybkjb1nkVsCvZrByLM"", ""'COTRATOS 26.1'!B:B""), IMPORTRANGE(""16smdYggRVyzhu5y9HP2ayvW__ybkjb1nkVsC"&amp;"vZrByLM"", ""'COTRATOS 26.1'!A:A""), """")))"),88008.0)</f>
        <v>88008</v>
      </c>
      <c r="F126" s="41" t="s">
        <v>66</v>
      </c>
      <c r="G126" s="42" t="s">
        <v>91</v>
      </c>
      <c r="H126" s="43"/>
      <c r="I126" s="44" t="s">
        <v>299</v>
      </c>
      <c r="J126" s="7"/>
      <c r="K126" s="8" t="s">
        <v>13</v>
      </c>
      <c r="L126" s="8" t="s">
        <v>218</v>
      </c>
      <c r="M126" s="46" t="s">
        <v>8</v>
      </c>
      <c r="N126" s="63" t="b">
        <v>1</v>
      </c>
      <c r="O126" s="64">
        <f t="shared" si="1"/>
        <v>46263.55256</v>
      </c>
      <c r="P126" s="49">
        <v>46297.0</v>
      </c>
      <c r="Q126" s="50">
        <v>46247.0</v>
      </c>
      <c r="R126" s="86">
        <f t="shared" si="2"/>
        <v>46307</v>
      </c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</row>
    <row r="127">
      <c r="A127" s="67" t="b">
        <v>1</v>
      </c>
      <c r="B127" s="68">
        <v>46268.42590277777</v>
      </c>
      <c r="C127" s="69" t="s">
        <v>300</v>
      </c>
      <c r="D127" s="70">
        <v>994.0</v>
      </c>
      <c r="E127" s="40">
        <f>IFERROR(__xludf.DUMMYFUNCTION("IF(C127="""", """", XLOOKUP(TRIM(C127), 'COTRATOS ALBUNS 25.2'!E:E, 'COTRATOS ALBUNS 25.2'!D:D, XLOOKUP(TRIM(C127), IMPORTRANGE(""16smdYggRVyzhu5y9HP2ayvW__ybkjb1nkVsCvZrByLM"", ""'COTRATOS 26.1'!B:B""), IMPORTRANGE(""16smdYggRVyzhu5y9HP2ayvW__ybkjb1nkVsC"&amp;"vZrByLM"", ""'COTRATOS 26.1'!A:A""), """")))"),88931.0)</f>
        <v>88931</v>
      </c>
      <c r="F127" s="71" t="s">
        <v>36</v>
      </c>
      <c r="G127" s="42" t="s">
        <v>57</v>
      </c>
      <c r="H127" s="43"/>
      <c r="I127" s="44" t="s">
        <v>301</v>
      </c>
      <c r="J127" s="5"/>
      <c r="K127" s="8" t="s">
        <v>13</v>
      </c>
      <c r="L127" s="8" t="s">
        <v>50</v>
      </c>
      <c r="M127" s="8" t="s">
        <v>8</v>
      </c>
      <c r="N127" s="63" t="b">
        <v>1</v>
      </c>
      <c r="O127" s="64">
        <f t="shared" si="1"/>
        <v>46285.4259</v>
      </c>
      <c r="P127" s="49">
        <v>46297.0</v>
      </c>
      <c r="Q127" s="72">
        <f>B127</f>
        <v>46268.4259</v>
      </c>
      <c r="R127" s="73">
        <f t="shared" si="2"/>
        <v>46328.4259</v>
      </c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</row>
    <row r="128">
      <c r="A128" s="36" t="b">
        <v>1</v>
      </c>
      <c r="B128" s="94">
        <v>46220.38078703704</v>
      </c>
      <c r="C128" s="38" t="s">
        <v>302</v>
      </c>
      <c r="D128" s="36">
        <v>1019.0</v>
      </c>
      <c r="E128" s="40">
        <f>IFERROR(__xludf.DUMMYFUNCTION("IF(C128="""", """", XLOOKUP(TRIM(C128), 'COTRATOS ALBUNS 25.2'!E:E, 'COTRATOS ALBUNS 25.2'!D:D, XLOOKUP(TRIM(C128), IMPORTRANGE(""16smdYggRVyzhu5y9HP2ayvW__ybkjb1nkVsCvZrByLM"", ""'COTRATOS 26.1'!B:B""), IMPORTRANGE(""16smdYggRVyzhu5y9HP2ayvW__ybkjb1nkVsC"&amp;"vZrByLM"", ""'COTRATOS 26.1'!A:A""), """")))"),87565.0)</f>
        <v>87565</v>
      </c>
      <c r="F128" s="41" t="s">
        <v>36</v>
      </c>
      <c r="G128" s="42" t="s">
        <v>67</v>
      </c>
      <c r="H128" s="43"/>
      <c r="I128" s="44" t="s">
        <v>303</v>
      </c>
      <c r="J128" s="5"/>
      <c r="K128" s="8" t="s">
        <v>13</v>
      </c>
      <c r="L128" s="103" t="s">
        <v>69</v>
      </c>
      <c r="M128" s="5"/>
      <c r="N128" s="63" t="b">
        <v>1</v>
      </c>
      <c r="O128" s="64">
        <f t="shared" si="1"/>
        <v>46237.38079</v>
      </c>
      <c r="P128" s="49">
        <v>46297.0</v>
      </c>
      <c r="Q128" s="85">
        <v>46220.0</v>
      </c>
      <c r="R128" s="86">
        <f t="shared" si="2"/>
        <v>46280</v>
      </c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</row>
    <row r="129">
      <c r="A129" s="53" t="b">
        <v>1</v>
      </c>
      <c r="B129" s="54">
        <v>46296.0</v>
      </c>
      <c r="C129" s="128" t="s">
        <v>304</v>
      </c>
      <c r="D129" s="56">
        <v>1179.0</v>
      </c>
      <c r="E129" s="40">
        <f>IFERROR(__xludf.DUMMYFUNCTION("IF(C129="""", """", XLOOKUP(TRIM(C129), 'COTRATOS ALBUNS 25.2'!E:E, 'COTRATOS ALBUNS 25.2'!D:D, XLOOKUP(TRIM(C129), IMPORTRANGE(""16smdYggRVyzhu5y9HP2ayvW__ybkjb1nkVsCvZrByLM"", ""'COTRATOS 26.1'!B:B""), IMPORTRANGE(""16smdYggRVyzhu5y9HP2ayvW__ybkjb1nkVsC"&amp;"vZrByLM"", ""'COTRATOS 26.1'!A:A""), """")))"),94517.0)</f>
        <v>94517</v>
      </c>
      <c r="F129" s="87" t="s">
        <v>44</v>
      </c>
      <c r="G129" s="42" t="s">
        <v>57</v>
      </c>
      <c r="H129" s="43"/>
      <c r="I129" s="58" t="s">
        <v>305</v>
      </c>
      <c r="J129" s="59"/>
      <c r="K129" s="53" t="s">
        <v>17</v>
      </c>
      <c r="L129" s="59"/>
      <c r="M129" s="59"/>
      <c r="N129" s="47" t="b">
        <v>0</v>
      </c>
      <c r="O129" s="48">
        <f t="shared" si="1"/>
        <v>46313</v>
      </c>
      <c r="P129" s="60"/>
      <c r="Q129" s="61"/>
      <c r="R129" s="51" t="str">
        <f t="shared" si="2"/>
        <v/>
      </c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</row>
    <row r="130">
      <c r="A130" s="67" t="b">
        <v>1</v>
      </c>
      <c r="B130" s="74">
        <v>46297.0</v>
      </c>
      <c r="C130" s="38" t="s">
        <v>306</v>
      </c>
      <c r="D130" s="36">
        <v>850.0</v>
      </c>
      <c r="E130" s="40">
        <f>IFERROR(__xludf.DUMMYFUNCTION("IF(C130="""", """", XLOOKUP(TRIM(C130), 'COTRATOS ALBUNS 25.2'!E:E, 'COTRATOS ALBUNS 25.2'!D:D, XLOOKUP(TRIM(C130), IMPORTRANGE(""16smdYggRVyzhu5y9HP2ayvW__ybkjb1nkVsCvZrByLM"", ""'COTRATOS 26.1'!B:B""), IMPORTRANGE(""16smdYggRVyzhu5y9HP2ayvW__ybkjb1nkVsC"&amp;"vZrByLM"", ""'COTRATOS 26.1'!A:A""), """")))"),86720.0)</f>
        <v>86720</v>
      </c>
      <c r="F130" s="41" t="s">
        <v>36</v>
      </c>
      <c r="G130" s="42" t="s">
        <v>91</v>
      </c>
      <c r="H130" s="43"/>
      <c r="I130" s="44" t="s">
        <v>307</v>
      </c>
      <c r="J130" s="5"/>
      <c r="K130" s="8" t="s">
        <v>14</v>
      </c>
      <c r="L130" s="8" t="s">
        <v>132</v>
      </c>
      <c r="M130" s="46" t="s">
        <v>8</v>
      </c>
      <c r="N130" s="47" t="b">
        <v>0</v>
      </c>
      <c r="O130" s="48">
        <f t="shared" si="1"/>
        <v>46314</v>
      </c>
      <c r="P130" s="49">
        <v>46297.0</v>
      </c>
      <c r="Q130" s="93">
        <v>46275.0</v>
      </c>
      <c r="R130" s="76">
        <f t="shared" si="2"/>
        <v>46335</v>
      </c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</row>
    <row r="131">
      <c r="A131" s="67" t="b">
        <v>1</v>
      </c>
      <c r="B131" s="68">
        <v>46239.632013888884</v>
      </c>
      <c r="C131" s="69" t="s">
        <v>308</v>
      </c>
      <c r="D131" s="70">
        <v>968.0</v>
      </c>
      <c r="E131" s="40">
        <f>IFERROR(__xludf.DUMMYFUNCTION("IF(C131="""", """", XLOOKUP(TRIM(C131), 'COTRATOS ALBUNS 25.2'!E:E, 'COTRATOS ALBUNS 25.2'!D:D, XLOOKUP(TRIM(C131), IMPORTRANGE(""16smdYggRVyzhu5y9HP2ayvW__ybkjb1nkVsCvZrByLM"", ""'COTRATOS 26.1'!B:B""), IMPORTRANGE(""16smdYggRVyzhu5y9HP2ayvW__ybkjb1nkVsC"&amp;"vZrByLM"", ""'COTRATOS 26.1'!A:A""), """")))"),87610.0)</f>
        <v>87610</v>
      </c>
      <c r="F131" s="71" t="s">
        <v>36</v>
      </c>
      <c r="G131" s="42" t="s">
        <v>71</v>
      </c>
      <c r="H131" s="43"/>
      <c r="I131" s="44" t="s">
        <v>309</v>
      </c>
      <c r="J131" s="5"/>
      <c r="K131" s="8" t="s">
        <v>13</v>
      </c>
      <c r="L131" s="8" t="s">
        <v>218</v>
      </c>
      <c r="M131" s="8" t="s">
        <v>8</v>
      </c>
      <c r="N131" s="63" t="b">
        <v>1</v>
      </c>
      <c r="O131" s="64">
        <f t="shared" si="1"/>
        <v>46256.63201</v>
      </c>
      <c r="P131" s="49">
        <v>46297.0</v>
      </c>
      <c r="Q131" s="85">
        <v>46239.0</v>
      </c>
      <c r="R131" s="86">
        <f t="shared" si="2"/>
        <v>46299</v>
      </c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</row>
    <row r="132">
      <c r="A132" s="67" t="b">
        <v>1</v>
      </c>
      <c r="B132" s="74">
        <v>46135.0</v>
      </c>
      <c r="C132" s="38" t="s">
        <v>310</v>
      </c>
      <c r="D132" s="36">
        <v>1172.0</v>
      </c>
      <c r="E132" s="40">
        <f>IFERROR(__xludf.DUMMYFUNCTION("IF(C132="""", """", XLOOKUP(TRIM(C132), 'COTRATOS ALBUNS 25.2'!E:E, 'COTRATOS ALBUNS 25.2'!D:D, XLOOKUP(TRIM(C132), IMPORTRANGE(""16smdYggRVyzhu5y9HP2ayvW__ybkjb1nkVsCvZrByLM"", ""'COTRATOS 26.1'!B:B""), IMPORTRANGE(""16smdYggRVyzhu5y9HP2ayvW__ybkjb1nkVsC"&amp;"vZrByLM"", ""'COTRATOS 26.1'!A:A""), """")))"),87086.0)</f>
        <v>87086</v>
      </c>
      <c r="F132" s="41" t="s">
        <v>66</v>
      </c>
      <c r="G132" s="42" t="s">
        <v>37</v>
      </c>
      <c r="H132" s="43"/>
      <c r="I132" s="44" t="s">
        <v>311</v>
      </c>
      <c r="J132" s="5"/>
      <c r="K132" s="53" t="s">
        <v>6</v>
      </c>
      <c r="L132" s="45"/>
      <c r="M132" s="46" t="s">
        <v>8</v>
      </c>
      <c r="N132" s="47" t="b">
        <v>0</v>
      </c>
      <c r="O132" s="48">
        <f t="shared" si="1"/>
        <v>46152</v>
      </c>
      <c r="P132" s="107">
        <v>46288.5069212963</v>
      </c>
      <c r="Q132" s="104"/>
      <c r="R132" s="51" t="str">
        <f t="shared" si="2"/>
        <v/>
      </c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</row>
    <row r="133">
      <c r="A133" s="67" t="b">
        <v>1</v>
      </c>
      <c r="B133" s="68">
        <v>46275.75148148148</v>
      </c>
      <c r="C133" s="38" t="s">
        <v>312</v>
      </c>
      <c r="D133" s="36">
        <v>1161.0</v>
      </c>
      <c r="E133" s="40">
        <f>IFERROR(__xludf.DUMMYFUNCTION("IF(C133="""", """", XLOOKUP(TRIM(C133), 'COTRATOS ALBUNS 25.2'!E:E, 'COTRATOS ALBUNS 25.2'!D:D, XLOOKUP(TRIM(C133), IMPORTRANGE(""16smdYggRVyzhu5y9HP2ayvW__ybkjb1nkVsCvZrByLM"", ""'COTRATOS 26.1'!B:B""), IMPORTRANGE(""16smdYggRVyzhu5y9HP2ayvW__ybkjb1nkVsC"&amp;"vZrByLM"", ""'COTRATOS 26.1'!A:A""), """")))"),86513.0)</f>
        <v>86513</v>
      </c>
      <c r="F133" s="41" t="s">
        <v>36</v>
      </c>
      <c r="G133" s="42" t="s">
        <v>313</v>
      </c>
      <c r="H133" s="43"/>
      <c r="I133" s="44" t="s">
        <v>314</v>
      </c>
      <c r="J133" s="5"/>
      <c r="K133" s="8" t="s">
        <v>13</v>
      </c>
      <c r="L133" s="8" t="s">
        <v>69</v>
      </c>
      <c r="M133" s="5"/>
      <c r="N133" s="63" t="b">
        <v>1</v>
      </c>
      <c r="O133" s="64">
        <f t="shared" si="1"/>
        <v>46292.75148</v>
      </c>
      <c r="P133" s="49">
        <v>46280.0</v>
      </c>
      <c r="Q133" s="85">
        <v>46219.0</v>
      </c>
      <c r="R133" s="86">
        <f t="shared" si="2"/>
        <v>46279</v>
      </c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</row>
    <row r="134">
      <c r="A134" s="36" t="b">
        <v>1</v>
      </c>
      <c r="B134" s="62">
        <v>46231.983715277776</v>
      </c>
      <c r="C134" s="38" t="s">
        <v>315</v>
      </c>
      <c r="D134" s="39">
        <v>1084.0</v>
      </c>
      <c r="E134" s="40">
        <f>IFERROR(__xludf.DUMMYFUNCTION("IF(C134="""", """", XLOOKUP(TRIM(C134), 'COTRATOS ALBUNS 25.2'!E:E, 'COTRATOS ALBUNS 25.2'!D:D, XLOOKUP(TRIM(C134), IMPORTRANGE(""16smdYggRVyzhu5y9HP2ayvW__ybkjb1nkVsCvZrByLM"", ""'COTRATOS 26.1'!B:B""), IMPORTRANGE(""16smdYggRVyzhu5y9HP2ayvW__ybkjb1nkVsC"&amp;"vZrByLM"", ""'COTRATOS 26.1'!A:A""), """")))"),86777.0)</f>
        <v>86777</v>
      </c>
      <c r="F134" s="41" t="s">
        <v>36</v>
      </c>
      <c r="G134" s="42" t="s">
        <v>207</v>
      </c>
      <c r="H134" s="43"/>
      <c r="I134" s="44" t="s">
        <v>316</v>
      </c>
      <c r="J134" s="7"/>
      <c r="K134" s="8" t="s">
        <v>13</v>
      </c>
      <c r="L134" s="8" t="s">
        <v>193</v>
      </c>
      <c r="M134" s="8" t="s">
        <v>8</v>
      </c>
      <c r="N134" s="63" t="b">
        <v>1</v>
      </c>
      <c r="O134" s="64">
        <f t="shared" si="1"/>
        <v>46248.98372</v>
      </c>
      <c r="P134" s="49">
        <v>46297.0</v>
      </c>
      <c r="Q134" s="50">
        <v>46245.0</v>
      </c>
      <c r="R134" s="86">
        <f t="shared" si="2"/>
        <v>46305</v>
      </c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</row>
    <row r="135">
      <c r="A135" s="67" t="b">
        <v>1</v>
      </c>
      <c r="B135" s="68">
        <v>46268.42609953704</v>
      </c>
      <c r="C135" s="69" t="s">
        <v>317</v>
      </c>
      <c r="D135" s="70">
        <v>1084.0</v>
      </c>
      <c r="E135" s="40">
        <f>IFERROR(__xludf.DUMMYFUNCTION("IF(C135="""", """", XLOOKUP(TRIM(C135), 'COTRATOS ALBUNS 25.2'!E:E, 'COTRATOS ALBUNS 25.2'!D:D, XLOOKUP(TRIM(C135), IMPORTRANGE(""16smdYggRVyzhu5y9HP2ayvW__ybkjb1nkVsCvZrByLM"", ""'COTRATOS 26.1'!B:B""), IMPORTRANGE(""16smdYggRVyzhu5y9HP2ayvW__ybkjb1nkVsC"&amp;"vZrByLM"", ""'COTRATOS 26.1'!A:A""), """")))"),86772.0)</f>
        <v>86772</v>
      </c>
      <c r="F135" s="71" t="s">
        <v>66</v>
      </c>
      <c r="G135" s="42" t="s">
        <v>207</v>
      </c>
      <c r="H135" s="43"/>
      <c r="I135" s="44" t="s">
        <v>318</v>
      </c>
      <c r="J135" s="5"/>
      <c r="K135" s="8" t="s">
        <v>13</v>
      </c>
      <c r="L135" s="8" t="s">
        <v>50</v>
      </c>
      <c r="M135" s="8" t="s">
        <v>8</v>
      </c>
      <c r="N135" s="63" t="b">
        <v>1</v>
      </c>
      <c r="O135" s="64">
        <f t="shared" si="1"/>
        <v>46285.4261</v>
      </c>
      <c r="P135" s="49">
        <v>46297.0</v>
      </c>
      <c r="Q135" s="72">
        <f>B135</f>
        <v>46268.4261</v>
      </c>
      <c r="R135" s="73">
        <f t="shared" si="2"/>
        <v>46328.4261</v>
      </c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</row>
    <row r="136">
      <c r="A136" s="67" t="b">
        <v>1</v>
      </c>
      <c r="B136" s="68">
        <v>46216.440289351856</v>
      </c>
      <c r="C136" s="38" t="s">
        <v>319</v>
      </c>
      <c r="D136" s="36">
        <v>957.0</v>
      </c>
      <c r="E136" s="40">
        <f>IFERROR(__xludf.DUMMYFUNCTION("IF(C136="""", """", XLOOKUP(TRIM(C136), 'COTRATOS ALBUNS 25.2'!E:E, 'COTRATOS ALBUNS 25.2'!D:D, XLOOKUP(TRIM(C136), IMPORTRANGE(""16smdYggRVyzhu5y9HP2ayvW__ybkjb1nkVsCvZrByLM"", ""'COTRATOS 26.1'!B:B""), IMPORTRANGE(""16smdYggRVyzhu5y9HP2ayvW__ybkjb1nkVsC"&amp;"vZrByLM"", ""'COTRATOS 26.1'!A:A""), """")))"),59307.0)</f>
        <v>59307</v>
      </c>
      <c r="F136" s="41" t="s">
        <v>36</v>
      </c>
      <c r="G136" s="42" t="s">
        <v>45</v>
      </c>
      <c r="H136" s="43"/>
      <c r="I136" s="44" t="s">
        <v>320</v>
      </c>
      <c r="J136" s="5"/>
      <c r="K136" s="8" t="s">
        <v>13</v>
      </c>
      <c r="L136" s="8" t="s">
        <v>121</v>
      </c>
      <c r="M136" s="5"/>
      <c r="N136" s="63" t="b">
        <v>1</v>
      </c>
      <c r="O136" s="64">
        <f t="shared" si="1"/>
        <v>46233.44029</v>
      </c>
      <c r="P136" s="49">
        <v>46297.0</v>
      </c>
      <c r="Q136" s="85">
        <v>46216.0</v>
      </c>
      <c r="R136" s="86">
        <f t="shared" si="2"/>
        <v>46276</v>
      </c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</row>
    <row r="137">
      <c r="A137" s="36" t="b">
        <v>1</v>
      </c>
      <c r="B137" s="37">
        <v>46203.0</v>
      </c>
      <c r="C137" s="38" t="s">
        <v>321</v>
      </c>
      <c r="D137" s="39">
        <v>1084.0</v>
      </c>
      <c r="E137" s="40">
        <f>IFERROR(__xludf.DUMMYFUNCTION("IF(C137="""", """", XLOOKUP(TRIM(C137), 'COTRATOS ALBUNS 25.2'!E:E, 'COTRATOS ALBUNS 25.2'!D:D, XLOOKUP(TRIM(C137), IMPORTRANGE(""16smdYggRVyzhu5y9HP2ayvW__ybkjb1nkVsCvZrByLM"", ""'COTRATOS 26.1'!B:B""), IMPORTRANGE(""16smdYggRVyzhu5y9HP2ayvW__ybkjb1nkVsC"&amp;"vZrByLM"", ""'COTRATOS 26.1'!A:A""), """")))"),85972.0)</f>
        <v>85972</v>
      </c>
      <c r="F137" s="41" t="s">
        <v>36</v>
      </c>
      <c r="G137" s="42" t="s">
        <v>37</v>
      </c>
      <c r="H137" s="43"/>
      <c r="I137" s="44" t="s">
        <v>322</v>
      </c>
      <c r="J137" s="7"/>
      <c r="K137" s="8" t="s">
        <v>6</v>
      </c>
      <c r="L137" s="108"/>
      <c r="M137" s="46" t="s">
        <v>8</v>
      </c>
      <c r="N137" s="47" t="b">
        <v>0</v>
      </c>
      <c r="O137" s="48">
        <f t="shared" si="1"/>
        <v>46220</v>
      </c>
      <c r="P137" s="49">
        <v>46245.0</v>
      </c>
      <c r="Q137" s="50"/>
      <c r="R137" s="51" t="str">
        <f t="shared" si="2"/>
        <v/>
      </c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</row>
    <row r="138">
      <c r="A138" s="53" t="b">
        <v>1</v>
      </c>
      <c r="B138" s="54">
        <v>46281.0</v>
      </c>
      <c r="C138" s="83" t="s">
        <v>323</v>
      </c>
      <c r="D138" s="84">
        <v>1172.0</v>
      </c>
      <c r="E138" s="40">
        <f>IFERROR(__xludf.DUMMYFUNCTION("IF(C138="""", """", XLOOKUP(TRIM(C138), 'COTRATOS ALBUNS 25.2'!E:E, 'COTRATOS ALBUNS 25.2'!D:D, XLOOKUP(TRIM(C138), IMPORTRANGE(""16smdYggRVyzhu5y9HP2ayvW__ybkjb1nkVsCvZrByLM"", ""'COTRATOS 26.1'!B:B""), IMPORTRANGE(""16smdYggRVyzhu5y9HP2ayvW__ybkjb1nkVsC"&amp;"vZrByLM"", ""'COTRATOS 26.1'!A:A""), """")))"),86030.0)</f>
        <v>86030</v>
      </c>
      <c r="F138" s="109" t="s">
        <v>36</v>
      </c>
      <c r="G138" s="42" t="s">
        <v>57</v>
      </c>
      <c r="H138" s="43"/>
      <c r="I138" s="58" t="s">
        <v>324</v>
      </c>
      <c r="J138" s="59"/>
      <c r="K138" s="53" t="s">
        <v>6</v>
      </c>
      <c r="L138" s="59"/>
      <c r="M138" s="53" t="s">
        <v>8</v>
      </c>
      <c r="N138" s="47" t="b">
        <v>0</v>
      </c>
      <c r="O138" s="48">
        <f t="shared" si="1"/>
        <v>46298</v>
      </c>
      <c r="P138" s="49">
        <v>46309.0</v>
      </c>
      <c r="Q138" s="61"/>
      <c r="R138" s="51" t="str">
        <f t="shared" si="2"/>
        <v/>
      </c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</row>
    <row r="139">
      <c r="A139" s="67" t="b">
        <v>1</v>
      </c>
      <c r="B139" s="68">
        <v>46268.42555555556</v>
      </c>
      <c r="C139" s="69" t="s">
        <v>325</v>
      </c>
      <c r="D139" s="70">
        <v>895.0</v>
      </c>
      <c r="E139" s="40">
        <f>IFERROR(__xludf.DUMMYFUNCTION("IF(C139="""", """", XLOOKUP(TRIM(C139), 'COTRATOS ALBUNS 25.2'!E:E, 'COTRATOS ALBUNS 25.2'!D:D, XLOOKUP(TRIM(C139), IMPORTRANGE(""16smdYggRVyzhu5y9HP2ayvW__ybkjb1nkVsCvZrByLM"", ""'COTRATOS 26.1'!B:B""), IMPORTRANGE(""16smdYggRVyzhu5y9HP2ayvW__ybkjb1nkVsC"&amp;"vZrByLM"", ""'COTRATOS 26.1'!A:A""), """")))"),79479.0)</f>
        <v>79479</v>
      </c>
      <c r="F139" s="71" t="s">
        <v>36</v>
      </c>
      <c r="G139" s="42" t="s">
        <v>41</v>
      </c>
      <c r="H139" s="43"/>
      <c r="I139" s="44" t="s">
        <v>326</v>
      </c>
      <c r="J139" s="5"/>
      <c r="K139" s="8" t="s">
        <v>13</v>
      </c>
      <c r="L139" s="8" t="s">
        <v>50</v>
      </c>
      <c r="M139" s="8" t="s">
        <v>8</v>
      </c>
      <c r="N139" s="63" t="b">
        <v>1</v>
      </c>
      <c r="O139" s="64">
        <f t="shared" si="1"/>
        <v>46285.42556</v>
      </c>
      <c r="P139" s="49">
        <v>46297.0</v>
      </c>
      <c r="Q139" s="72">
        <f>B139</f>
        <v>46268.42556</v>
      </c>
      <c r="R139" s="73">
        <f t="shared" si="2"/>
        <v>46328.42556</v>
      </c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</row>
    <row r="140">
      <c r="A140" s="53" t="b">
        <v>1</v>
      </c>
      <c r="B140" s="54">
        <v>46286.0</v>
      </c>
      <c r="C140" s="83" t="s">
        <v>327</v>
      </c>
      <c r="D140" s="84">
        <v>994.0</v>
      </c>
      <c r="E140" s="102">
        <v>85964.0</v>
      </c>
      <c r="F140" s="57" t="s">
        <v>56</v>
      </c>
      <c r="G140" s="42" t="s">
        <v>45</v>
      </c>
      <c r="H140" s="43"/>
      <c r="I140" s="58" t="s">
        <v>328</v>
      </c>
      <c r="J140" s="59"/>
      <c r="K140" s="53" t="s">
        <v>10</v>
      </c>
      <c r="L140" s="59"/>
      <c r="M140" s="59"/>
      <c r="N140" s="47" t="b">
        <v>0</v>
      </c>
      <c r="O140" s="48">
        <f t="shared" si="1"/>
        <v>46303</v>
      </c>
      <c r="P140" s="60"/>
      <c r="Q140" s="61"/>
      <c r="R140" s="51" t="str">
        <f t="shared" si="2"/>
        <v/>
      </c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</row>
    <row r="141">
      <c r="A141" s="56" t="b">
        <v>1</v>
      </c>
      <c r="B141" s="110">
        <v>46263.0</v>
      </c>
      <c r="C141" s="98" t="s">
        <v>329</v>
      </c>
      <c r="D141" s="92">
        <v>1093.0</v>
      </c>
      <c r="E141" s="40">
        <f>IFERROR(__xludf.DUMMYFUNCTION("IF(C141="""", """", XLOOKUP(TRIM(C141), 'COTRATOS ALBUNS 25.2'!E:E, 'COTRATOS ALBUNS 25.2'!D:D, XLOOKUP(TRIM(C141), IMPORTRANGE(""16smdYggRVyzhu5y9HP2ayvW__ybkjb1nkVsCvZrByLM"", ""'COTRATOS 26.1'!B:B""), IMPORTRANGE(""16smdYggRVyzhu5y9HP2ayvW__ybkjb1nkVsC"&amp;"vZrByLM"", ""'COTRATOS 26.1'!A:A""), """")))"),95113.0)</f>
        <v>95113</v>
      </c>
      <c r="F141" s="57" t="s">
        <v>44</v>
      </c>
      <c r="G141" s="42" t="s">
        <v>175</v>
      </c>
      <c r="H141" s="43"/>
      <c r="I141" s="58" t="s">
        <v>330</v>
      </c>
      <c r="J141" s="59"/>
      <c r="K141" s="53" t="s">
        <v>12</v>
      </c>
      <c r="L141" s="59"/>
      <c r="M141" s="53" t="s">
        <v>8</v>
      </c>
      <c r="N141" s="47" t="b">
        <v>0</v>
      </c>
      <c r="O141" s="48">
        <f t="shared" si="1"/>
        <v>46280</v>
      </c>
      <c r="P141" s="60"/>
      <c r="Q141" s="61"/>
      <c r="R141" s="51" t="str">
        <f t="shared" si="2"/>
        <v/>
      </c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</row>
    <row r="142">
      <c r="A142" s="53" t="b">
        <v>1</v>
      </c>
      <c r="B142" s="54">
        <v>46297.0</v>
      </c>
      <c r="C142" s="55" t="s">
        <v>331</v>
      </c>
      <c r="D142" s="56">
        <v>855.0</v>
      </c>
      <c r="E142" s="40">
        <f>IFERROR(__xludf.DUMMYFUNCTION("IF(C142="""", """", XLOOKUP(TRIM(C142), 'COTRATOS ALBUNS 25.2'!E:E, 'COTRATOS ALBUNS 25.2'!D:D, XLOOKUP(TRIM(C142), IMPORTRANGE(""16smdYggRVyzhu5y9HP2ayvW__ybkjb1nkVsCvZrByLM"", ""'COTRATOS 26.1'!B:B""), IMPORTRANGE(""16smdYggRVyzhu5y9HP2ayvW__ybkjb1nkVsC"&amp;"vZrByLM"", ""'COTRATOS 26.1'!A:A""), """")))"),84876.0)</f>
        <v>84876</v>
      </c>
      <c r="F142" s="87" t="s">
        <v>289</v>
      </c>
      <c r="G142" s="42" t="s">
        <v>117</v>
      </c>
      <c r="H142" s="43"/>
      <c r="I142" s="58" t="s">
        <v>332</v>
      </c>
      <c r="J142" s="59"/>
      <c r="K142" s="53" t="s">
        <v>10</v>
      </c>
      <c r="L142" s="59"/>
      <c r="M142" s="59"/>
      <c r="N142" s="47" t="b">
        <v>0</v>
      </c>
      <c r="O142" s="48">
        <f t="shared" si="1"/>
        <v>46314</v>
      </c>
      <c r="P142" s="60"/>
      <c r="Q142" s="61"/>
      <c r="R142" s="51" t="str">
        <f t="shared" si="2"/>
        <v/>
      </c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</row>
    <row r="143">
      <c r="A143" s="67" t="b">
        <v>1</v>
      </c>
      <c r="B143" s="74">
        <v>46297.0</v>
      </c>
      <c r="C143" s="38" t="s">
        <v>333</v>
      </c>
      <c r="D143" s="36">
        <v>1172.0</v>
      </c>
      <c r="E143" s="40">
        <f>IFERROR(__xludf.DUMMYFUNCTION("IF(C143="""", """", XLOOKUP(TRIM(C143), 'COTRATOS ALBUNS 25.2'!E:E, 'COTRATOS ALBUNS 25.2'!D:D, XLOOKUP(TRIM(C143), IMPORTRANGE(""16smdYggRVyzhu5y9HP2ayvW__ybkjb1nkVsCvZrByLM"", ""'COTRATOS 26.1'!B:B""), IMPORTRANGE(""16smdYggRVyzhu5y9HP2ayvW__ybkjb1nkVsC"&amp;"vZrByLM"", ""'COTRATOS 26.1'!A:A""), """")))"),85331.0)</f>
        <v>85331</v>
      </c>
      <c r="F143" s="41" t="s">
        <v>36</v>
      </c>
      <c r="G143" s="42" t="s">
        <v>52</v>
      </c>
      <c r="H143" s="43"/>
      <c r="I143" s="44" t="s">
        <v>334</v>
      </c>
      <c r="J143" s="5"/>
      <c r="K143" s="8" t="s">
        <v>13</v>
      </c>
      <c r="L143" s="8" t="s">
        <v>78</v>
      </c>
      <c r="M143" s="8" t="s">
        <v>8</v>
      </c>
      <c r="N143" s="47" t="b">
        <v>0</v>
      </c>
      <c r="O143" s="48">
        <f t="shared" si="1"/>
        <v>46314</v>
      </c>
      <c r="P143" s="49">
        <v>46297.0</v>
      </c>
      <c r="Q143" s="93">
        <v>46248.0</v>
      </c>
      <c r="R143" s="76">
        <f t="shared" si="2"/>
        <v>46308</v>
      </c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</row>
    <row r="144">
      <c r="A144" s="36" t="b">
        <v>1</v>
      </c>
      <c r="B144" s="90">
        <v>46232.0</v>
      </c>
      <c r="C144" s="81" t="s">
        <v>335</v>
      </c>
      <c r="D144" s="79">
        <v>957.0</v>
      </c>
      <c r="E144" s="40">
        <f>IFERROR(__xludf.DUMMYFUNCTION("IF(C144="""", """", XLOOKUP(TRIM(C144), 'COTRATOS ALBUNS 25.2'!E:E, 'COTRATOS ALBUNS 25.2'!D:D, XLOOKUP(TRIM(C144), IMPORTRANGE(""16smdYggRVyzhu5y9HP2ayvW__ybkjb1nkVsCvZrByLM"", ""'COTRATOS 26.1'!B:B""), IMPORTRANGE(""16smdYggRVyzhu5y9HP2ayvW__ybkjb1nkVsC"&amp;"vZrByLM"", ""'COTRATOS 26.1'!A:A""), """")))"),86855.0)</f>
        <v>86855</v>
      </c>
      <c r="F144" s="41" t="s">
        <v>66</v>
      </c>
      <c r="G144" s="42" t="s">
        <v>45</v>
      </c>
      <c r="H144" s="43"/>
      <c r="I144" s="44" t="s">
        <v>336</v>
      </c>
      <c r="J144" s="7"/>
      <c r="K144" s="8" t="s">
        <v>6</v>
      </c>
      <c r="L144" s="46"/>
      <c r="M144" s="46" t="s">
        <v>8</v>
      </c>
      <c r="N144" s="47" t="b">
        <v>0</v>
      </c>
      <c r="O144" s="48">
        <f t="shared" si="1"/>
        <v>46249</v>
      </c>
      <c r="P144" s="49">
        <v>46254.0</v>
      </c>
      <c r="Q144" s="82"/>
      <c r="R144" s="51" t="str">
        <f t="shared" si="2"/>
        <v/>
      </c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</row>
    <row r="145">
      <c r="A145" s="53" t="b">
        <v>1</v>
      </c>
      <c r="B145" s="54">
        <v>46290.0</v>
      </c>
      <c r="C145" s="55" t="s">
        <v>337</v>
      </c>
      <c r="D145" s="56">
        <v>692.0</v>
      </c>
      <c r="E145" s="40">
        <f>IFERROR(__xludf.DUMMYFUNCTION("IF(C145="""", """", XLOOKUP(TRIM(C145), 'COTRATOS ALBUNS 25.2'!E:E, 'COTRATOS ALBUNS 25.2'!D:D, XLOOKUP(TRIM(C145), IMPORTRANGE(""16smdYggRVyzhu5y9HP2ayvW__ybkjb1nkVsCvZrByLM"", ""'COTRATOS 26.1'!B:B""), IMPORTRANGE(""16smdYggRVyzhu5y9HP2ayvW__ybkjb1nkVsC"&amp;"vZrByLM"", ""'COTRATOS 26.1'!A:A""), """")))"),93598.0)</f>
        <v>93598</v>
      </c>
      <c r="F145" s="57" t="s">
        <v>44</v>
      </c>
      <c r="G145" s="42" t="s">
        <v>123</v>
      </c>
      <c r="H145" s="43"/>
      <c r="I145" s="58" t="s">
        <v>338</v>
      </c>
      <c r="J145" s="59"/>
      <c r="K145" s="53" t="s">
        <v>17</v>
      </c>
      <c r="L145" s="59"/>
      <c r="M145" s="59"/>
      <c r="N145" s="47" t="b">
        <v>0</v>
      </c>
      <c r="O145" s="48">
        <f t="shared" si="1"/>
        <v>46307</v>
      </c>
      <c r="P145" s="60"/>
      <c r="Q145" s="61"/>
      <c r="R145" s="51" t="str">
        <f t="shared" si="2"/>
        <v/>
      </c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</row>
    <row r="146">
      <c r="A146" s="53" t="b">
        <v>1</v>
      </c>
      <c r="B146" s="54">
        <v>46287.0</v>
      </c>
      <c r="C146" s="83" t="s">
        <v>339</v>
      </c>
      <c r="D146" s="84">
        <v>823.0</v>
      </c>
      <c r="E146" s="102">
        <v>27908.0</v>
      </c>
      <c r="F146" s="57" t="s">
        <v>44</v>
      </c>
      <c r="G146" s="42" t="s">
        <v>45</v>
      </c>
      <c r="H146" s="43"/>
      <c r="I146" s="58" t="s">
        <v>340</v>
      </c>
      <c r="J146" s="59"/>
      <c r="K146" s="53" t="s">
        <v>10</v>
      </c>
      <c r="L146" s="59"/>
      <c r="M146" s="59"/>
      <c r="N146" s="47" t="b">
        <v>0</v>
      </c>
      <c r="O146" s="48">
        <f t="shared" si="1"/>
        <v>46304</v>
      </c>
      <c r="P146" s="60"/>
      <c r="Q146" s="61"/>
      <c r="R146" s="51" t="str">
        <f t="shared" si="2"/>
        <v/>
      </c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</row>
    <row r="147">
      <c r="A147" s="67" t="b">
        <v>1</v>
      </c>
      <c r="B147" s="74">
        <v>46297.0</v>
      </c>
      <c r="C147" s="38" t="s">
        <v>341</v>
      </c>
      <c r="D147" s="36">
        <v>957.0</v>
      </c>
      <c r="E147" s="40">
        <f>IFERROR(__xludf.DUMMYFUNCTION("IF(C147="""", """", XLOOKUP(TRIM(C147), 'COTRATOS ALBUNS 25.2'!E:E, 'COTRATOS ALBUNS 25.2'!D:D, XLOOKUP(TRIM(C147), IMPORTRANGE(""16smdYggRVyzhu5y9HP2ayvW__ybkjb1nkVsCvZrByLM"", ""'COTRATOS 26.1'!B:B""), IMPORTRANGE(""16smdYggRVyzhu5y9HP2ayvW__ybkjb1nkVsC"&amp;"vZrByLM"", ""'COTRATOS 26.1'!A:A""), """")))"),59348.0)</f>
        <v>59348</v>
      </c>
      <c r="F147" s="41" t="s">
        <v>36</v>
      </c>
      <c r="G147" s="42" t="s">
        <v>71</v>
      </c>
      <c r="H147" s="43"/>
      <c r="I147" s="44" t="s">
        <v>342</v>
      </c>
      <c r="J147" s="5"/>
      <c r="K147" s="8" t="s">
        <v>13</v>
      </c>
      <c r="L147" s="8" t="s">
        <v>101</v>
      </c>
      <c r="M147" s="46" t="s">
        <v>8</v>
      </c>
      <c r="N147" s="47" t="b">
        <v>0</v>
      </c>
      <c r="O147" s="48">
        <f t="shared" si="1"/>
        <v>46314</v>
      </c>
      <c r="P147" s="49">
        <v>46297.0</v>
      </c>
      <c r="Q147" s="93">
        <v>46249.0</v>
      </c>
      <c r="R147" s="76">
        <f t="shared" si="2"/>
        <v>46309</v>
      </c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</row>
    <row r="148">
      <c r="A148" s="36" t="b">
        <v>1</v>
      </c>
      <c r="B148" s="94">
        <v>46243.44758101852</v>
      </c>
      <c r="C148" s="38" t="s">
        <v>343</v>
      </c>
      <c r="D148" s="36">
        <v>1019.0</v>
      </c>
      <c r="E148" s="40">
        <f>IFERROR(__xludf.DUMMYFUNCTION("IF(C148="""", """", XLOOKUP(TRIM(C148), 'COTRATOS ALBUNS 25.2'!E:E, 'COTRATOS ALBUNS 25.2'!D:D, XLOOKUP(TRIM(C148), IMPORTRANGE(""16smdYggRVyzhu5y9HP2ayvW__ybkjb1nkVsCvZrByLM"", ""'COTRATOS 26.1'!B:B""), IMPORTRANGE(""16smdYggRVyzhu5y9HP2ayvW__ybkjb1nkVsC"&amp;"vZrByLM"", ""'COTRATOS 26.1'!A:A""), """")))"),89516.0)</f>
        <v>89516</v>
      </c>
      <c r="F148" s="41" t="s">
        <v>66</v>
      </c>
      <c r="G148" s="42" t="s">
        <v>313</v>
      </c>
      <c r="H148" s="43"/>
      <c r="I148" s="44" t="s">
        <v>344</v>
      </c>
      <c r="J148" s="5"/>
      <c r="K148" s="8" t="s">
        <v>13</v>
      </c>
      <c r="L148" s="46" t="s">
        <v>218</v>
      </c>
      <c r="M148" s="8" t="s">
        <v>8</v>
      </c>
      <c r="N148" s="63" t="b">
        <v>1</v>
      </c>
      <c r="O148" s="64">
        <f t="shared" si="1"/>
        <v>46260.44758</v>
      </c>
      <c r="P148" s="49">
        <v>46297.0</v>
      </c>
      <c r="Q148" s="61">
        <v>46244.51235427083</v>
      </c>
      <c r="R148" s="76">
        <f t="shared" si="2"/>
        <v>46304.51235</v>
      </c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</row>
    <row r="149">
      <c r="A149" s="36" t="b">
        <v>1</v>
      </c>
      <c r="B149" s="90">
        <v>46275.0</v>
      </c>
      <c r="C149" s="81" t="s">
        <v>345</v>
      </c>
      <c r="D149" s="79">
        <v>1099.0</v>
      </c>
      <c r="E149" s="40">
        <f>IFERROR(__xludf.DUMMYFUNCTION("IF(C149="""", """", XLOOKUP(TRIM(C149), 'COTRATOS ALBUNS 25.2'!E:E, 'COTRATOS ALBUNS 25.2'!D:D, XLOOKUP(TRIM(C149), IMPORTRANGE(""16smdYggRVyzhu5y9HP2ayvW__ybkjb1nkVsCvZrByLM"", ""'COTRATOS 26.1'!B:B""), IMPORTRANGE(""16smdYggRVyzhu5y9HP2ayvW__ybkjb1nkVsC"&amp;"vZrByLM"", ""'COTRATOS 26.1'!A:A""), """")))"),94950.0)</f>
        <v>94950</v>
      </c>
      <c r="F149" s="41" t="s">
        <v>40</v>
      </c>
      <c r="G149" s="42" t="s">
        <v>87</v>
      </c>
      <c r="H149" s="43"/>
      <c r="I149" s="44" t="s">
        <v>346</v>
      </c>
      <c r="J149" s="7"/>
      <c r="K149" s="53" t="s">
        <v>10</v>
      </c>
      <c r="L149" s="5"/>
      <c r="M149" s="8" t="s">
        <v>8</v>
      </c>
      <c r="N149" s="47" t="b">
        <v>0</v>
      </c>
      <c r="O149" s="48">
        <f t="shared" si="1"/>
        <v>46292</v>
      </c>
      <c r="P149" s="60"/>
      <c r="Q149" s="82"/>
      <c r="R149" s="51" t="str">
        <f t="shared" si="2"/>
        <v/>
      </c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</row>
    <row r="150">
      <c r="A150" s="53" t="b">
        <v>1</v>
      </c>
      <c r="B150" s="54">
        <v>46297.0</v>
      </c>
      <c r="C150" s="55" t="s">
        <v>347</v>
      </c>
      <c r="D150" s="56">
        <v>996.0</v>
      </c>
      <c r="E150" s="40">
        <f>IFERROR(__xludf.DUMMYFUNCTION("IF(C150="""", """", XLOOKUP(TRIM(C150), 'COTRATOS ALBUNS 25.2'!E:E, 'COTRATOS ALBUNS 25.2'!D:D, XLOOKUP(TRIM(C150), IMPORTRANGE(""16smdYggRVyzhu5y9HP2ayvW__ybkjb1nkVsCvZrByLM"", ""'COTRATOS 26.1'!B:B""), IMPORTRANGE(""16smdYggRVyzhu5y9HP2ayvW__ybkjb1nkVsC"&amp;"vZrByLM"", ""'COTRATOS 26.1'!A:A""), """")))"),95697.0)</f>
        <v>95697</v>
      </c>
      <c r="F150" s="87" t="s">
        <v>44</v>
      </c>
      <c r="G150" s="42" t="s">
        <v>37</v>
      </c>
      <c r="H150" s="43"/>
      <c r="I150" s="58" t="s">
        <v>348</v>
      </c>
      <c r="J150" s="59"/>
      <c r="K150" s="53" t="s">
        <v>10</v>
      </c>
      <c r="L150" s="59"/>
      <c r="M150" s="59"/>
      <c r="N150" s="47" t="b">
        <v>0</v>
      </c>
      <c r="O150" s="48">
        <f t="shared" si="1"/>
        <v>46314</v>
      </c>
      <c r="P150" s="60"/>
      <c r="Q150" s="61"/>
      <c r="R150" s="51" t="str">
        <f t="shared" si="2"/>
        <v/>
      </c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</row>
    <row r="151">
      <c r="A151" s="36" t="b">
        <v>1</v>
      </c>
      <c r="B151" s="62">
        <v>46239.922939814816</v>
      </c>
      <c r="C151" s="81" t="s">
        <v>349</v>
      </c>
      <c r="D151" s="79">
        <v>1172.0</v>
      </c>
      <c r="E151" s="40">
        <f>IFERROR(__xludf.DUMMYFUNCTION("IF(C151="""", """", XLOOKUP(TRIM(C151), 'COTRATOS ALBUNS 25.2'!E:E, 'COTRATOS ALBUNS 25.2'!D:D, XLOOKUP(TRIM(C151), IMPORTRANGE(""16smdYggRVyzhu5y9HP2ayvW__ybkjb1nkVsCvZrByLM"", ""'COTRATOS 26.1'!B:B""), IMPORTRANGE(""16smdYggRVyzhu5y9HP2ayvW__ybkjb1nkVsC"&amp;"vZrByLM"", ""'COTRATOS 26.1'!A:A""), """")))"),87748.0)</f>
        <v>87748</v>
      </c>
      <c r="F151" s="41" t="s">
        <v>36</v>
      </c>
      <c r="G151" s="42" t="s">
        <v>350</v>
      </c>
      <c r="H151" s="43"/>
      <c r="I151" s="44" t="s">
        <v>351</v>
      </c>
      <c r="J151" s="7"/>
      <c r="K151" s="8" t="s">
        <v>13</v>
      </c>
      <c r="L151" s="8" t="s">
        <v>218</v>
      </c>
      <c r="M151" s="46" t="s">
        <v>8</v>
      </c>
      <c r="N151" s="63" t="b">
        <v>1</v>
      </c>
      <c r="O151" s="64">
        <f t="shared" si="1"/>
        <v>46256.92294</v>
      </c>
      <c r="P151" s="49">
        <v>46297.0</v>
      </c>
      <c r="Q151" s="85">
        <v>46239.0</v>
      </c>
      <c r="R151" s="86">
        <f t="shared" si="2"/>
        <v>46299</v>
      </c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</row>
    <row r="152">
      <c r="A152" s="36" t="b">
        <v>1</v>
      </c>
      <c r="B152" s="62">
        <v>46231.8828125</v>
      </c>
      <c r="C152" s="38" t="s">
        <v>352</v>
      </c>
      <c r="D152" s="39">
        <v>1019.0</v>
      </c>
      <c r="E152" s="40">
        <f>IFERROR(__xludf.DUMMYFUNCTION("IF(C152="""", """", XLOOKUP(TRIM(C152), 'COTRATOS ALBUNS 25.2'!E:E, 'COTRATOS ALBUNS 25.2'!D:D, XLOOKUP(TRIM(C152), IMPORTRANGE(""16smdYggRVyzhu5y9HP2ayvW__ybkjb1nkVsCvZrByLM"", ""'COTRATOS 26.1'!B:B""), IMPORTRANGE(""16smdYggRVyzhu5y9HP2ayvW__ybkjb1nkVsC"&amp;"vZrByLM"", ""'COTRATOS 26.1'!A:A""), """")))"),89916.0)</f>
        <v>89916</v>
      </c>
      <c r="F152" s="41" t="s">
        <v>36</v>
      </c>
      <c r="G152" s="42" t="s">
        <v>87</v>
      </c>
      <c r="H152" s="43"/>
      <c r="I152" s="44" t="s">
        <v>353</v>
      </c>
      <c r="J152" s="7"/>
      <c r="K152" s="8" t="s">
        <v>13</v>
      </c>
      <c r="L152" s="8" t="s">
        <v>193</v>
      </c>
      <c r="M152" s="8" t="s">
        <v>8</v>
      </c>
      <c r="N152" s="63" t="b">
        <v>1</v>
      </c>
      <c r="O152" s="64">
        <f t="shared" si="1"/>
        <v>46248.88281</v>
      </c>
      <c r="P152" s="49">
        <v>46297.0</v>
      </c>
      <c r="Q152" s="50">
        <v>46245.0</v>
      </c>
      <c r="R152" s="86">
        <f t="shared" si="2"/>
        <v>46305</v>
      </c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</row>
    <row r="153">
      <c r="A153" s="67" t="b">
        <v>1</v>
      </c>
      <c r="B153" s="68">
        <v>46268.42653935185</v>
      </c>
      <c r="C153" s="69" t="s">
        <v>354</v>
      </c>
      <c r="D153" s="70">
        <v>994.0</v>
      </c>
      <c r="E153" s="40">
        <f>IFERROR(__xludf.DUMMYFUNCTION("IF(C153="""", """", XLOOKUP(TRIM(C153), 'COTRATOS ALBUNS 25.2'!E:E, 'COTRATOS ALBUNS 25.2'!D:D, XLOOKUP(TRIM(C153), IMPORTRANGE(""16smdYggRVyzhu5y9HP2ayvW__ybkjb1nkVsCvZrByLM"", ""'COTRATOS 26.1'!B:B""), IMPORTRANGE(""16smdYggRVyzhu5y9HP2ayvW__ybkjb1nkVsC"&amp;"vZrByLM"", ""'COTRATOS 26.1'!A:A""), """")))"),81298.0)</f>
        <v>81298</v>
      </c>
      <c r="F153" s="71" t="s">
        <v>36</v>
      </c>
      <c r="G153" s="42" t="s">
        <v>41</v>
      </c>
      <c r="H153" s="43"/>
      <c r="I153" s="44" t="s">
        <v>355</v>
      </c>
      <c r="J153" s="5"/>
      <c r="K153" s="8" t="s">
        <v>13</v>
      </c>
      <c r="L153" s="8" t="s">
        <v>50</v>
      </c>
      <c r="M153" s="8" t="s">
        <v>8</v>
      </c>
      <c r="N153" s="63" t="b">
        <v>1</v>
      </c>
      <c r="O153" s="64">
        <f t="shared" si="1"/>
        <v>46285.42654</v>
      </c>
      <c r="P153" s="49">
        <v>46297.0</v>
      </c>
      <c r="Q153" s="72">
        <f>B153</f>
        <v>46268.42654</v>
      </c>
      <c r="R153" s="73">
        <f t="shared" si="2"/>
        <v>46328.42654</v>
      </c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</row>
    <row r="154">
      <c r="A154" s="67" t="b">
        <v>1</v>
      </c>
      <c r="B154" s="74">
        <v>46185.0</v>
      </c>
      <c r="C154" s="38" t="s">
        <v>356</v>
      </c>
      <c r="D154" s="70">
        <v>1084.0</v>
      </c>
      <c r="E154" s="40">
        <f>IFERROR(__xludf.DUMMYFUNCTION("IF(C154="""", """", XLOOKUP(TRIM(C154), 'COTRATOS ALBUNS 25.2'!E:E, 'COTRATOS ALBUNS 25.2'!D:D, XLOOKUP(TRIM(C154), IMPORTRANGE(""16smdYggRVyzhu5y9HP2ayvW__ybkjb1nkVsCvZrByLM"", ""'COTRATOS 26.1'!B:B""), IMPORTRANGE(""16smdYggRVyzhu5y9HP2ayvW__ybkjb1nkVsC"&amp;"vZrByLM"", ""'COTRATOS 26.1'!A:A""), """")))"),88919.0)</f>
        <v>88919</v>
      </c>
      <c r="F154" s="71" t="s">
        <v>36</v>
      </c>
      <c r="G154" s="42" t="s">
        <v>41</v>
      </c>
      <c r="H154" s="43"/>
      <c r="I154" s="44" t="s">
        <v>357</v>
      </c>
      <c r="J154" s="5"/>
      <c r="K154" s="8" t="s">
        <v>6</v>
      </c>
      <c r="L154" s="5"/>
      <c r="M154" s="46" t="s">
        <v>8</v>
      </c>
      <c r="N154" s="47" t="b">
        <v>0</v>
      </c>
      <c r="O154" s="48">
        <f t="shared" si="1"/>
        <v>46202</v>
      </c>
      <c r="P154" s="49">
        <v>46238.0</v>
      </c>
      <c r="Q154" s="82"/>
      <c r="R154" s="51" t="str">
        <f t="shared" si="2"/>
        <v/>
      </c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</row>
    <row r="155">
      <c r="A155" s="53" t="b">
        <v>1</v>
      </c>
      <c r="B155" s="54">
        <v>46301.0</v>
      </c>
      <c r="C155" s="83" t="s">
        <v>358</v>
      </c>
      <c r="D155" s="84">
        <v>937.0</v>
      </c>
      <c r="E155" s="40">
        <f>IFERROR(__xludf.DUMMYFUNCTION("IF(C155="""", """", XLOOKUP(TRIM(C155), 'COTRATOS ALBUNS 25.2'!E:E, 'COTRATOS ALBUNS 25.2'!D:D, XLOOKUP(TRIM(C155), IMPORTRANGE(""16smdYggRVyzhu5y9HP2ayvW__ybkjb1nkVsCvZrByLM"", ""'COTRATOS 26.1'!B:B""), IMPORTRANGE(""16smdYggRVyzhu5y9HP2ayvW__ybkjb1nkVsC"&amp;"vZrByLM"", ""'COTRATOS 26.1'!A:A""), """")))"),94038.0)</f>
        <v>94038</v>
      </c>
      <c r="F155" s="57" t="s">
        <v>56</v>
      </c>
      <c r="G155" s="42" t="s">
        <v>63</v>
      </c>
      <c r="H155" s="43"/>
      <c r="I155" s="58" t="s">
        <v>359</v>
      </c>
      <c r="J155" s="59"/>
      <c r="K155" s="53" t="s">
        <v>10</v>
      </c>
      <c r="L155" s="59"/>
      <c r="M155" s="59"/>
      <c r="N155" s="47" t="b">
        <v>0</v>
      </c>
      <c r="O155" s="48">
        <f t="shared" si="1"/>
        <v>46318</v>
      </c>
      <c r="P155" s="60"/>
      <c r="Q155" s="61"/>
      <c r="R155" s="51" t="str">
        <f t="shared" si="2"/>
        <v/>
      </c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</row>
    <row r="156">
      <c r="A156" s="36" t="b">
        <v>1</v>
      </c>
      <c r="B156" s="62">
        <v>46207.84216435185</v>
      </c>
      <c r="C156" s="38" t="s">
        <v>360</v>
      </c>
      <c r="D156" s="39">
        <v>1019.0</v>
      </c>
      <c r="E156" s="40">
        <f>IFERROR(__xludf.DUMMYFUNCTION("IF(C156="""", """", XLOOKUP(TRIM(C156), 'COTRATOS ALBUNS 25.2'!E:E, 'COTRATOS ALBUNS 25.2'!D:D, XLOOKUP(TRIM(C156), IMPORTRANGE(""16smdYggRVyzhu5y9HP2ayvW__ybkjb1nkVsCvZrByLM"", ""'COTRATOS 26.1'!B:B""), IMPORTRANGE(""16smdYggRVyzhu5y9HP2ayvW__ybkjb1nkVsC"&amp;"vZrByLM"", ""'COTRATOS 26.1'!A:A""), """")))"),87830.0)</f>
        <v>87830</v>
      </c>
      <c r="F156" s="41" t="s">
        <v>36</v>
      </c>
      <c r="G156" s="42" t="s">
        <v>41</v>
      </c>
      <c r="H156" s="43"/>
      <c r="I156" s="44" t="s">
        <v>361</v>
      </c>
      <c r="J156" s="7"/>
      <c r="K156" s="8" t="s">
        <v>13</v>
      </c>
      <c r="L156" s="8" t="s">
        <v>93</v>
      </c>
      <c r="M156" s="8" t="s">
        <v>8</v>
      </c>
      <c r="N156" s="63" t="b">
        <v>1</v>
      </c>
      <c r="O156" s="64">
        <f t="shared" si="1"/>
        <v>46224.84216</v>
      </c>
      <c r="P156" s="49">
        <v>46209.0</v>
      </c>
      <c r="Q156" s="93">
        <v>46297.0</v>
      </c>
      <c r="R156" s="76">
        <f t="shared" si="2"/>
        <v>46357</v>
      </c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</row>
    <row r="157">
      <c r="A157" s="36" t="b">
        <v>1</v>
      </c>
      <c r="B157" s="94">
        <v>46243.389606481476</v>
      </c>
      <c r="C157" s="38" t="s">
        <v>362</v>
      </c>
      <c r="D157" s="36">
        <v>968.0</v>
      </c>
      <c r="E157" s="40">
        <f>IFERROR(__xludf.DUMMYFUNCTION("IF(C157="""", """", XLOOKUP(TRIM(C157), 'COTRATOS ALBUNS 25.2'!E:E, 'COTRATOS ALBUNS 25.2'!D:D, XLOOKUP(TRIM(C157), IMPORTRANGE(""16smdYggRVyzhu5y9HP2ayvW__ybkjb1nkVsCvZrByLM"", ""'COTRATOS 26.1'!B:B""), IMPORTRANGE(""16smdYggRVyzhu5y9HP2ayvW__ybkjb1nkVsC"&amp;"vZrByLM"", ""'COTRATOS 26.1'!A:A""), """")))"),76559.0)</f>
        <v>76559</v>
      </c>
      <c r="F157" s="41" t="s">
        <v>36</v>
      </c>
      <c r="G157" s="42" t="s">
        <v>134</v>
      </c>
      <c r="H157" s="43"/>
      <c r="I157" s="44" t="s">
        <v>363</v>
      </c>
      <c r="J157" s="5"/>
      <c r="K157" s="8" t="s">
        <v>13</v>
      </c>
      <c r="L157" s="46" t="s">
        <v>218</v>
      </c>
      <c r="M157" s="8" t="s">
        <v>8</v>
      </c>
      <c r="N157" s="63" t="b">
        <v>1</v>
      </c>
      <c r="O157" s="64">
        <f t="shared" si="1"/>
        <v>46260.38961</v>
      </c>
      <c r="P157" s="49">
        <v>46297.0</v>
      </c>
      <c r="Q157" s="61">
        <v>46244.511156967594</v>
      </c>
      <c r="R157" s="76">
        <f t="shared" si="2"/>
        <v>46304.51116</v>
      </c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</row>
    <row r="158">
      <c r="A158" s="36" t="b">
        <v>1</v>
      </c>
      <c r="B158" s="113">
        <v>46178.0</v>
      </c>
      <c r="C158" s="38" t="s">
        <v>364</v>
      </c>
      <c r="D158" s="39">
        <v>1085.0</v>
      </c>
      <c r="E158" s="40">
        <f>IFERROR(__xludf.DUMMYFUNCTION("IF(C158="""", """", XLOOKUP(TRIM(C158), 'COTRATOS ALBUNS 25.2'!E:E, 'COTRATOS ALBUNS 25.2'!D:D, XLOOKUP(TRIM(C158), IMPORTRANGE(""16smdYggRVyzhu5y9HP2ayvW__ybkjb1nkVsCvZrByLM"", ""'COTRATOS 26.1'!B:B""), IMPORTRANGE(""16smdYggRVyzhu5y9HP2ayvW__ybkjb1nkVsC"&amp;"vZrByLM"", ""'COTRATOS 26.1'!A:A""), """")))"),92357.0)</f>
        <v>92357</v>
      </c>
      <c r="F158" s="41" t="s">
        <v>56</v>
      </c>
      <c r="G158" s="42" t="s">
        <v>52</v>
      </c>
      <c r="H158" s="43"/>
      <c r="I158" s="44" t="s">
        <v>365</v>
      </c>
      <c r="J158" s="7"/>
      <c r="K158" s="8" t="s">
        <v>144</v>
      </c>
      <c r="L158" s="45"/>
      <c r="M158" s="8" t="s">
        <v>8</v>
      </c>
      <c r="N158" s="47" t="b">
        <v>0</v>
      </c>
      <c r="O158" s="52">
        <f t="shared" si="1"/>
        <v>46195</v>
      </c>
      <c r="P158" s="49">
        <v>46300.0</v>
      </c>
      <c r="Q158" s="50">
        <v>46244.0</v>
      </c>
      <c r="R158" s="86">
        <f t="shared" si="2"/>
        <v>46304</v>
      </c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</row>
    <row r="159">
      <c r="A159" s="36" t="b">
        <v>1</v>
      </c>
      <c r="B159" s="62">
        <v>46268.426030092596</v>
      </c>
      <c r="C159" s="38" t="s">
        <v>366</v>
      </c>
      <c r="D159" s="39">
        <v>971.0</v>
      </c>
      <c r="E159" s="40">
        <f>IFERROR(__xludf.DUMMYFUNCTION("IF(C159="""", """", XLOOKUP(TRIM(C159), 'COTRATOS ALBUNS 25.2'!E:E, 'COTRATOS ALBUNS 25.2'!D:D, XLOOKUP(TRIM(C159), IMPORTRANGE(""16smdYggRVyzhu5y9HP2ayvW__ybkjb1nkVsCvZrByLM"", ""'COTRATOS 26.1'!B:B""), IMPORTRANGE(""16smdYggRVyzhu5y9HP2ayvW__ybkjb1nkVsC"&amp;"vZrByLM"", ""'COTRATOS 26.1'!A:A""), """")))"),85734.0)</f>
        <v>85734</v>
      </c>
      <c r="F159" s="41" t="s">
        <v>36</v>
      </c>
      <c r="G159" s="42" t="s">
        <v>154</v>
      </c>
      <c r="H159" s="43"/>
      <c r="I159" s="44" t="s">
        <v>367</v>
      </c>
      <c r="J159" s="7"/>
      <c r="K159" s="8" t="s">
        <v>13</v>
      </c>
      <c r="L159" s="8" t="s">
        <v>93</v>
      </c>
      <c r="M159" s="8" t="s">
        <v>8</v>
      </c>
      <c r="N159" s="63" t="b">
        <v>1</v>
      </c>
      <c r="O159" s="64">
        <f t="shared" si="1"/>
        <v>46285.42603</v>
      </c>
      <c r="P159" s="49">
        <v>46297.0</v>
      </c>
      <c r="Q159" s="93">
        <v>46203.0</v>
      </c>
      <c r="R159" s="76">
        <f t="shared" si="2"/>
        <v>46263</v>
      </c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</row>
    <row r="160">
      <c r="A160" s="67" t="b">
        <v>1</v>
      </c>
      <c r="B160" s="68">
        <v>46268.42585648148</v>
      </c>
      <c r="C160" s="38" t="s">
        <v>368</v>
      </c>
      <c r="D160" s="36">
        <v>941.0</v>
      </c>
      <c r="E160" s="40">
        <f>IFERROR(__xludf.DUMMYFUNCTION("IF(C160="""", """", XLOOKUP(TRIM(C160), 'COTRATOS ALBUNS 25.2'!E:E, 'COTRATOS ALBUNS 25.2'!D:D, XLOOKUP(TRIM(C160), IMPORTRANGE(""16smdYggRVyzhu5y9HP2ayvW__ybkjb1nkVsCvZrByLM"", ""'COTRATOS 26.1'!B:B""), IMPORTRANGE(""16smdYggRVyzhu5y9HP2ayvW__ybkjb1nkVsC"&amp;"vZrByLM"", ""'COTRATOS 26.1'!A:A""), """")))"),87223.0)</f>
        <v>87223</v>
      </c>
      <c r="F160" s="41" t="s">
        <v>36</v>
      </c>
      <c r="G160" s="42" t="s">
        <v>214</v>
      </c>
      <c r="H160" s="43"/>
      <c r="I160" s="44" t="s">
        <v>369</v>
      </c>
      <c r="J160" s="5"/>
      <c r="K160" s="8" t="s">
        <v>13</v>
      </c>
      <c r="L160" s="8" t="s">
        <v>93</v>
      </c>
      <c r="M160" s="8" t="s">
        <v>8</v>
      </c>
      <c r="N160" s="63" t="b">
        <v>1</v>
      </c>
      <c r="O160" s="64">
        <f t="shared" si="1"/>
        <v>46285.42586</v>
      </c>
      <c r="P160" s="49">
        <v>46297.0</v>
      </c>
      <c r="Q160" s="65">
        <v>46203.0</v>
      </c>
      <c r="R160" s="66">
        <f t="shared" si="2"/>
        <v>46263</v>
      </c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</row>
    <row r="161">
      <c r="A161" s="53" t="b">
        <v>1</v>
      </c>
      <c r="B161" s="54">
        <v>46276.0</v>
      </c>
      <c r="C161" s="55" t="s">
        <v>370</v>
      </c>
      <c r="D161" s="56">
        <v>957.0</v>
      </c>
      <c r="E161" s="40">
        <f>IFERROR(__xludf.DUMMYFUNCTION("IF(C161="""", """", XLOOKUP(TRIM(C161), 'COTRATOS ALBUNS 25.2'!E:E, 'COTRATOS ALBUNS 25.2'!D:D, XLOOKUP(TRIM(C161), IMPORTRANGE(""16smdYggRVyzhu5y9HP2ayvW__ybkjb1nkVsCvZrByLM"", ""'COTRATOS 26.1'!B:B""), IMPORTRANGE(""16smdYggRVyzhu5y9HP2ayvW__ybkjb1nkVsC"&amp;"vZrByLM"", ""'COTRATOS 26.1'!A:A""), """")))"),83813.0)</f>
        <v>83813</v>
      </c>
      <c r="F161" s="57" t="s">
        <v>36</v>
      </c>
      <c r="G161" s="42" t="s">
        <v>45</v>
      </c>
      <c r="H161" s="43"/>
      <c r="I161" s="58" t="s">
        <v>371</v>
      </c>
      <c r="J161" s="59"/>
      <c r="K161" s="53" t="s">
        <v>144</v>
      </c>
      <c r="L161" s="59"/>
      <c r="M161" s="53" t="s">
        <v>8</v>
      </c>
      <c r="N161" s="47" t="b">
        <v>0</v>
      </c>
      <c r="O161" s="48">
        <f t="shared" si="1"/>
        <v>46293</v>
      </c>
      <c r="P161" s="49">
        <v>46309.0</v>
      </c>
      <c r="Q161" s="61">
        <v>46312.0</v>
      </c>
      <c r="R161" s="76">
        <f t="shared" si="2"/>
        <v>46372</v>
      </c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</row>
    <row r="162">
      <c r="A162" s="36" t="b">
        <v>1</v>
      </c>
      <c r="B162" s="94">
        <v>46224.71497685185</v>
      </c>
      <c r="C162" s="38" t="s">
        <v>372</v>
      </c>
      <c r="D162" s="36">
        <v>1172.0</v>
      </c>
      <c r="E162" s="40">
        <f>IFERROR(__xludf.DUMMYFUNCTION("IF(C162="""", """", XLOOKUP(TRIM(C162), 'COTRATOS ALBUNS 25.2'!E:E, 'COTRATOS ALBUNS 25.2'!D:D, XLOOKUP(TRIM(C162), IMPORTRANGE(""16smdYggRVyzhu5y9HP2ayvW__ybkjb1nkVsCvZrByLM"", ""'COTRATOS 26.1'!B:B""), IMPORTRANGE(""16smdYggRVyzhu5y9HP2ayvW__ybkjb1nkVsC"&amp;"vZrByLM"", ""'COTRATOS 26.1'!A:A""), """")))"),86682.0)</f>
        <v>86682</v>
      </c>
      <c r="F162" s="41" t="s">
        <v>36</v>
      </c>
      <c r="G162" s="42" t="s">
        <v>95</v>
      </c>
      <c r="H162" s="43"/>
      <c r="I162" s="44" t="s">
        <v>373</v>
      </c>
      <c r="J162" s="5"/>
      <c r="K162" s="8" t="s">
        <v>13</v>
      </c>
      <c r="L162" s="8" t="s">
        <v>47</v>
      </c>
      <c r="M162" s="5"/>
      <c r="N162" s="63" t="b">
        <v>1</v>
      </c>
      <c r="O162" s="64">
        <f t="shared" si="1"/>
        <v>46241.71498</v>
      </c>
      <c r="P162" s="49">
        <v>46297.0</v>
      </c>
      <c r="Q162" s="85">
        <v>46224.0</v>
      </c>
      <c r="R162" s="86">
        <f t="shared" si="2"/>
        <v>46284</v>
      </c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</row>
    <row r="163">
      <c r="A163" s="96" t="b">
        <v>1</v>
      </c>
      <c r="B163" s="97">
        <v>46297.0</v>
      </c>
      <c r="C163" s="98" t="s">
        <v>374</v>
      </c>
      <c r="D163" s="99">
        <v>970.0</v>
      </c>
      <c r="E163" s="40">
        <f>IFERROR(__xludf.DUMMYFUNCTION("IF(C163="""", """", XLOOKUP(TRIM(C163), 'COTRATOS ALBUNS 25.2'!E:E, 'COTRATOS ALBUNS 25.2'!D:D, XLOOKUP(TRIM(C163), IMPORTRANGE(""16smdYggRVyzhu5y9HP2ayvW__ybkjb1nkVsCvZrByLM"", ""'COTRATOS 26.1'!B:B""), IMPORTRANGE(""16smdYggRVyzhu5y9HP2ayvW__ybkjb1nkVsC"&amp;"vZrByLM"", ""'COTRATOS 26.1'!A:A""), """")))"),94530.0)</f>
        <v>94530</v>
      </c>
      <c r="F163" s="57" t="s">
        <v>44</v>
      </c>
      <c r="G163" s="42" t="s">
        <v>168</v>
      </c>
      <c r="H163" s="43"/>
      <c r="I163" s="58" t="s">
        <v>375</v>
      </c>
      <c r="J163" s="59"/>
      <c r="K163" s="8" t="s">
        <v>13</v>
      </c>
      <c r="L163" s="45" t="s">
        <v>78</v>
      </c>
      <c r="M163" s="8" t="s">
        <v>8</v>
      </c>
      <c r="N163" s="47" t="b">
        <v>0</v>
      </c>
      <c r="O163" s="48">
        <f t="shared" si="1"/>
        <v>46314</v>
      </c>
      <c r="P163" s="49">
        <v>46297.0</v>
      </c>
      <c r="Q163" s="61">
        <v>46265.0</v>
      </c>
      <c r="R163" s="76">
        <f t="shared" si="2"/>
        <v>46325</v>
      </c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</row>
    <row r="164">
      <c r="A164" s="67" t="b">
        <v>1</v>
      </c>
      <c r="B164" s="68">
        <v>46209.69939814815</v>
      </c>
      <c r="C164" s="38" t="s">
        <v>376</v>
      </c>
      <c r="D164" s="36">
        <v>1084.0</v>
      </c>
      <c r="E164" s="40">
        <f>IFERROR(__xludf.DUMMYFUNCTION("IF(C164="""", """", XLOOKUP(TRIM(C164), 'COTRATOS ALBUNS 25.2'!E:E, 'COTRATOS ALBUNS 25.2'!D:D, XLOOKUP(TRIM(C164), IMPORTRANGE(""16smdYggRVyzhu5y9HP2ayvW__ybkjb1nkVsCvZrByLM"", ""'COTRATOS 26.1'!B:B""), IMPORTRANGE(""16smdYggRVyzhu5y9HP2ayvW__ybkjb1nkVsC"&amp;"vZrByLM"", ""'COTRATOS 26.1'!A:A""), """")))"),87450.0)</f>
        <v>87450</v>
      </c>
      <c r="F164" s="41" t="s">
        <v>36</v>
      </c>
      <c r="G164" s="42" t="s">
        <v>154</v>
      </c>
      <c r="H164" s="43"/>
      <c r="I164" s="44" t="s">
        <v>377</v>
      </c>
      <c r="J164" s="5"/>
      <c r="K164" s="8" t="s">
        <v>13</v>
      </c>
      <c r="L164" s="8" t="s">
        <v>121</v>
      </c>
      <c r="M164" s="5"/>
      <c r="N164" s="63" t="b">
        <v>1</v>
      </c>
      <c r="O164" s="64">
        <f t="shared" si="1"/>
        <v>46226.6994</v>
      </c>
      <c r="P164" s="49">
        <v>46297.0</v>
      </c>
      <c r="Q164" s="85">
        <v>46211.0</v>
      </c>
      <c r="R164" s="86">
        <f t="shared" si="2"/>
        <v>46271</v>
      </c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</row>
    <row r="165">
      <c r="A165" s="36" t="b">
        <v>1</v>
      </c>
      <c r="B165" s="37">
        <v>46177.0</v>
      </c>
      <c r="C165" s="38" t="s">
        <v>378</v>
      </c>
      <c r="D165" s="39">
        <v>971.0</v>
      </c>
      <c r="E165" s="40">
        <f>IFERROR(__xludf.DUMMYFUNCTION("IF(C165="""", """", XLOOKUP(TRIM(C165), 'COTRATOS ALBUNS 25.2'!E:E, 'COTRATOS ALBUNS 25.2'!D:D, XLOOKUP(TRIM(C165), IMPORTRANGE(""16smdYggRVyzhu5y9HP2ayvW__ybkjb1nkVsCvZrByLM"", ""'COTRATOS 26.1'!B:B""), IMPORTRANGE(""16smdYggRVyzhu5y9HP2ayvW__ybkjb1nkVsC"&amp;"vZrByLM"", ""'COTRATOS 26.1'!A:A""), """")))"),85088.0)</f>
        <v>85088</v>
      </c>
      <c r="F165" s="41" t="s">
        <v>44</v>
      </c>
      <c r="G165" s="42" t="s">
        <v>52</v>
      </c>
      <c r="H165" s="43"/>
      <c r="I165" s="44" t="s">
        <v>379</v>
      </c>
      <c r="J165" s="7"/>
      <c r="K165" s="53" t="s">
        <v>6</v>
      </c>
      <c r="L165" s="45"/>
      <c r="M165" s="8" t="s">
        <v>8</v>
      </c>
      <c r="N165" s="47" t="b">
        <v>0</v>
      </c>
      <c r="O165" s="48">
        <f t="shared" si="1"/>
        <v>46194</v>
      </c>
      <c r="P165" s="49">
        <v>46288.0</v>
      </c>
      <c r="Q165" s="50"/>
      <c r="R165" s="51" t="str">
        <f t="shared" si="2"/>
        <v/>
      </c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</row>
    <row r="166">
      <c r="A166" s="67" t="b">
        <v>1</v>
      </c>
      <c r="B166" s="68">
        <v>46268.425729166665</v>
      </c>
      <c r="C166" s="69" t="s">
        <v>380</v>
      </c>
      <c r="D166" s="70">
        <v>1070.0</v>
      </c>
      <c r="E166" s="40">
        <f>IFERROR(__xludf.DUMMYFUNCTION("IF(C166="""", """", XLOOKUP(TRIM(C166), 'COTRATOS ALBUNS 25.2'!E:E, 'COTRATOS ALBUNS 25.2'!D:D, XLOOKUP(TRIM(C166), IMPORTRANGE(""16smdYggRVyzhu5y9HP2ayvW__ybkjb1nkVsCvZrByLM"", ""'COTRATOS 26.1'!B:B""), IMPORTRANGE(""16smdYggRVyzhu5y9HP2ayvW__ybkjb1nkVsC"&amp;"vZrByLM"", ""'COTRATOS 26.1'!A:A""), """")))"),88146.0)</f>
        <v>88146</v>
      </c>
      <c r="F166" s="71" t="s">
        <v>36</v>
      </c>
      <c r="G166" s="42" t="s">
        <v>71</v>
      </c>
      <c r="H166" s="43"/>
      <c r="I166" s="129" t="s">
        <v>381</v>
      </c>
      <c r="J166" s="101" t="s">
        <v>67</v>
      </c>
      <c r="K166" s="8" t="s">
        <v>13</v>
      </c>
      <c r="L166" s="8" t="s">
        <v>108</v>
      </c>
      <c r="M166" s="8" t="s">
        <v>8</v>
      </c>
      <c r="N166" s="63" t="b">
        <v>1</v>
      </c>
      <c r="O166" s="64">
        <f t="shared" si="1"/>
        <v>46285.42573</v>
      </c>
      <c r="P166" s="49">
        <v>46297.0</v>
      </c>
      <c r="Q166" s="72">
        <f t="shared" ref="Q166:Q167" si="5">B166</f>
        <v>46268.42573</v>
      </c>
      <c r="R166" s="73">
        <f t="shared" si="2"/>
        <v>46328.42573</v>
      </c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</row>
    <row r="167">
      <c r="A167" s="67" t="b">
        <v>1</v>
      </c>
      <c r="B167" s="74">
        <v>46268.42554398148</v>
      </c>
      <c r="C167" s="69" t="s">
        <v>382</v>
      </c>
      <c r="D167" s="70">
        <v>968.0</v>
      </c>
      <c r="E167" s="40">
        <f>IFERROR(__xludf.DUMMYFUNCTION("IF(C167="""", """", XLOOKUP(TRIM(C167), 'COTRATOS ALBUNS 25.2'!E:E, 'COTRATOS ALBUNS 25.2'!D:D, XLOOKUP(TRIM(C167), IMPORTRANGE(""16smdYggRVyzhu5y9HP2ayvW__ybkjb1nkVsCvZrByLM"", ""'COTRATOS 26.1'!B:B""), IMPORTRANGE(""16smdYggRVyzhu5y9HP2ayvW__ybkjb1nkVsC"&amp;"vZrByLM"", ""'COTRATOS 26.1'!A:A""), """")))"),86272.0)</f>
        <v>86272</v>
      </c>
      <c r="F167" s="71" t="s">
        <v>36</v>
      </c>
      <c r="G167" s="42" t="s">
        <v>80</v>
      </c>
      <c r="H167" s="43"/>
      <c r="I167" s="44" t="s">
        <v>383</v>
      </c>
      <c r="J167" s="5"/>
      <c r="K167" s="8" t="s">
        <v>13</v>
      </c>
      <c r="L167" s="8" t="s">
        <v>54</v>
      </c>
      <c r="M167" s="8" t="s">
        <v>8</v>
      </c>
      <c r="N167" s="63" t="b">
        <v>1</v>
      </c>
      <c r="O167" s="48">
        <f t="shared" si="1"/>
        <v>46285.42554</v>
      </c>
      <c r="P167" s="49">
        <v>46296.0</v>
      </c>
      <c r="Q167" s="75">
        <f t="shared" si="5"/>
        <v>46268.42554</v>
      </c>
      <c r="R167" s="76">
        <f t="shared" si="2"/>
        <v>46328.42554</v>
      </c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</row>
    <row r="168">
      <c r="A168" s="53" t="b">
        <v>1</v>
      </c>
      <c r="B168" s="54">
        <v>46276.0</v>
      </c>
      <c r="C168" s="55" t="s">
        <v>384</v>
      </c>
      <c r="D168" s="38">
        <v>1172.0</v>
      </c>
      <c r="E168" s="40">
        <f>IFERROR(__xludf.DUMMYFUNCTION("IF(C168="""", """", XLOOKUP(TRIM(C168), 'COTRATOS ALBUNS 25.2'!E:E, 'COTRATOS ALBUNS 25.2'!D:D, XLOOKUP(TRIM(C168), IMPORTRANGE(""16smdYggRVyzhu5y9HP2ayvW__ybkjb1nkVsCvZrByLM"", ""'COTRATOS 26.1'!B:B""), IMPORTRANGE(""16smdYggRVyzhu5y9HP2ayvW__ybkjb1nkVsC"&amp;"vZrByLM"", ""'COTRATOS 26.1'!A:A""), """")))"),87757.0)</f>
        <v>87757</v>
      </c>
      <c r="F168" s="57" t="s">
        <v>74</v>
      </c>
      <c r="G168" s="42" t="s">
        <v>95</v>
      </c>
      <c r="H168" s="43"/>
      <c r="I168" s="58" t="s">
        <v>385</v>
      </c>
      <c r="J168" s="59"/>
      <c r="K168" s="53" t="s">
        <v>12</v>
      </c>
      <c r="L168" s="59"/>
      <c r="M168" s="53" t="s">
        <v>8</v>
      </c>
      <c r="N168" s="47" t="b">
        <v>0</v>
      </c>
      <c r="O168" s="48">
        <f t="shared" si="1"/>
        <v>46293</v>
      </c>
      <c r="P168" s="49">
        <v>46309.0</v>
      </c>
      <c r="Q168" s="61"/>
      <c r="R168" s="51" t="str">
        <f t="shared" si="2"/>
        <v/>
      </c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</row>
    <row r="169">
      <c r="A169" s="53" t="b">
        <v>1</v>
      </c>
      <c r="B169" s="54">
        <v>46280.0</v>
      </c>
      <c r="C169" s="83" t="s">
        <v>386</v>
      </c>
      <c r="D169" s="84">
        <v>1284.0</v>
      </c>
      <c r="E169" s="102">
        <v>97689.0</v>
      </c>
      <c r="F169" s="57" t="s">
        <v>40</v>
      </c>
      <c r="G169" s="42" t="s">
        <v>41</v>
      </c>
      <c r="H169" s="43"/>
      <c r="I169" s="58" t="s">
        <v>387</v>
      </c>
      <c r="J169" s="59"/>
      <c r="K169" s="53" t="s">
        <v>17</v>
      </c>
      <c r="L169" s="59"/>
      <c r="M169" s="59"/>
      <c r="N169" s="47" t="b">
        <v>0</v>
      </c>
      <c r="O169" s="48">
        <f t="shared" si="1"/>
        <v>46297</v>
      </c>
      <c r="P169" s="60"/>
      <c r="Q169" s="61"/>
      <c r="R169" s="51" t="str">
        <f t="shared" si="2"/>
        <v/>
      </c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</row>
    <row r="170">
      <c r="A170" s="53" t="b">
        <v>1</v>
      </c>
      <c r="B170" s="54">
        <v>46276.0</v>
      </c>
      <c r="C170" s="55" t="s">
        <v>388</v>
      </c>
      <c r="D170" s="56">
        <v>1172.0</v>
      </c>
      <c r="E170" s="40">
        <f>IFERROR(__xludf.DUMMYFUNCTION("IF(C170="""", """", XLOOKUP(TRIM(C170), 'COTRATOS ALBUNS 25.2'!E:E, 'COTRATOS ALBUNS 25.2'!D:D, XLOOKUP(TRIM(C170), IMPORTRANGE(""16smdYggRVyzhu5y9HP2ayvW__ybkjb1nkVsCvZrByLM"", ""'COTRATOS 26.1'!B:B""), IMPORTRANGE(""16smdYggRVyzhu5y9HP2ayvW__ybkjb1nkVsC"&amp;"vZrByLM"", ""'COTRATOS 26.1'!A:A""), """")))"),89014.0)</f>
        <v>89014</v>
      </c>
      <c r="F170" s="57" t="s">
        <v>66</v>
      </c>
      <c r="G170" s="42" t="s">
        <v>87</v>
      </c>
      <c r="H170" s="43"/>
      <c r="I170" s="58" t="s">
        <v>389</v>
      </c>
      <c r="J170" s="59"/>
      <c r="K170" s="53" t="s">
        <v>6</v>
      </c>
      <c r="L170" s="59"/>
      <c r="M170" s="53" t="s">
        <v>8</v>
      </c>
      <c r="N170" s="47" t="b">
        <v>0</v>
      </c>
      <c r="O170" s="48">
        <f t="shared" si="1"/>
        <v>46293</v>
      </c>
      <c r="P170" s="49">
        <v>46309.0</v>
      </c>
      <c r="Q170" s="61"/>
      <c r="R170" s="51" t="str">
        <f t="shared" si="2"/>
        <v/>
      </c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</row>
    <row r="171">
      <c r="A171" s="36" t="b">
        <v>1</v>
      </c>
      <c r="B171" s="130">
        <v>46153.0</v>
      </c>
      <c r="C171" s="69" t="s">
        <v>390</v>
      </c>
      <c r="D171" s="36">
        <v>916.0</v>
      </c>
      <c r="E171" s="102">
        <v>69994.0</v>
      </c>
      <c r="F171" s="71" t="s">
        <v>36</v>
      </c>
      <c r="G171" s="42" t="s">
        <v>110</v>
      </c>
      <c r="H171" s="43"/>
      <c r="I171" s="44" t="s">
        <v>391</v>
      </c>
      <c r="J171" s="5"/>
      <c r="K171" s="8" t="s">
        <v>13</v>
      </c>
      <c r="L171" s="8" t="s">
        <v>108</v>
      </c>
      <c r="M171" s="8" t="s">
        <v>8</v>
      </c>
      <c r="N171" s="63" t="b">
        <v>1</v>
      </c>
      <c r="O171" s="52">
        <f t="shared" si="1"/>
        <v>46170</v>
      </c>
      <c r="P171" s="49">
        <v>46297.0</v>
      </c>
      <c r="Q171" s="131">
        <f>B171</f>
        <v>46153</v>
      </c>
      <c r="R171" s="66">
        <f t="shared" si="2"/>
        <v>46213</v>
      </c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</row>
    <row r="172">
      <c r="A172" s="67" t="b">
        <v>1</v>
      </c>
      <c r="B172" s="68">
        <v>46209.61392361111</v>
      </c>
      <c r="C172" s="38" t="s">
        <v>392</v>
      </c>
      <c r="D172" s="36">
        <v>823.0</v>
      </c>
      <c r="E172" s="40">
        <f>IFERROR(__xludf.DUMMYFUNCTION("IF(C172="""", """", XLOOKUP(TRIM(C172), 'COTRATOS ALBUNS 25.2'!E:E, 'COTRATOS ALBUNS 25.2'!D:D, XLOOKUP(TRIM(C172), IMPORTRANGE(""16smdYggRVyzhu5y9HP2ayvW__ybkjb1nkVsCvZrByLM"", ""'COTRATOS 26.1'!B:B""), IMPORTRANGE(""16smdYggRVyzhu5y9HP2ayvW__ybkjb1nkVsC"&amp;"vZrByLM"", ""'COTRATOS 26.1'!A:A""), """")))"),87347.0)</f>
        <v>87347</v>
      </c>
      <c r="F172" s="41" t="s">
        <v>36</v>
      </c>
      <c r="G172" s="42" t="s">
        <v>37</v>
      </c>
      <c r="H172" s="43"/>
      <c r="I172" s="44" t="s">
        <v>393</v>
      </c>
      <c r="J172" s="5"/>
      <c r="K172" s="8" t="s">
        <v>13</v>
      </c>
      <c r="L172" s="8" t="s">
        <v>121</v>
      </c>
      <c r="M172" s="5"/>
      <c r="N172" s="63" t="b">
        <v>1</v>
      </c>
      <c r="O172" s="64">
        <f t="shared" si="1"/>
        <v>46226.61392</v>
      </c>
      <c r="P172" s="49">
        <v>46297.0</v>
      </c>
      <c r="Q172" s="85">
        <v>46211.0</v>
      </c>
      <c r="R172" s="86">
        <f t="shared" si="2"/>
        <v>46271</v>
      </c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</row>
    <row r="173">
      <c r="A173" s="67" t="b">
        <v>1</v>
      </c>
      <c r="B173" s="74">
        <v>46297.0</v>
      </c>
      <c r="C173" s="38" t="s">
        <v>394</v>
      </c>
      <c r="D173" s="36">
        <v>957.0</v>
      </c>
      <c r="E173" s="40">
        <f>IFERROR(__xludf.DUMMYFUNCTION("IF(C173="""", """", XLOOKUP(TRIM(C173), 'COTRATOS ALBUNS 25.2'!E:E, 'COTRATOS ALBUNS 25.2'!D:D, XLOOKUP(TRIM(C173), IMPORTRANGE(""16smdYggRVyzhu5y9HP2ayvW__ybkjb1nkVsCvZrByLM"", ""'COTRATOS 26.1'!B:B""), IMPORTRANGE(""16smdYggRVyzhu5y9HP2ayvW__ybkjb1nkVsC"&amp;"vZrByLM"", ""'COTRATOS 26.1'!A:A""), """")))"),87935.0)</f>
        <v>87935</v>
      </c>
      <c r="F173" s="41" t="s">
        <v>66</v>
      </c>
      <c r="G173" s="42" t="s">
        <v>45</v>
      </c>
      <c r="H173" s="43"/>
      <c r="I173" s="44" t="s">
        <v>395</v>
      </c>
      <c r="J173" s="5"/>
      <c r="K173" s="8" t="s">
        <v>13</v>
      </c>
      <c r="L173" s="45" t="s">
        <v>78</v>
      </c>
      <c r="M173" s="8" t="s">
        <v>8</v>
      </c>
      <c r="N173" s="47" t="b">
        <v>0</v>
      </c>
      <c r="O173" s="48">
        <f t="shared" si="1"/>
        <v>46314</v>
      </c>
      <c r="P173" s="49">
        <v>46297.0</v>
      </c>
      <c r="Q173" s="132">
        <v>46297.0</v>
      </c>
      <c r="R173" s="76">
        <f t="shared" si="2"/>
        <v>46357</v>
      </c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</row>
    <row r="174">
      <c r="A174" s="36" t="b">
        <v>1</v>
      </c>
      <c r="B174" s="100">
        <v>46297.0</v>
      </c>
      <c r="C174" s="38" t="s">
        <v>396</v>
      </c>
      <c r="D174" s="36">
        <v>968.0</v>
      </c>
      <c r="E174" s="40">
        <f>IFERROR(__xludf.DUMMYFUNCTION("IF(C174="""", """", XLOOKUP(TRIM(C174), 'COTRATOS ALBUNS 25.2'!E:E, 'COTRATOS ALBUNS 25.2'!D:D, XLOOKUP(TRIM(C174), IMPORTRANGE(""16smdYggRVyzhu5y9HP2ayvW__ybkjb1nkVsCvZrByLM"", ""'COTRATOS 26.1'!B:B""), IMPORTRANGE(""16smdYggRVyzhu5y9HP2ayvW__ybkjb1nkVsC"&amp;"vZrByLM"", ""'COTRATOS 26.1'!A:A""), """")))"),88418.0)</f>
        <v>88418</v>
      </c>
      <c r="F174" s="41" t="s">
        <v>44</v>
      </c>
      <c r="G174" s="42" t="s">
        <v>214</v>
      </c>
      <c r="H174" s="43"/>
      <c r="I174" s="44" t="s">
        <v>397</v>
      </c>
      <c r="J174" s="5"/>
      <c r="K174" s="8" t="s">
        <v>13</v>
      </c>
      <c r="L174" s="108" t="s">
        <v>101</v>
      </c>
      <c r="M174" s="46" t="s">
        <v>8</v>
      </c>
      <c r="N174" s="47" t="b">
        <v>0</v>
      </c>
      <c r="O174" s="48">
        <f t="shared" si="1"/>
        <v>46314</v>
      </c>
      <c r="P174" s="49">
        <v>46297.0</v>
      </c>
      <c r="Q174" s="50">
        <v>46248.0</v>
      </c>
      <c r="R174" s="86">
        <f t="shared" si="2"/>
        <v>46308</v>
      </c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</row>
    <row r="175">
      <c r="A175" s="67" t="b">
        <v>1</v>
      </c>
      <c r="B175" s="68">
        <v>46224.754108796296</v>
      </c>
      <c r="C175" s="38" t="s">
        <v>398</v>
      </c>
      <c r="D175" s="36">
        <v>953.0</v>
      </c>
      <c r="E175" s="40">
        <f>IFERROR(__xludf.DUMMYFUNCTION("IF(C175="""", """", XLOOKUP(TRIM(C175), 'COTRATOS ALBUNS 25.2'!E:E, 'COTRATOS ALBUNS 25.2'!D:D, XLOOKUP(TRIM(C175), IMPORTRANGE(""16smdYggRVyzhu5y9HP2ayvW__ybkjb1nkVsCvZrByLM"", ""'COTRATOS 26.1'!B:B""), IMPORTRANGE(""16smdYggRVyzhu5y9HP2ayvW__ybkjb1nkVsC"&amp;"vZrByLM"", ""'COTRATOS 26.1'!A:A""), """")))"),89215.0)</f>
        <v>89215</v>
      </c>
      <c r="F175" s="41" t="s">
        <v>36</v>
      </c>
      <c r="G175" s="42" t="s">
        <v>57</v>
      </c>
      <c r="H175" s="43"/>
      <c r="I175" s="44" t="s">
        <v>399</v>
      </c>
      <c r="J175" s="5"/>
      <c r="K175" s="8" t="s">
        <v>13</v>
      </c>
      <c r="L175" s="8" t="s">
        <v>47</v>
      </c>
      <c r="M175" s="5"/>
      <c r="N175" s="63" t="b">
        <v>1</v>
      </c>
      <c r="O175" s="64">
        <f t="shared" si="1"/>
        <v>46241.75411</v>
      </c>
      <c r="P175" s="49">
        <v>46297.0</v>
      </c>
      <c r="Q175" s="85">
        <v>46224.0</v>
      </c>
      <c r="R175" s="86">
        <f t="shared" si="2"/>
        <v>46284</v>
      </c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</row>
    <row r="176">
      <c r="A176" s="36" t="b">
        <v>1</v>
      </c>
      <c r="B176" s="94">
        <v>46268.425682870366</v>
      </c>
      <c r="C176" s="38" t="s">
        <v>400</v>
      </c>
      <c r="D176" s="36">
        <v>957.0</v>
      </c>
      <c r="E176" s="40">
        <f>IFERROR(__xludf.DUMMYFUNCTION("IF(C176="""", """", XLOOKUP(TRIM(C176), 'COTRATOS ALBUNS 25.2'!E:E, 'COTRATOS ALBUNS 25.2'!D:D, XLOOKUP(TRIM(C176), IMPORTRANGE(""16smdYggRVyzhu5y9HP2ayvW__ybkjb1nkVsCvZrByLM"", ""'COTRATOS 26.1'!B:B""), IMPORTRANGE(""16smdYggRVyzhu5y9HP2ayvW__ybkjb1nkVsC"&amp;"vZrByLM"", ""'COTRATOS 26.1'!A:A""), """")))"),86654.0)</f>
        <v>86654</v>
      </c>
      <c r="F176" s="41" t="s">
        <v>66</v>
      </c>
      <c r="G176" s="42" t="s">
        <v>313</v>
      </c>
      <c r="H176" s="43"/>
      <c r="I176" s="44" t="s">
        <v>401</v>
      </c>
      <c r="J176" s="5"/>
      <c r="K176" s="8" t="s">
        <v>13</v>
      </c>
      <c r="L176" s="8" t="s">
        <v>93</v>
      </c>
      <c r="M176" s="8" t="s">
        <v>8</v>
      </c>
      <c r="N176" s="63" t="b">
        <v>1</v>
      </c>
      <c r="O176" s="64">
        <f t="shared" si="1"/>
        <v>46285.42568</v>
      </c>
      <c r="P176" s="49">
        <v>46297.0</v>
      </c>
      <c r="Q176" s="72">
        <f>B176</f>
        <v>46268.42568</v>
      </c>
      <c r="R176" s="73">
        <f t="shared" si="2"/>
        <v>46328.42568</v>
      </c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</row>
    <row r="177">
      <c r="A177" s="36" t="b">
        <v>1</v>
      </c>
      <c r="B177" s="90">
        <v>46231.0</v>
      </c>
      <c r="C177" s="81" t="s">
        <v>402</v>
      </c>
      <c r="D177" s="79">
        <v>1172.0</v>
      </c>
      <c r="E177" s="40">
        <f>IFERROR(__xludf.DUMMYFUNCTION("IF(C177="""", """", XLOOKUP(TRIM(C177), 'COTRATOS ALBUNS 25.2'!E:E, 'COTRATOS ALBUNS 25.2'!D:D, XLOOKUP(TRIM(C177), IMPORTRANGE(""16smdYggRVyzhu5y9HP2ayvW__ybkjb1nkVsCvZrByLM"", ""'COTRATOS 26.1'!B:B""), IMPORTRANGE(""16smdYggRVyzhu5y9HP2ayvW__ybkjb1nkVsC"&amp;"vZrByLM"", ""'COTRATOS 26.1'!A:A""), """")))"),85566.0)</f>
        <v>85566</v>
      </c>
      <c r="F177" s="41" t="s">
        <v>66</v>
      </c>
      <c r="G177" s="42" t="s">
        <v>403</v>
      </c>
      <c r="H177" s="43"/>
      <c r="I177" s="44" t="s">
        <v>404</v>
      </c>
      <c r="J177" s="7"/>
      <c r="K177" s="8" t="s">
        <v>144</v>
      </c>
      <c r="L177" s="5"/>
      <c r="M177" s="8" t="s">
        <v>8</v>
      </c>
      <c r="N177" s="47" t="b">
        <v>0</v>
      </c>
      <c r="O177" s="48">
        <f t="shared" si="1"/>
        <v>46248</v>
      </c>
      <c r="P177" s="49">
        <v>46300.0</v>
      </c>
      <c r="Q177" s="93">
        <v>46311.0</v>
      </c>
      <c r="R177" s="76">
        <f t="shared" si="2"/>
        <v>46371</v>
      </c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</row>
    <row r="178">
      <c r="A178" s="36" t="b">
        <v>1</v>
      </c>
      <c r="B178" s="37">
        <v>46297.0</v>
      </c>
      <c r="C178" s="38" t="s">
        <v>405</v>
      </c>
      <c r="D178" s="39">
        <v>1172.0</v>
      </c>
      <c r="E178" s="40">
        <f>IFERROR(__xludf.DUMMYFUNCTION("IF(C178="""", """", XLOOKUP(TRIM(C178), 'COTRATOS ALBUNS 25.2'!E:E, 'COTRATOS ALBUNS 25.2'!D:D, XLOOKUP(TRIM(C178), IMPORTRANGE(""16smdYggRVyzhu5y9HP2ayvW__ybkjb1nkVsCvZrByLM"", ""'COTRATOS 26.1'!B:B""), IMPORTRANGE(""16smdYggRVyzhu5y9HP2ayvW__ybkjb1nkVsC"&amp;"vZrByLM"", ""'COTRATOS 26.1'!A:A""), """")))"),87042.0)</f>
        <v>87042</v>
      </c>
      <c r="F178" s="41" t="s">
        <v>66</v>
      </c>
      <c r="G178" s="42" t="s">
        <v>87</v>
      </c>
      <c r="H178" s="43"/>
      <c r="I178" s="44" t="s">
        <v>406</v>
      </c>
      <c r="J178" s="7"/>
      <c r="K178" s="8" t="s">
        <v>14</v>
      </c>
      <c r="L178" s="108" t="s">
        <v>132</v>
      </c>
      <c r="M178" s="46" t="s">
        <v>8</v>
      </c>
      <c r="N178" s="47" t="b">
        <v>0</v>
      </c>
      <c r="O178" s="48">
        <f t="shared" si="1"/>
        <v>46314</v>
      </c>
      <c r="P178" s="49">
        <v>46297.0</v>
      </c>
      <c r="Q178" s="93">
        <v>46273.0</v>
      </c>
      <c r="R178" s="76">
        <f t="shared" si="2"/>
        <v>46333</v>
      </c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</row>
    <row r="179">
      <c r="A179" s="36" t="b">
        <v>1</v>
      </c>
      <c r="B179" s="37">
        <v>46194.0</v>
      </c>
      <c r="C179" s="38" t="s">
        <v>407</v>
      </c>
      <c r="D179" s="39">
        <v>971.0</v>
      </c>
      <c r="E179" s="40">
        <f>IFERROR(__xludf.DUMMYFUNCTION("IF(C179="""", """", XLOOKUP(TRIM(C179), 'COTRATOS ALBUNS 25.2'!E:E, 'COTRATOS ALBUNS 25.2'!D:D, XLOOKUP(TRIM(C179), IMPORTRANGE(""16smdYggRVyzhu5y9HP2ayvW__ybkjb1nkVsCvZrByLM"", ""'COTRATOS 26.1'!B:B""), IMPORTRANGE(""16smdYggRVyzhu5y9HP2ayvW__ybkjb1nkVsC"&amp;"vZrByLM"", ""'COTRATOS 26.1'!A:A""), """")))"),87068.0)</f>
        <v>87068</v>
      </c>
      <c r="F179" s="41" t="s">
        <v>74</v>
      </c>
      <c r="G179" s="42" t="s">
        <v>110</v>
      </c>
      <c r="H179" s="43"/>
      <c r="I179" s="44" t="s">
        <v>408</v>
      </c>
      <c r="J179" s="7"/>
      <c r="K179" s="8" t="s">
        <v>6</v>
      </c>
      <c r="L179" s="133"/>
      <c r="M179" s="46" t="s">
        <v>8</v>
      </c>
      <c r="N179" s="47" t="b">
        <v>0</v>
      </c>
      <c r="O179" s="48">
        <f t="shared" si="1"/>
        <v>46211</v>
      </c>
      <c r="P179" s="49">
        <v>46265.0</v>
      </c>
      <c r="Q179" s="50"/>
      <c r="R179" s="51" t="str">
        <f t="shared" si="2"/>
        <v/>
      </c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</row>
    <row r="180">
      <c r="A180" s="67" t="b">
        <v>1</v>
      </c>
      <c r="B180" s="68">
        <v>46216.44494212963</v>
      </c>
      <c r="C180" s="38" t="s">
        <v>409</v>
      </c>
      <c r="D180" s="36">
        <v>1172.0</v>
      </c>
      <c r="E180" s="40">
        <f>IFERROR(__xludf.DUMMYFUNCTION("IF(C180="""", """", XLOOKUP(TRIM(C180), 'COTRATOS ALBUNS 25.2'!E:E, 'COTRATOS ALBUNS 25.2'!D:D, XLOOKUP(TRIM(C180), IMPORTRANGE(""16smdYggRVyzhu5y9HP2ayvW__ybkjb1nkVsCvZrByLM"", ""'COTRATOS 26.1'!B:B""), IMPORTRANGE(""16smdYggRVyzhu5y9HP2ayvW__ybkjb1nkVsC"&amp;"vZrByLM"", ""'COTRATOS 26.1'!A:A""), """")))"),86726.0)</f>
        <v>86726</v>
      </c>
      <c r="F180" s="41" t="s">
        <v>66</v>
      </c>
      <c r="G180" s="42" t="s">
        <v>123</v>
      </c>
      <c r="H180" s="43"/>
      <c r="I180" s="44" t="s">
        <v>410</v>
      </c>
      <c r="J180" s="5"/>
      <c r="K180" s="8" t="s">
        <v>13</v>
      </c>
      <c r="L180" s="8" t="s">
        <v>121</v>
      </c>
      <c r="M180" s="5"/>
      <c r="N180" s="63" t="b">
        <v>1</v>
      </c>
      <c r="O180" s="64">
        <f t="shared" si="1"/>
        <v>46233.44494</v>
      </c>
      <c r="P180" s="49">
        <v>46297.0</v>
      </c>
      <c r="Q180" s="85">
        <v>46216.0</v>
      </c>
      <c r="R180" s="86">
        <f t="shared" si="2"/>
        <v>46276</v>
      </c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</row>
    <row r="181">
      <c r="A181" s="67" t="b">
        <v>1</v>
      </c>
      <c r="B181" s="126">
        <v>46127.0</v>
      </c>
      <c r="C181" s="69" t="s">
        <v>411</v>
      </c>
      <c r="D181" s="70">
        <v>1177.0</v>
      </c>
      <c r="E181" s="40">
        <f>IFERROR(__xludf.DUMMYFUNCTION("IF(C181="""", """", XLOOKUP(TRIM(C181), 'COTRATOS ALBUNS 25.2'!E:E, 'COTRATOS ALBUNS 25.2'!D:D, XLOOKUP(TRIM(C181), IMPORTRANGE(""16smdYggRVyzhu5y9HP2ayvW__ybkjb1nkVsCvZrByLM"", ""'COTRATOS 26.1'!B:B""), IMPORTRANGE(""16smdYggRVyzhu5y9HP2ayvW__ybkjb1nkVsC"&amp;"vZrByLM"", ""'COTRATOS 26.1'!A:A""), """")))"),87341.0)</f>
        <v>87341</v>
      </c>
      <c r="F181" s="71" t="s">
        <v>36</v>
      </c>
      <c r="G181" s="42" t="s">
        <v>52</v>
      </c>
      <c r="H181" s="43"/>
      <c r="I181" s="44" t="s">
        <v>412</v>
      </c>
      <c r="J181" s="5"/>
      <c r="K181" s="8" t="s">
        <v>6</v>
      </c>
      <c r="L181" s="5"/>
      <c r="M181" s="46" t="s">
        <v>8</v>
      </c>
      <c r="N181" s="47" t="b">
        <v>0</v>
      </c>
      <c r="O181" s="127">
        <f t="shared" si="1"/>
        <v>46144</v>
      </c>
      <c r="P181" s="107">
        <v>46169.6181712963</v>
      </c>
      <c r="Q181" s="82"/>
      <c r="R181" s="51" t="str">
        <f t="shared" si="2"/>
        <v/>
      </c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</row>
    <row r="182">
      <c r="A182" s="67" t="b">
        <v>1</v>
      </c>
      <c r="B182" s="68">
        <v>46268.426527777774</v>
      </c>
      <c r="C182" s="69" t="s">
        <v>413</v>
      </c>
      <c r="D182" s="70">
        <v>824.0</v>
      </c>
      <c r="E182" s="40">
        <f>IFERROR(__xludf.DUMMYFUNCTION("IF(C182="""", """", XLOOKUP(TRIM(C182), 'COTRATOS ALBUNS 25.2'!E:E, 'COTRATOS ALBUNS 25.2'!D:D, XLOOKUP(TRIM(C182), IMPORTRANGE(""16smdYggRVyzhu5y9HP2ayvW__ybkjb1nkVsCvZrByLM"", ""'COTRATOS 26.1'!B:B""), IMPORTRANGE(""16smdYggRVyzhu5y9HP2ayvW__ybkjb1nkVsC"&amp;"vZrByLM"", ""'COTRATOS 26.1'!A:A""), """")))"),85735.0)</f>
        <v>85735</v>
      </c>
      <c r="F182" s="71" t="s">
        <v>36</v>
      </c>
      <c r="G182" s="42" t="s">
        <v>154</v>
      </c>
      <c r="H182" s="43"/>
      <c r="I182" s="44" t="s">
        <v>414</v>
      </c>
      <c r="J182" s="5"/>
      <c r="K182" s="8" t="s">
        <v>13</v>
      </c>
      <c r="L182" s="8" t="s">
        <v>54</v>
      </c>
      <c r="M182" s="8" t="s">
        <v>8</v>
      </c>
      <c r="N182" s="63" t="b">
        <v>1</v>
      </c>
      <c r="O182" s="64">
        <f t="shared" si="1"/>
        <v>46285.42653</v>
      </c>
      <c r="P182" s="49">
        <v>46297.0</v>
      </c>
      <c r="Q182" s="72">
        <f>B182</f>
        <v>46268.42653</v>
      </c>
      <c r="R182" s="73">
        <f t="shared" si="2"/>
        <v>46328.42653</v>
      </c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</row>
    <row r="183">
      <c r="A183" s="67" t="b">
        <v>1</v>
      </c>
      <c r="B183" s="126">
        <v>46162.0</v>
      </c>
      <c r="C183" s="38" t="s">
        <v>415</v>
      </c>
      <c r="D183" s="36">
        <v>823.0</v>
      </c>
      <c r="E183" s="40">
        <f>IFERROR(__xludf.DUMMYFUNCTION("IF(C183="""", """", XLOOKUP(TRIM(C183), 'COTRATOS ALBUNS 25.2'!E:E, 'COTRATOS ALBUNS 25.2'!D:D, XLOOKUP(TRIM(C183), IMPORTRANGE(""16smdYggRVyzhu5y9HP2ayvW__ybkjb1nkVsCvZrByLM"", ""'COTRATOS 26.1'!B:B""), IMPORTRANGE(""16smdYggRVyzhu5y9HP2ayvW__ybkjb1nkVsC"&amp;"vZrByLM"", ""'COTRATOS 26.1'!A:A""), """")))"),87352.0)</f>
        <v>87352</v>
      </c>
      <c r="F183" s="41" t="s">
        <v>36</v>
      </c>
      <c r="G183" s="42" t="s">
        <v>37</v>
      </c>
      <c r="H183" s="43"/>
      <c r="I183" s="44" t="s">
        <v>416</v>
      </c>
      <c r="J183" s="5"/>
      <c r="K183" s="8" t="s">
        <v>13</v>
      </c>
      <c r="L183" s="8" t="s">
        <v>47</v>
      </c>
      <c r="M183" s="5"/>
      <c r="N183" s="63" t="b">
        <v>1</v>
      </c>
      <c r="O183" s="127">
        <f t="shared" si="1"/>
        <v>46179</v>
      </c>
      <c r="P183" s="60"/>
      <c r="Q183" s="85">
        <v>46224.0</v>
      </c>
      <c r="R183" s="86">
        <f t="shared" si="2"/>
        <v>46284</v>
      </c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</row>
    <row r="184">
      <c r="A184" s="67" t="b">
        <v>1</v>
      </c>
      <c r="B184" s="68">
        <v>46268.42533564815</v>
      </c>
      <c r="C184" s="69" t="s">
        <v>417</v>
      </c>
      <c r="D184" s="70">
        <v>1173.0</v>
      </c>
      <c r="E184" s="40">
        <f>IFERROR(__xludf.DUMMYFUNCTION("IF(C184="""", """", XLOOKUP(TRIM(C184), 'COTRATOS ALBUNS 25.2'!E:E, 'COTRATOS ALBUNS 25.2'!D:D, XLOOKUP(TRIM(C184), IMPORTRANGE(""16smdYggRVyzhu5y9HP2ayvW__ybkjb1nkVsCvZrByLM"", ""'COTRATOS 26.1'!B:B""), IMPORTRANGE(""16smdYggRVyzhu5y9HP2ayvW__ybkjb1nkVsC"&amp;"vZrByLM"", ""'COTRATOS 26.1'!A:A""), """")))"),85684.0)</f>
        <v>85684</v>
      </c>
      <c r="F184" s="71" t="s">
        <v>36</v>
      </c>
      <c r="G184" s="42" t="s">
        <v>45</v>
      </c>
      <c r="H184" s="43"/>
      <c r="I184" s="44" t="s">
        <v>418</v>
      </c>
      <c r="J184" s="5"/>
      <c r="K184" s="8" t="s">
        <v>13</v>
      </c>
      <c r="L184" s="8" t="s">
        <v>50</v>
      </c>
      <c r="M184" s="8" t="s">
        <v>8</v>
      </c>
      <c r="N184" s="63" t="b">
        <v>1</v>
      </c>
      <c r="O184" s="64">
        <f t="shared" si="1"/>
        <v>46285.42534</v>
      </c>
      <c r="P184" s="49">
        <v>46297.0</v>
      </c>
      <c r="Q184" s="72">
        <f>B184</f>
        <v>46268.42534</v>
      </c>
      <c r="R184" s="73">
        <f t="shared" si="2"/>
        <v>46328.42534</v>
      </c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</row>
    <row r="185">
      <c r="A185" s="36" t="b">
        <v>1</v>
      </c>
      <c r="B185" s="37">
        <v>46297.0</v>
      </c>
      <c r="C185" s="38" t="s">
        <v>419</v>
      </c>
      <c r="D185" s="39">
        <v>964.0</v>
      </c>
      <c r="E185" s="40">
        <f>IFERROR(__xludf.DUMMYFUNCTION("IF(C185="""", """", XLOOKUP(TRIM(C185), 'COTRATOS ALBUNS 25.2'!E:E, 'COTRATOS ALBUNS 25.2'!D:D, XLOOKUP(TRIM(C185), IMPORTRANGE(""16smdYggRVyzhu5y9HP2ayvW__ybkjb1nkVsCvZrByLM"", ""'COTRATOS 26.1'!B:B""), IMPORTRANGE(""16smdYggRVyzhu5y9HP2ayvW__ybkjb1nkVsC"&amp;"vZrByLM"", ""'COTRATOS 26.1'!A:A""), """")))"),88697.0)</f>
        <v>88697</v>
      </c>
      <c r="F185" s="41" t="s">
        <v>66</v>
      </c>
      <c r="G185" s="42" t="s">
        <v>37</v>
      </c>
      <c r="H185" s="43"/>
      <c r="I185" s="44" t="s">
        <v>420</v>
      </c>
      <c r="J185" s="7"/>
      <c r="K185" s="8" t="s">
        <v>13</v>
      </c>
      <c r="L185" s="108" t="s">
        <v>101</v>
      </c>
      <c r="M185" s="46" t="s">
        <v>8</v>
      </c>
      <c r="N185" s="47" t="b">
        <v>0</v>
      </c>
      <c r="O185" s="48">
        <f t="shared" si="1"/>
        <v>46314</v>
      </c>
      <c r="P185" s="49">
        <v>46297.0</v>
      </c>
      <c r="Q185" s="93">
        <v>46252.0</v>
      </c>
      <c r="R185" s="76">
        <f t="shared" si="2"/>
        <v>46312</v>
      </c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</row>
    <row r="186">
      <c r="A186" s="56" t="b">
        <v>1</v>
      </c>
      <c r="B186" s="77">
        <v>46297.0</v>
      </c>
      <c r="C186" s="98" t="s">
        <v>421</v>
      </c>
      <c r="D186" s="56">
        <v>971.0</v>
      </c>
      <c r="E186" s="40">
        <f>IFERROR(__xludf.DUMMYFUNCTION("IF(C186="""", """", XLOOKUP(TRIM(C186), 'COTRATOS ALBUNS 25.2'!E:E, 'COTRATOS ALBUNS 25.2'!D:D, XLOOKUP(TRIM(C186), IMPORTRANGE(""16smdYggRVyzhu5y9HP2ayvW__ybkjb1nkVsCvZrByLM"", ""'COTRATOS 26.1'!B:B""), IMPORTRANGE(""16smdYggRVyzhu5y9HP2ayvW__ybkjb1nkVsC"&amp;"vZrByLM"", ""'COTRATOS 26.1'!A:A""), """")))"),89364.0)</f>
        <v>89364</v>
      </c>
      <c r="F186" s="57" t="s">
        <v>44</v>
      </c>
      <c r="G186" s="42" t="s">
        <v>52</v>
      </c>
      <c r="H186" s="43"/>
      <c r="I186" s="58" t="s">
        <v>422</v>
      </c>
      <c r="J186" s="59"/>
      <c r="K186" s="8" t="s">
        <v>14</v>
      </c>
      <c r="L186" s="8" t="s">
        <v>89</v>
      </c>
      <c r="M186" s="53" t="s">
        <v>8</v>
      </c>
      <c r="N186" s="47" t="b">
        <v>0</v>
      </c>
      <c r="O186" s="48">
        <f t="shared" si="1"/>
        <v>46314</v>
      </c>
      <c r="P186" s="49">
        <v>46297.0</v>
      </c>
      <c r="Q186" s="61">
        <v>46288.0</v>
      </c>
      <c r="R186" s="76">
        <f t="shared" si="2"/>
        <v>46348</v>
      </c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</row>
    <row r="187">
      <c r="A187" s="36" t="b">
        <v>1</v>
      </c>
      <c r="B187" s="62">
        <v>46275.75141203703</v>
      </c>
      <c r="C187" s="38" t="s">
        <v>423</v>
      </c>
      <c r="D187" s="39">
        <v>1103.0</v>
      </c>
      <c r="E187" s="40">
        <f>IFERROR(__xludf.DUMMYFUNCTION("IF(C187="""", """", XLOOKUP(TRIM(C187), 'COTRATOS ALBUNS 25.2'!E:E, 'COTRATOS ALBUNS 25.2'!D:D, XLOOKUP(TRIM(C187), IMPORTRANGE(""16smdYggRVyzhu5y9HP2ayvW__ybkjb1nkVsCvZrByLM"", ""'COTRATOS 26.1'!B:B""), IMPORTRANGE(""16smdYggRVyzhu5y9HP2ayvW__ybkjb1nkVsC"&amp;"vZrByLM"", ""'COTRATOS 26.1'!A:A""), """")))"),76227.0)</f>
        <v>76227</v>
      </c>
      <c r="F187" s="41" t="s">
        <v>36</v>
      </c>
      <c r="G187" s="42" t="s">
        <v>87</v>
      </c>
      <c r="H187" s="43"/>
      <c r="I187" s="44" t="s">
        <v>424</v>
      </c>
      <c r="J187" s="7"/>
      <c r="K187" s="8" t="s">
        <v>13</v>
      </c>
      <c r="L187" s="8" t="s">
        <v>69</v>
      </c>
      <c r="M187" s="5"/>
      <c r="N187" s="63" t="b">
        <v>1</v>
      </c>
      <c r="O187" s="64">
        <f t="shared" si="1"/>
        <v>46292.75141</v>
      </c>
      <c r="P187" s="49">
        <v>46297.0</v>
      </c>
      <c r="Q187" s="85">
        <v>46219.0</v>
      </c>
      <c r="R187" s="86">
        <f t="shared" si="2"/>
        <v>46279</v>
      </c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</row>
    <row r="188">
      <c r="A188" s="67" t="b">
        <v>1</v>
      </c>
      <c r="B188" s="126">
        <v>46125.0</v>
      </c>
      <c r="C188" s="69" t="s">
        <v>425</v>
      </c>
      <c r="D188" s="70">
        <v>994.0</v>
      </c>
      <c r="E188" s="40">
        <f>IFERROR(__xludf.DUMMYFUNCTION("IF(C188="""", """", XLOOKUP(TRIM(C188), 'COTRATOS ALBUNS 25.2'!E:E, 'COTRATOS ALBUNS 25.2'!D:D, XLOOKUP(TRIM(C188), IMPORTRANGE(""16smdYggRVyzhu5y9HP2ayvW__ybkjb1nkVsCvZrByLM"", ""'COTRATOS 26.1'!B:B""), IMPORTRANGE(""16smdYggRVyzhu5y9HP2ayvW__ybkjb1nkVsC"&amp;"vZrByLM"", ""'COTRATOS 26.1'!A:A""), """")))"),87340.0)</f>
        <v>87340</v>
      </c>
      <c r="F188" s="71" t="s">
        <v>66</v>
      </c>
      <c r="G188" s="42" t="s">
        <v>45</v>
      </c>
      <c r="H188" s="43"/>
      <c r="I188" s="44" t="s">
        <v>426</v>
      </c>
      <c r="J188" s="5"/>
      <c r="K188" s="8" t="s">
        <v>13</v>
      </c>
      <c r="L188" s="8" t="s">
        <v>50</v>
      </c>
      <c r="M188" s="8" t="s">
        <v>8</v>
      </c>
      <c r="N188" s="63" t="b">
        <v>1</v>
      </c>
      <c r="O188" s="127">
        <f t="shared" si="1"/>
        <v>46142</v>
      </c>
      <c r="P188" s="60"/>
      <c r="Q188" s="134">
        <f>B188</f>
        <v>46125</v>
      </c>
      <c r="R188" s="86">
        <f t="shared" si="2"/>
        <v>46185</v>
      </c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</row>
    <row r="189">
      <c r="A189" s="67" t="b">
        <v>1</v>
      </c>
      <c r="B189" s="74">
        <v>46241.0</v>
      </c>
      <c r="C189" s="38" t="s">
        <v>427</v>
      </c>
      <c r="D189" s="36">
        <v>671.0</v>
      </c>
      <c r="E189" s="40">
        <f>IFERROR(__xludf.DUMMYFUNCTION("IF(C189="""", """", XLOOKUP(TRIM(C189), 'COTRATOS ALBUNS 25.2'!E:E, 'COTRATOS ALBUNS 25.2'!D:D, XLOOKUP(TRIM(C189), IMPORTRANGE(""16smdYggRVyzhu5y9HP2ayvW__ybkjb1nkVsCvZrByLM"", ""'COTRATOS 26.1'!B:B""), IMPORTRANGE(""16smdYggRVyzhu5y9HP2ayvW__ybkjb1nkVsC"&amp;"vZrByLM"", ""'COTRATOS 26.1'!A:A""), """")))"),87350.0)</f>
        <v>87350</v>
      </c>
      <c r="F189" s="41" t="s">
        <v>66</v>
      </c>
      <c r="G189" s="42" t="s">
        <v>91</v>
      </c>
      <c r="H189" s="43"/>
      <c r="I189" s="44" t="s">
        <v>428</v>
      </c>
      <c r="J189" s="5"/>
      <c r="K189" s="8" t="s">
        <v>13</v>
      </c>
      <c r="L189" s="8" t="s">
        <v>218</v>
      </c>
      <c r="M189" s="8" t="s">
        <v>8</v>
      </c>
      <c r="N189" s="63" t="b">
        <v>1</v>
      </c>
      <c r="O189" s="48">
        <f t="shared" si="1"/>
        <v>46258</v>
      </c>
      <c r="P189" s="49">
        <v>46297.0</v>
      </c>
      <c r="Q189" s="85">
        <v>46239.0</v>
      </c>
      <c r="R189" s="86">
        <f t="shared" si="2"/>
        <v>46299</v>
      </c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</row>
    <row r="190">
      <c r="A190" s="67" t="b">
        <v>1</v>
      </c>
      <c r="B190" s="68">
        <v>46210.54303240741</v>
      </c>
      <c r="C190" s="38" t="s">
        <v>429</v>
      </c>
      <c r="D190" s="36">
        <v>964.0</v>
      </c>
      <c r="E190" s="40">
        <f>IFERROR(__xludf.DUMMYFUNCTION("IF(C190="""", """", XLOOKUP(TRIM(C190), 'COTRATOS ALBUNS 25.2'!E:E, 'COTRATOS ALBUNS 25.2'!D:D, XLOOKUP(TRIM(C190), IMPORTRANGE(""16smdYggRVyzhu5y9HP2ayvW__ybkjb1nkVsCvZrByLM"", ""'COTRATOS 26.1'!B:B""), IMPORTRANGE(""16smdYggRVyzhu5y9HP2ayvW__ybkjb1nkVsC"&amp;"vZrByLM"", ""'COTRATOS 26.1'!A:A""), """")))"),88524.0)</f>
        <v>88524</v>
      </c>
      <c r="F190" s="41" t="s">
        <v>66</v>
      </c>
      <c r="G190" s="42" t="s">
        <v>71</v>
      </c>
      <c r="H190" s="43"/>
      <c r="I190" s="44" t="s">
        <v>430</v>
      </c>
      <c r="J190" s="5"/>
      <c r="K190" s="8" t="s">
        <v>13</v>
      </c>
      <c r="L190" s="8" t="s">
        <v>121</v>
      </c>
      <c r="M190" s="5"/>
      <c r="N190" s="63" t="b">
        <v>1</v>
      </c>
      <c r="O190" s="64">
        <f t="shared" si="1"/>
        <v>46227.54303</v>
      </c>
      <c r="P190" s="49">
        <v>46297.0</v>
      </c>
      <c r="Q190" s="85">
        <v>46211.0</v>
      </c>
      <c r="R190" s="86">
        <f t="shared" si="2"/>
        <v>46271</v>
      </c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</row>
    <row r="191">
      <c r="A191" s="67" t="b">
        <v>1</v>
      </c>
      <c r="B191" s="68">
        <v>46268.42570601852</v>
      </c>
      <c r="C191" s="70" t="s">
        <v>431</v>
      </c>
      <c r="D191" s="36">
        <v>994.0</v>
      </c>
      <c r="E191" s="40">
        <f>IFERROR(__xludf.DUMMYFUNCTION("IF(C191="""", """", XLOOKUP(TRIM(C191), 'COTRATOS ALBUNS 25.2'!E:E, 'COTRATOS ALBUNS 25.2'!D:D, XLOOKUP(TRIM(C191), IMPORTRANGE(""16smdYggRVyzhu5y9HP2ayvW__ybkjb1nkVsCvZrByLM"", ""'COTRATOS 26.1'!B:B""), IMPORTRANGE(""16smdYggRVyzhu5y9HP2ayvW__ybkjb1nkVsC"&amp;"vZrByLM"", ""'COTRATOS 26.1'!A:A""), """")))"),87705.0)</f>
        <v>87705</v>
      </c>
      <c r="F191" s="41" t="s">
        <v>66</v>
      </c>
      <c r="G191" s="42" t="s">
        <v>91</v>
      </c>
      <c r="H191" s="43"/>
      <c r="I191" s="44" t="s">
        <v>432</v>
      </c>
      <c r="J191" s="5"/>
      <c r="K191" s="8" t="s">
        <v>13</v>
      </c>
      <c r="L191" s="8" t="s">
        <v>93</v>
      </c>
      <c r="M191" s="8" t="s">
        <v>8</v>
      </c>
      <c r="N191" s="63" t="b">
        <v>1</v>
      </c>
      <c r="O191" s="64">
        <f t="shared" si="1"/>
        <v>46285.42571</v>
      </c>
      <c r="P191" s="49">
        <v>46297.0</v>
      </c>
      <c r="Q191" s="93">
        <v>46208.0</v>
      </c>
      <c r="R191" s="76">
        <f t="shared" si="2"/>
        <v>46268</v>
      </c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</row>
    <row r="192">
      <c r="A192" s="67" t="b">
        <v>1</v>
      </c>
      <c r="B192" s="68">
        <v>46268.42554398148</v>
      </c>
      <c r="C192" s="69" t="s">
        <v>433</v>
      </c>
      <c r="D192" s="70">
        <v>968.0</v>
      </c>
      <c r="E192" s="40">
        <f>IFERROR(__xludf.DUMMYFUNCTION("IF(C192="""", """", XLOOKUP(TRIM(C192), 'COTRATOS ALBUNS 25.2'!E:E, 'COTRATOS ALBUNS 25.2'!D:D, XLOOKUP(TRIM(C192), IMPORTRANGE(""16smdYggRVyzhu5y9HP2ayvW__ybkjb1nkVsCvZrByLM"", ""'COTRATOS 26.1'!B:B""), IMPORTRANGE(""16smdYggRVyzhu5y9HP2ayvW__ybkjb1nkVsC"&amp;"vZrByLM"", ""'COTRATOS 26.1'!A:A""), """")))"),84827.0)</f>
        <v>84827</v>
      </c>
      <c r="F192" s="71" t="s">
        <v>36</v>
      </c>
      <c r="G192" s="42" t="s">
        <v>37</v>
      </c>
      <c r="H192" s="43"/>
      <c r="I192" s="44" t="s">
        <v>434</v>
      </c>
      <c r="J192" s="5"/>
      <c r="K192" s="8" t="s">
        <v>13</v>
      </c>
      <c r="L192" s="8" t="s">
        <v>50</v>
      </c>
      <c r="M192" s="8" t="s">
        <v>8</v>
      </c>
      <c r="N192" s="63" t="b">
        <v>1</v>
      </c>
      <c r="O192" s="64">
        <f t="shared" si="1"/>
        <v>46285.42554</v>
      </c>
      <c r="P192" s="49">
        <v>46297.0</v>
      </c>
      <c r="Q192" s="72">
        <f>B192</f>
        <v>46268.42554</v>
      </c>
      <c r="R192" s="73">
        <f t="shared" si="2"/>
        <v>46328.42554</v>
      </c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</row>
    <row r="193">
      <c r="A193" s="96" t="b">
        <v>1</v>
      </c>
      <c r="B193" s="97">
        <v>46295.0</v>
      </c>
      <c r="C193" s="98" t="s">
        <v>435</v>
      </c>
      <c r="D193" s="99">
        <v>968.0</v>
      </c>
      <c r="E193" s="40">
        <f>IFERROR(__xludf.DUMMYFUNCTION("IF(C193="""", """", XLOOKUP(TRIM(C193), 'COTRATOS ALBUNS 25.2'!E:E, 'COTRATOS ALBUNS 25.2'!D:D, XLOOKUP(TRIM(C193), IMPORTRANGE(""16smdYggRVyzhu5y9HP2ayvW__ybkjb1nkVsCvZrByLM"", ""'COTRATOS 26.1'!B:B""), IMPORTRANGE(""16smdYggRVyzhu5y9HP2ayvW__ybkjb1nkVsC"&amp;"vZrByLM"", ""'COTRATOS 26.1'!A:A""), """")))"),84984.0)</f>
        <v>84984</v>
      </c>
      <c r="F193" s="57" t="s">
        <v>36</v>
      </c>
      <c r="G193" s="42" t="s">
        <v>57</v>
      </c>
      <c r="H193" s="43"/>
      <c r="I193" s="58" t="s">
        <v>436</v>
      </c>
      <c r="J193" s="59"/>
      <c r="K193" s="53" t="s">
        <v>6</v>
      </c>
      <c r="L193" s="45"/>
      <c r="M193" s="46" t="s">
        <v>8</v>
      </c>
      <c r="N193" s="47" t="b">
        <v>0</v>
      </c>
      <c r="O193" s="48">
        <f t="shared" si="1"/>
        <v>46312</v>
      </c>
      <c r="P193" s="49">
        <v>46297.0</v>
      </c>
      <c r="Q193" s="61"/>
      <c r="R193" s="51" t="str">
        <f t="shared" si="2"/>
        <v/>
      </c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</row>
    <row r="194">
      <c r="A194" s="53" t="b">
        <v>1</v>
      </c>
      <c r="B194" s="54">
        <v>46290.0</v>
      </c>
      <c r="C194" s="55" t="s">
        <v>437</v>
      </c>
      <c r="D194" s="56">
        <v>1172.0</v>
      </c>
      <c r="E194" s="40">
        <f>IFERROR(__xludf.DUMMYFUNCTION("IF(C194="""", """", XLOOKUP(TRIM(C194), 'COTRATOS ALBUNS 25.2'!E:E, 'COTRATOS ALBUNS 25.2'!D:D, XLOOKUP(TRIM(C194), IMPORTRANGE(""16smdYggRVyzhu5y9HP2ayvW__ybkjb1nkVsCvZrByLM"", ""'COTRATOS 26.1'!B:B""), IMPORTRANGE(""16smdYggRVyzhu5y9HP2ayvW__ybkjb1nkVsC"&amp;"vZrByLM"", ""'COTRATOS 26.1'!A:A""), """")))"),94295.0)</f>
        <v>94295</v>
      </c>
      <c r="F194" s="57" t="s">
        <v>40</v>
      </c>
      <c r="G194" s="42" t="s">
        <v>45</v>
      </c>
      <c r="H194" s="43"/>
      <c r="I194" s="58" t="s">
        <v>438</v>
      </c>
      <c r="J194" s="59"/>
      <c r="K194" s="53" t="s">
        <v>10</v>
      </c>
      <c r="L194" s="59"/>
      <c r="M194" s="59"/>
      <c r="N194" s="47" t="b">
        <v>0</v>
      </c>
      <c r="O194" s="48">
        <f t="shared" si="1"/>
        <v>46307</v>
      </c>
      <c r="P194" s="60"/>
      <c r="Q194" s="61"/>
      <c r="R194" s="51" t="str">
        <f t="shared" si="2"/>
        <v/>
      </c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</row>
    <row r="195">
      <c r="A195" s="53" t="b">
        <v>1</v>
      </c>
      <c r="B195" s="54">
        <v>46239.0</v>
      </c>
      <c r="C195" s="55" t="s">
        <v>439</v>
      </c>
      <c r="D195" s="89">
        <v>970.0</v>
      </c>
      <c r="E195" s="40">
        <f>IFERROR(__xludf.DUMMYFUNCTION("IF(C195="""", """", XLOOKUP(TRIM(C195), 'COTRATOS ALBUNS 25.2'!E:E, 'COTRATOS ALBUNS 25.2'!D:D, XLOOKUP(TRIM(C195), IMPORTRANGE(""16smdYggRVyzhu5y9HP2ayvW__ybkjb1nkVsCvZrByLM"", ""'COTRATOS 26.1'!B:B""), IMPORTRANGE(""16smdYggRVyzhu5y9HP2ayvW__ybkjb1nkVsC"&amp;"vZrByLM"", ""'COTRATOS 26.1'!A:A""), """")))"),93932.0)</f>
        <v>93932</v>
      </c>
      <c r="F195" s="57" t="s">
        <v>40</v>
      </c>
      <c r="G195" s="42" t="s">
        <v>45</v>
      </c>
      <c r="H195" s="43"/>
      <c r="I195" s="58" t="s">
        <v>440</v>
      </c>
      <c r="J195" s="59"/>
      <c r="K195" s="53" t="s">
        <v>10</v>
      </c>
      <c r="L195" s="59"/>
      <c r="M195" s="59"/>
      <c r="N195" s="47" t="b">
        <v>0</v>
      </c>
      <c r="O195" s="48">
        <f t="shared" si="1"/>
        <v>46256</v>
      </c>
      <c r="P195" s="60"/>
      <c r="Q195" s="61"/>
      <c r="R195" s="51" t="str">
        <f t="shared" si="2"/>
        <v/>
      </c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</row>
    <row r="196">
      <c r="A196" s="67" t="b">
        <v>1</v>
      </c>
      <c r="B196" s="68">
        <v>46268.425833333335</v>
      </c>
      <c r="C196" s="69" t="s">
        <v>441</v>
      </c>
      <c r="D196" s="70">
        <v>994.0</v>
      </c>
      <c r="E196" s="40">
        <f>IFERROR(__xludf.DUMMYFUNCTION("IF(C196="""", """", XLOOKUP(TRIM(C196), 'COTRATOS ALBUNS 25.2'!E:E, 'COTRATOS ALBUNS 25.2'!D:D, XLOOKUP(TRIM(C196), IMPORTRANGE(""16smdYggRVyzhu5y9HP2ayvW__ybkjb1nkVsCvZrByLM"", ""'COTRATOS 26.1'!B:B""), IMPORTRANGE(""16smdYggRVyzhu5y9HP2ayvW__ybkjb1nkVsC"&amp;"vZrByLM"", ""'COTRATOS 26.1'!A:A""), """")))"),88044.0)</f>
        <v>88044</v>
      </c>
      <c r="F196" s="71" t="s">
        <v>36</v>
      </c>
      <c r="G196" s="42" t="s">
        <v>71</v>
      </c>
      <c r="H196" s="43"/>
      <c r="I196" s="44" t="s">
        <v>442</v>
      </c>
      <c r="J196" s="5"/>
      <c r="K196" s="8" t="s">
        <v>13</v>
      </c>
      <c r="L196" s="8" t="s">
        <v>54</v>
      </c>
      <c r="M196" s="8" t="s">
        <v>8</v>
      </c>
      <c r="N196" s="63" t="b">
        <v>1</v>
      </c>
      <c r="O196" s="64">
        <f t="shared" si="1"/>
        <v>46285.42583</v>
      </c>
      <c r="P196" s="49">
        <v>46297.0</v>
      </c>
      <c r="Q196" s="72">
        <f>B196</f>
        <v>46268.42583</v>
      </c>
      <c r="R196" s="73">
        <f t="shared" si="2"/>
        <v>46328.42583</v>
      </c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</row>
    <row r="197">
      <c r="A197" s="67" t="b">
        <v>1</v>
      </c>
      <c r="B197" s="74">
        <v>46246.46921296296</v>
      </c>
      <c r="C197" s="69" t="s">
        <v>443</v>
      </c>
      <c r="D197" s="70">
        <v>895.0</v>
      </c>
      <c r="E197" s="40">
        <f>IFERROR(__xludf.DUMMYFUNCTION("IF(C197="""", """", XLOOKUP(TRIM(C197), 'COTRATOS ALBUNS 25.2'!E:E, 'COTRATOS ALBUNS 25.2'!D:D, XLOOKUP(TRIM(C197), IMPORTRANGE(""16smdYggRVyzhu5y9HP2ayvW__ybkjb1nkVsCvZrByLM"", ""'COTRATOS 26.1'!B:B""), IMPORTRANGE(""16smdYggRVyzhu5y9HP2ayvW__ybkjb1nkVsC"&amp;"vZrByLM"", ""'COTRATOS 26.1'!A:A""), """")))"),86474.0)</f>
        <v>86474</v>
      </c>
      <c r="F197" s="71" t="s">
        <v>36</v>
      </c>
      <c r="G197" s="42" t="s">
        <v>41</v>
      </c>
      <c r="H197" s="43"/>
      <c r="I197" s="44" t="s">
        <v>444</v>
      </c>
      <c r="J197" s="5"/>
      <c r="K197" s="8" t="s">
        <v>13</v>
      </c>
      <c r="L197" s="8" t="s">
        <v>218</v>
      </c>
      <c r="M197" s="46" t="s">
        <v>8</v>
      </c>
      <c r="N197" s="63" t="b">
        <v>1</v>
      </c>
      <c r="O197" s="48">
        <f t="shared" si="1"/>
        <v>46263.46921</v>
      </c>
      <c r="P197" s="49">
        <v>46297.0</v>
      </c>
      <c r="Q197" s="50">
        <v>46246.0</v>
      </c>
      <c r="R197" s="86">
        <f t="shared" si="2"/>
        <v>46306</v>
      </c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</row>
    <row r="198">
      <c r="A198" s="53" t="b">
        <v>1</v>
      </c>
      <c r="B198" s="54">
        <v>46297.0</v>
      </c>
      <c r="C198" s="55" t="s">
        <v>445</v>
      </c>
      <c r="D198" s="56">
        <v>1172.0</v>
      </c>
      <c r="E198" s="40">
        <f>IFERROR(__xludf.DUMMYFUNCTION("IF(C198="""", """", XLOOKUP(TRIM(C198), 'COTRATOS ALBUNS 25.2'!E:E, 'COTRATOS ALBUNS 25.2'!D:D, XLOOKUP(TRIM(C198), IMPORTRANGE(""16smdYggRVyzhu5y9HP2ayvW__ybkjb1nkVsCvZrByLM"", ""'COTRATOS 26.1'!B:B""), IMPORTRANGE(""16smdYggRVyzhu5y9HP2ayvW__ybkjb1nkVsC"&amp;"vZrByLM"", ""'COTRATOS 26.1'!A:A""), """")))"),87026.0)</f>
        <v>87026</v>
      </c>
      <c r="F198" s="57" t="s">
        <v>36</v>
      </c>
      <c r="G198" s="42" t="s">
        <v>57</v>
      </c>
      <c r="H198" s="43"/>
      <c r="I198" s="58" t="s">
        <v>446</v>
      </c>
      <c r="J198" s="59"/>
      <c r="K198" s="8" t="s">
        <v>14</v>
      </c>
      <c r="L198" s="8" t="s">
        <v>89</v>
      </c>
      <c r="M198" s="53" t="s">
        <v>8</v>
      </c>
      <c r="N198" s="47" t="b">
        <v>0</v>
      </c>
      <c r="O198" s="48">
        <f t="shared" si="1"/>
        <v>46314</v>
      </c>
      <c r="P198" s="49">
        <v>46297.0</v>
      </c>
      <c r="Q198" s="61">
        <v>46287.0</v>
      </c>
      <c r="R198" s="76">
        <f t="shared" si="2"/>
        <v>46347</v>
      </c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</row>
    <row r="199">
      <c r="A199" s="36" t="b">
        <v>1</v>
      </c>
      <c r="B199" s="100">
        <v>46297.0</v>
      </c>
      <c r="C199" s="38" t="s">
        <v>447</v>
      </c>
      <c r="D199" s="36">
        <v>1173.0</v>
      </c>
      <c r="E199" s="40">
        <f>IFERROR(__xludf.DUMMYFUNCTION("IF(C199="""", """", XLOOKUP(TRIM(C199), 'COTRATOS ALBUNS 25.2'!E:E, 'COTRATOS ALBUNS 25.2'!D:D, XLOOKUP(TRIM(C199), IMPORTRANGE(""16smdYggRVyzhu5y9HP2ayvW__ybkjb1nkVsCvZrByLM"", ""'COTRATOS 26.1'!B:B""), IMPORTRANGE(""16smdYggRVyzhu5y9HP2ayvW__ybkjb1nkVsC"&amp;"vZrByLM"", ""'COTRATOS 26.1'!A:A""), """")))"),87129.0)</f>
        <v>87129</v>
      </c>
      <c r="F199" s="41" t="s">
        <v>36</v>
      </c>
      <c r="G199" s="42" t="s">
        <v>57</v>
      </c>
      <c r="H199" s="43"/>
      <c r="I199" s="44" t="s">
        <v>448</v>
      </c>
      <c r="J199" s="5"/>
      <c r="K199" s="8" t="s">
        <v>14</v>
      </c>
      <c r="L199" s="8" t="s">
        <v>132</v>
      </c>
      <c r="M199" s="46" t="s">
        <v>8</v>
      </c>
      <c r="N199" s="47" t="b">
        <v>0</v>
      </c>
      <c r="O199" s="48">
        <f t="shared" si="1"/>
        <v>46314</v>
      </c>
      <c r="P199" s="49">
        <v>46297.0</v>
      </c>
      <c r="Q199" s="61">
        <v>46283.0</v>
      </c>
      <c r="R199" s="76">
        <f t="shared" si="2"/>
        <v>46343</v>
      </c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</row>
    <row r="200">
      <c r="A200" s="56" t="b">
        <v>1</v>
      </c>
      <c r="B200" s="77">
        <v>46297.0</v>
      </c>
      <c r="C200" s="78" t="s">
        <v>449</v>
      </c>
      <c r="D200" s="79">
        <v>1172.0</v>
      </c>
      <c r="E200" s="40">
        <f>IFERROR(__xludf.DUMMYFUNCTION("IF(C200="""", """", XLOOKUP(TRIM(C200), 'COTRATOS ALBUNS 25.2'!E:E, 'COTRATOS ALBUNS 25.2'!D:D, XLOOKUP(TRIM(C200), IMPORTRANGE(""16smdYggRVyzhu5y9HP2ayvW__ybkjb1nkVsCvZrByLM"", ""'COTRATOS 26.1'!B:B""), IMPORTRANGE(""16smdYggRVyzhu5y9HP2ayvW__ybkjb1nkVsC"&amp;"vZrByLM"", ""'COTRATOS 26.1'!A:A""), """")))"),90018.0)</f>
        <v>90018</v>
      </c>
      <c r="F200" s="57" t="s">
        <v>44</v>
      </c>
      <c r="G200" s="42" t="s">
        <v>350</v>
      </c>
      <c r="H200" s="43"/>
      <c r="I200" s="58" t="s">
        <v>450</v>
      </c>
      <c r="J200" s="59"/>
      <c r="K200" s="8" t="s">
        <v>13</v>
      </c>
      <c r="L200" s="53" t="s">
        <v>78</v>
      </c>
      <c r="M200" s="53" t="s">
        <v>8</v>
      </c>
      <c r="N200" s="47" t="b">
        <v>0</v>
      </c>
      <c r="O200" s="48">
        <f t="shared" si="1"/>
        <v>46314</v>
      </c>
      <c r="P200" s="49">
        <v>46297.0</v>
      </c>
      <c r="Q200" s="61">
        <v>46262.0</v>
      </c>
      <c r="R200" s="76">
        <f t="shared" si="2"/>
        <v>46322</v>
      </c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</row>
    <row r="201">
      <c r="A201" s="67" t="b">
        <v>1</v>
      </c>
      <c r="B201" s="74">
        <v>46170.8519212963</v>
      </c>
      <c r="C201" s="69" t="s">
        <v>451</v>
      </c>
      <c r="D201" s="70">
        <v>968.0</v>
      </c>
      <c r="E201" s="40">
        <f>IFERROR(__xludf.DUMMYFUNCTION("IF(C201="""", """", XLOOKUP(TRIM(C201), 'COTRATOS ALBUNS 25.2'!E:E, 'COTRATOS ALBUNS 25.2'!D:D, XLOOKUP(TRIM(C201), IMPORTRANGE(""16smdYggRVyzhu5y9HP2ayvW__ybkjb1nkVsCvZrByLM"", ""'COTRATOS 26.1'!B:B""), IMPORTRANGE(""16smdYggRVyzhu5y9HP2ayvW__ybkjb1nkVsC"&amp;"vZrByLM"", ""'COTRATOS 26.1'!A:A""), """")))"),85655.0)</f>
        <v>85655</v>
      </c>
      <c r="F201" s="71" t="s">
        <v>36</v>
      </c>
      <c r="G201" s="42" t="s">
        <v>168</v>
      </c>
      <c r="H201" s="43"/>
      <c r="I201" s="44" t="s">
        <v>452</v>
      </c>
      <c r="J201" s="5"/>
      <c r="K201" s="8" t="s">
        <v>13</v>
      </c>
      <c r="L201" s="8" t="s">
        <v>50</v>
      </c>
      <c r="M201" s="5"/>
      <c r="N201" s="63" t="b">
        <v>1</v>
      </c>
      <c r="O201" s="48">
        <f t="shared" si="1"/>
        <v>46187.85192</v>
      </c>
      <c r="P201" s="49">
        <v>46297.0</v>
      </c>
      <c r="Q201" s="75">
        <f>B201</f>
        <v>46170.85192</v>
      </c>
      <c r="R201" s="76">
        <f t="shared" si="2"/>
        <v>46230.85192</v>
      </c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</row>
    <row r="202">
      <c r="A202" s="53" t="b">
        <v>1</v>
      </c>
      <c r="B202" s="54">
        <v>46278.0</v>
      </c>
      <c r="C202" s="135" t="s">
        <v>453</v>
      </c>
      <c r="D202" s="38">
        <v>1172.0</v>
      </c>
      <c r="E202" s="40">
        <f>IFERROR(__xludf.DUMMYFUNCTION("IF(C202="""", """", XLOOKUP(TRIM(C202), 'COTRATOS ALBUNS 25.2'!E:E, 'COTRATOS ALBUNS 25.2'!D:D, XLOOKUP(TRIM(C202), IMPORTRANGE(""16smdYggRVyzhu5y9HP2ayvW__ybkjb1nkVsCvZrByLM"", ""'COTRATOS 26.1'!B:B""), IMPORTRANGE(""16smdYggRVyzhu5y9HP2ayvW__ybkjb1nkVsC"&amp;"vZrByLM"", ""'COTRATOS 26.1'!A:A""), """")))"),88179.0)</f>
        <v>88179</v>
      </c>
      <c r="F202" s="57" t="s">
        <v>66</v>
      </c>
      <c r="G202" s="42" t="s">
        <v>207</v>
      </c>
      <c r="H202" s="43"/>
      <c r="I202" s="58" t="s">
        <v>454</v>
      </c>
      <c r="J202" s="59"/>
      <c r="K202" s="8" t="s">
        <v>6</v>
      </c>
      <c r="L202" s="59"/>
      <c r="M202" s="53" t="s">
        <v>8</v>
      </c>
      <c r="N202" s="47" t="b">
        <v>0</v>
      </c>
      <c r="O202" s="48">
        <f t="shared" si="1"/>
        <v>46295</v>
      </c>
      <c r="P202" s="49">
        <v>46309.0</v>
      </c>
      <c r="Q202" s="61"/>
      <c r="R202" s="51" t="str">
        <f t="shared" si="2"/>
        <v/>
      </c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</row>
    <row r="203">
      <c r="A203" s="56" t="b">
        <v>1</v>
      </c>
      <c r="B203" s="77">
        <v>46105.0</v>
      </c>
      <c r="C203" s="98" t="s">
        <v>455</v>
      </c>
      <c r="D203" s="56">
        <v>968.0</v>
      </c>
      <c r="E203" s="40">
        <f>IFERROR(__xludf.DUMMYFUNCTION("IF(C203="""", """", XLOOKUP(TRIM(C203), 'COTRATOS ALBUNS 25.2'!E:E, 'COTRATOS ALBUNS 25.2'!D:D, XLOOKUP(TRIM(C203), IMPORTRANGE(""16smdYggRVyzhu5y9HP2ayvW__ybkjb1nkVsCvZrByLM"", ""'COTRATOS 26.1'!B:B""), IMPORTRANGE(""16smdYggRVyzhu5y9HP2ayvW__ybkjb1nkVsC"&amp;"vZrByLM"", ""'COTRATOS 26.1'!A:A""), """")))"),86700.0)</f>
        <v>86700</v>
      </c>
      <c r="F203" s="57" t="s">
        <v>36</v>
      </c>
      <c r="G203" s="42" t="s">
        <v>456</v>
      </c>
      <c r="H203" s="43"/>
      <c r="I203" s="58" t="s">
        <v>457</v>
      </c>
      <c r="J203" s="59"/>
      <c r="K203" s="8" t="s">
        <v>6</v>
      </c>
      <c r="L203" s="53"/>
      <c r="M203" s="53" t="s">
        <v>8</v>
      </c>
      <c r="N203" s="47" t="b">
        <v>0</v>
      </c>
      <c r="O203" s="48">
        <f t="shared" si="1"/>
        <v>46122</v>
      </c>
      <c r="P203" s="49">
        <v>46141.0</v>
      </c>
      <c r="Q203" s="61"/>
      <c r="R203" s="51" t="str">
        <f t="shared" si="2"/>
        <v/>
      </c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</row>
    <row r="204">
      <c r="A204" s="67" t="b">
        <v>1</v>
      </c>
      <c r="B204" s="68">
        <v>46268.42527777777</v>
      </c>
      <c r="C204" s="38" t="s">
        <v>458</v>
      </c>
      <c r="D204" s="36">
        <v>1172.0</v>
      </c>
      <c r="E204" s="40">
        <f>IFERROR(__xludf.DUMMYFUNCTION("IF(C204="""", """", XLOOKUP(TRIM(C204), 'COTRATOS ALBUNS 25.2'!E:E, 'COTRATOS ALBUNS 25.2'!D:D, XLOOKUP(TRIM(C204), IMPORTRANGE(""16smdYggRVyzhu5y9HP2ayvW__ybkjb1nkVsCvZrByLM"", ""'COTRATOS 26.1'!B:B""), IMPORTRANGE(""16smdYggRVyzhu5y9HP2ayvW__ybkjb1nkVsC"&amp;"vZrByLM"", ""'COTRATOS 26.1'!A:A""), """")))"),86587.0)</f>
        <v>86587</v>
      </c>
      <c r="F204" s="41" t="s">
        <v>66</v>
      </c>
      <c r="G204" s="42" t="s">
        <v>95</v>
      </c>
      <c r="H204" s="43"/>
      <c r="I204" s="44" t="s">
        <v>459</v>
      </c>
      <c r="J204" s="5"/>
      <c r="K204" s="8" t="s">
        <v>13</v>
      </c>
      <c r="L204" s="8" t="s">
        <v>93</v>
      </c>
      <c r="M204" s="8" t="s">
        <v>8</v>
      </c>
      <c r="N204" s="63" t="b">
        <v>1</v>
      </c>
      <c r="O204" s="64">
        <f t="shared" si="1"/>
        <v>46285.42528</v>
      </c>
      <c r="P204" s="49">
        <v>46297.0</v>
      </c>
      <c r="Q204" s="93">
        <v>46205.0</v>
      </c>
      <c r="R204" s="76">
        <f t="shared" si="2"/>
        <v>46265</v>
      </c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</row>
    <row r="205">
      <c r="A205" s="67" t="b">
        <v>1</v>
      </c>
      <c r="B205" s="68">
        <v>46268.42576388889</v>
      </c>
      <c r="C205" s="38" t="s">
        <v>460</v>
      </c>
      <c r="D205" s="36">
        <v>964.0</v>
      </c>
      <c r="E205" s="40">
        <f>IFERROR(__xludf.DUMMYFUNCTION("IF(C205="""", """", XLOOKUP(TRIM(C205), 'COTRATOS ALBUNS 25.2'!E:E, 'COTRATOS ALBUNS 25.2'!D:D, XLOOKUP(TRIM(C205), IMPORTRANGE(""16smdYggRVyzhu5y9HP2ayvW__ybkjb1nkVsCvZrByLM"", ""'COTRATOS 26.1'!B:B""), IMPORTRANGE(""16smdYggRVyzhu5y9HP2ayvW__ybkjb1nkVsC"&amp;"vZrByLM"", ""'COTRATOS 26.1'!A:A""), """")))"),87548.0)</f>
        <v>87548</v>
      </c>
      <c r="F205" s="41" t="s">
        <v>66</v>
      </c>
      <c r="G205" s="42" t="s">
        <v>71</v>
      </c>
      <c r="H205" s="43"/>
      <c r="I205" s="44" t="s">
        <v>461</v>
      </c>
      <c r="J205" s="5"/>
      <c r="K205" s="8" t="s">
        <v>13</v>
      </c>
      <c r="L205" s="8" t="s">
        <v>93</v>
      </c>
      <c r="M205" s="8" t="s">
        <v>8</v>
      </c>
      <c r="N205" s="63" t="b">
        <v>1</v>
      </c>
      <c r="O205" s="64">
        <f t="shared" si="1"/>
        <v>46285.42576</v>
      </c>
      <c r="P205" s="49">
        <v>46297.0</v>
      </c>
      <c r="Q205" s="93">
        <v>46205.0</v>
      </c>
      <c r="R205" s="76">
        <f t="shared" si="2"/>
        <v>46265</v>
      </c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</row>
    <row r="206">
      <c r="A206" s="36" t="b">
        <v>1</v>
      </c>
      <c r="B206" s="37">
        <v>46206.0</v>
      </c>
      <c r="C206" s="38" t="s">
        <v>462</v>
      </c>
      <c r="D206" s="39">
        <v>957.0</v>
      </c>
      <c r="E206" s="40">
        <f>IFERROR(__xludf.DUMMYFUNCTION("IF(C206="""", """", XLOOKUP(TRIM(C206), 'COTRATOS ALBUNS 25.2'!E:E, 'COTRATOS ALBUNS 25.2'!D:D, XLOOKUP(TRIM(C206), IMPORTRANGE(""16smdYggRVyzhu5y9HP2ayvW__ybkjb1nkVsCvZrByLM"", ""'COTRATOS 26.1'!B:B""), IMPORTRANGE(""16smdYggRVyzhu5y9HP2ayvW__ybkjb1nkVsC"&amp;"vZrByLM"", ""'COTRATOS 26.1'!A:A""), """")))"),87735.0)</f>
        <v>87735</v>
      </c>
      <c r="F206" s="41" t="s">
        <v>66</v>
      </c>
      <c r="G206" s="42" t="s">
        <v>91</v>
      </c>
      <c r="H206" s="43"/>
      <c r="I206" s="44" t="s">
        <v>463</v>
      </c>
      <c r="J206" s="7"/>
      <c r="K206" s="8" t="s">
        <v>144</v>
      </c>
      <c r="L206" s="8"/>
      <c r="M206" s="46" t="s">
        <v>8</v>
      </c>
      <c r="N206" s="47" t="b">
        <v>0</v>
      </c>
      <c r="O206" s="48">
        <f t="shared" si="1"/>
        <v>46223</v>
      </c>
      <c r="P206" s="49">
        <v>46239.0</v>
      </c>
      <c r="Q206" s="93">
        <v>46309.0</v>
      </c>
      <c r="R206" s="76">
        <f t="shared" si="2"/>
        <v>46369</v>
      </c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</row>
    <row r="207">
      <c r="A207" s="67" t="b">
        <v>1</v>
      </c>
      <c r="B207" s="68">
        <v>46268.42585648148</v>
      </c>
      <c r="C207" s="69" t="s">
        <v>464</v>
      </c>
      <c r="D207" s="70">
        <v>988.0</v>
      </c>
      <c r="E207" s="40">
        <f>IFERROR(__xludf.DUMMYFUNCTION("IF(C207="""", """", XLOOKUP(TRIM(C207), 'COTRATOS ALBUNS 25.2'!E:E, 'COTRATOS ALBUNS 25.2'!D:D, XLOOKUP(TRIM(C207), IMPORTRANGE(""16smdYggRVyzhu5y9HP2ayvW__ybkjb1nkVsCvZrByLM"", ""'COTRATOS 26.1'!B:B""), IMPORTRANGE(""16smdYggRVyzhu5y9HP2ayvW__ybkjb1nkVsC"&amp;"vZrByLM"", ""'COTRATOS 26.1'!A:A""), """")))"),88061.0)</f>
        <v>88061</v>
      </c>
      <c r="F207" s="71" t="s">
        <v>66</v>
      </c>
      <c r="G207" s="42" t="s">
        <v>41</v>
      </c>
      <c r="H207" s="43"/>
      <c r="I207" s="44" t="s">
        <v>465</v>
      </c>
      <c r="J207" s="5"/>
      <c r="K207" s="8" t="s">
        <v>13</v>
      </c>
      <c r="L207" s="8" t="s">
        <v>50</v>
      </c>
      <c r="M207" s="8" t="s">
        <v>8</v>
      </c>
      <c r="N207" s="63" t="b">
        <v>1</v>
      </c>
      <c r="O207" s="64">
        <f t="shared" si="1"/>
        <v>46285.42586</v>
      </c>
      <c r="P207" s="49">
        <v>46297.0</v>
      </c>
      <c r="Q207" s="72">
        <f>B207</f>
        <v>46268.42586</v>
      </c>
      <c r="R207" s="73">
        <f t="shared" si="2"/>
        <v>46328.42586</v>
      </c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</row>
    <row r="208">
      <c r="A208" s="67" t="b">
        <v>1</v>
      </c>
      <c r="B208" s="68">
        <v>46275.751446759255</v>
      </c>
      <c r="C208" s="38" t="s">
        <v>466</v>
      </c>
      <c r="D208" s="36">
        <v>957.0</v>
      </c>
      <c r="E208" s="40">
        <f>IFERROR(__xludf.DUMMYFUNCTION("IF(C208="""", """", XLOOKUP(TRIM(C208), 'COTRATOS ALBUNS 25.2'!E:E, 'COTRATOS ALBUNS 25.2'!D:D, XLOOKUP(TRIM(C208), IMPORTRANGE(""16smdYggRVyzhu5y9HP2ayvW__ybkjb1nkVsCvZrByLM"", ""'COTRATOS 26.1'!B:B""), IMPORTRANGE(""16smdYggRVyzhu5y9HP2ayvW__ybkjb1nkVsC"&amp;"vZrByLM"", ""'COTRATOS 26.1'!A:A""), """")))"),87586.0)</f>
        <v>87586</v>
      </c>
      <c r="F208" s="41" t="s">
        <v>36</v>
      </c>
      <c r="G208" s="42" t="s">
        <v>91</v>
      </c>
      <c r="H208" s="43"/>
      <c r="I208" s="44" t="s">
        <v>467</v>
      </c>
      <c r="J208" s="5"/>
      <c r="K208" s="8" t="s">
        <v>13</v>
      </c>
      <c r="L208" s="8" t="s">
        <v>69</v>
      </c>
      <c r="M208" s="5"/>
      <c r="N208" s="63" t="b">
        <v>1</v>
      </c>
      <c r="O208" s="64">
        <f t="shared" si="1"/>
        <v>46292.75145</v>
      </c>
      <c r="P208" s="49">
        <v>46297.0</v>
      </c>
      <c r="Q208" s="85">
        <v>46219.0</v>
      </c>
      <c r="R208" s="86">
        <f t="shared" si="2"/>
        <v>46279</v>
      </c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</row>
    <row r="209">
      <c r="A209" s="56" t="b">
        <v>1</v>
      </c>
      <c r="B209" s="77">
        <v>46297.0</v>
      </c>
      <c r="C209" s="98" t="s">
        <v>468</v>
      </c>
      <c r="D209" s="56">
        <v>1103.0</v>
      </c>
      <c r="E209" s="40">
        <f>IFERROR(__xludf.DUMMYFUNCTION("IF(C209="""", """", XLOOKUP(TRIM(C209), 'COTRATOS ALBUNS 25.2'!E:E, 'COTRATOS ALBUNS 25.2'!D:D, XLOOKUP(TRIM(C209), IMPORTRANGE(""16smdYggRVyzhu5y9HP2ayvW__ybkjb1nkVsCvZrByLM"", ""'COTRATOS 26.1'!B:B""), IMPORTRANGE(""16smdYggRVyzhu5y9HP2ayvW__ybkjb1nkVsC"&amp;"vZrByLM"", ""'COTRATOS 26.1'!A:A""), """")))"),90297.0)</f>
        <v>90297</v>
      </c>
      <c r="F209" s="57" t="s">
        <v>36</v>
      </c>
      <c r="G209" s="42" t="s">
        <v>45</v>
      </c>
      <c r="H209" s="43"/>
      <c r="I209" s="58" t="s">
        <v>469</v>
      </c>
      <c r="J209" s="59"/>
      <c r="K209" s="8" t="s">
        <v>13</v>
      </c>
      <c r="L209" s="45" t="s">
        <v>78</v>
      </c>
      <c r="M209" s="8" t="s">
        <v>8</v>
      </c>
      <c r="N209" s="47" t="b">
        <v>0</v>
      </c>
      <c r="O209" s="48">
        <f t="shared" si="1"/>
        <v>46314</v>
      </c>
      <c r="P209" s="49">
        <v>46297.0</v>
      </c>
      <c r="Q209" s="61">
        <v>46265.0</v>
      </c>
      <c r="R209" s="76">
        <f t="shared" si="2"/>
        <v>46325</v>
      </c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</row>
    <row r="210">
      <c r="A210" s="56" t="b">
        <v>1</v>
      </c>
      <c r="B210" s="77">
        <v>46243.0</v>
      </c>
      <c r="C210" s="98" t="s">
        <v>470</v>
      </c>
      <c r="D210" s="56">
        <v>970.0</v>
      </c>
      <c r="E210" s="40">
        <f>IFERROR(__xludf.DUMMYFUNCTION("IF(C210="""", """", XLOOKUP(TRIM(C210), 'COTRATOS ALBUNS 25.2'!E:E, 'COTRATOS ALBUNS 25.2'!D:D, XLOOKUP(TRIM(C210), IMPORTRANGE(""16smdYggRVyzhu5y9HP2ayvW__ybkjb1nkVsCvZrByLM"", ""'COTRATOS 26.1'!B:B""), IMPORTRANGE(""16smdYggRVyzhu5y9HP2ayvW__ybkjb1nkVsC"&amp;"vZrByLM"", ""'COTRATOS 26.1'!A:A""), """")))"),93931.0)</f>
        <v>93931</v>
      </c>
      <c r="F210" s="57" t="s">
        <v>44</v>
      </c>
      <c r="G210" s="42" t="s">
        <v>168</v>
      </c>
      <c r="H210" s="43"/>
      <c r="I210" s="58" t="s">
        <v>471</v>
      </c>
      <c r="J210" s="59"/>
      <c r="K210" s="8" t="s">
        <v>6</v>
      </c>
      <c r="L210" s="45"/>
      <c r="M210" s="53" t="s">
        <v>8</v>
      </c>
      <c r="N210" s="47" t="b">
        <v>0</v>
      </c>
      <c r="O210" s="48">
        <f t="shared" si="1"/>
        <v>46260</v>
      </c>
      <c r="P210" s="49">
        <v>46297.0</v>
      </c>
      <c r="Q210" s="61"/>
      <c r="R210" s="51" t="str">
        <f t="shared" si="2"/>
        <v/>
      </c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</row>
    <row r="211">
      <c r="A211" s="53" t="b">
        <v>1</v>
      </c>
      <c r="B211" s="54">
        <v>46297.0</v>
      </c>
      <c r="C211" s="55" t="s">
        <v>472</v>
      </c>
      <c r="D211" s="56">
        <v>1066.0</v>
      </c>
      <c r="E211" s="40">
        <f>IFERROR(__xludf.DUMMYFUNCTION("IF(C211="""", """", XLOOKUP(TRIM(C211), 'COTRATOS ALBUNS 25.2'!E:E, 'COTRATOS ALBUNS 25.2'!D:D, XLOOKUP(TRIM(C211), IMPORTRANGE(""16smdYggRVyzhu5y9HP2ayvW__ybkjb1nkVsCvZrByLM"", ""'COTRATOS 26.1'!B:B""), IMPORTRANGE(""16smdYggRVyzhu5y9HP2ayvW__ybkjb1nkVsC"&amp;"vZrByLM"", ""'COTRATOS 26.1'!A:A""), """")))"),95539.0)</f>
        <v>95539</v>
      </c>
      <c r="F211" s="57" t="s">
        <v>40</v>
      </c>
      <c r="G211" s="42" t="s">
        <v>52</v>
      </c>
      <c r="H211" s="43"/>
      <c r="I211" s="58" t="s">
        <v>473</v>
      </c>
      <c r="J211" s="59"/>
      <c r="K211" s="8" t="s">
        <v>14</v>
      </c>
      <c r="L211" s="8" t="s">
        <v>89</v>
      </c>
      <c r="M211" s="53" t="s">
        <v>8</v>
      </c>
      <c r="N211" s="47" t="b">
        <v>0</v>
      </c>
      <c r="O211" s="48">
        <f t="shared" si="1"/>
        <v>46314</v>
      </c>
      <c r="P211" s="49">
        <v>46297.0</v>
      </c>
      <c r="Q211" s="61">
        <v>46287.0</v>
      </c>
      <c r="R211" s="76">
        <f t="shared" si="2"/>
        <v>46347</v>
      </c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</row>
    <row r="212">
      <c r="A212" s="67" t="b">
        <v>1</v>
      </c>
      <c r="B212" s="68">
        <v>46268.42607638889</v>
      </c>
      <c r="C212" s="69" t="s">
        <v>474</v>
      </c>
      <c r="D212" s="70">
        <v>1084.0</v>
      </c>
      <c r="E212" s="40">
        <f>IFERROR(__xludf.DUMMYFUNCTION("IF(C212="""", """", XLOOKUP(TRIM(C212), 'COTRATOS ALBUNS 25.2'!E:E, 'COTRATOS ALBUNS 25.2'!D:D, XLOOKUP(TRIM(C212), IMPORTRANGE(""16smdYggRVyzhu5y9HP2ayvW__ybkjb1nkVsCvZrByLM"", ""'COTRATOS 26.1'!B:B""), IMPORTRANGE(""16smdYggRVyzhu5y9HP2ayvW__ybkjb1nkVsC"&amp;"vZrByLM"", ""'COTRATOS 26.1'!A:A""), """")))"),87721.0)</f>
        <v>87721</v>
      </c>
      <c r="F212" s="71" t="s">
        <v>36</v>
      </c>
      <c r="G212" s="42" t="s">
        <v>87</v>
      </c>
      <c r="H212" s="43"/>
      <c r="I212" s="44" t="s">
        <v>475</v>
      </c>
      <c r="J212" s="5"/>
      <c r="K212" s="8" t="s">
        <v>13</v>
      </c>
      <c r="L212" s="8" t="s">
        <v>50</v>
      </c>
      <c r="M212" s="8" t="s">
        <v>8</v>
      </c>
      <c r="N212" s="63" t="b">
        <v>1</v>
      </c>
      <c r="O212" s="64">
        <f t="shared" si="1"/>
        <v>46285.42608</v>
      </c>
      <c r="P212" s="49">
        <v>46297.0</v>
      </c>
      <c r="Q212" s="72">
        <f>B212</f>
        <v>46268.42608</v>
      </c>
      <c r="R212" s="73">
        <f t="shared" si="2"/>
        <v>46328.42608</v>
      </c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</row>
    <row r="213">
      <c r="A213" s="56" t="b">
        <v>1</v>
      </c>
      <c r="B213" s="77">
        <v>46255.0</v>
      </c>
      <c r="C213" s="78" t="s">
        <v>476</v>
      </c>
      <c r="D213" s="79">
        <v>957.0</v>
      </c>
      <c r="E213" s="40">
        <f>IFERROR(__xludf.DUMMYFUNCTION("IF(C213="""", """", XLOOKUP(TRIM(C213), 'COTRATOS ALBUNS 25.2'!E:E, 'COTRATOS ALBUNS 25.2'!D:D, XLOOKUP(TRIM(C213), IMPORTRANGE(""16smdYggRVyzhu5y9HP2ayvW__ybkjb1nkVsCvZrByLM"", ""'COTRATOS 26.1'!B:B""), IMPORTRANGE(""16smdYggRVyzhu5y9HP2ayvW__ybkjb1nkVsC"&amp;"vZrByLM"", ""'COTRATOS 26.1'!A:A""), """")))"),89911.0)</f>
        <v>89911</v>
      </c>
      <c r="F213" s="57" t="s">
        <v>36</v>
      </c>
      <c r="G213" s="42" t="s">
        <v>71</v>
      </c>
      <c r="H213" s="43"/>
      <c r="I213" s="58" t="s">
        <v>477</v>
      </c>
      <c r="J213" s="59"/>
      <c r="K213" s="8" t="s">
        <v>14</v>
      </c>
      <c r="L213" s="8" t="s">
        <v>89</v>
      </c>
      <c r="M213" s="53" t="s">
        <v>8</v>
      </c>
      <c r="N213" s="47" t="b">
        <v>0</v>
      </c>
      <c r="O213" s="48">
        <f t="shared" si="1"/>
        <v>46272</v>
      </c>
      <c r="P213" s="60"/>
      <c r="Q213" s="61">
        <v>46290.0</v>
      </c>
      <c r="R213" s="76">
        <f t="shared" si="2"/>
        <v>46350</v>
      </c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</row>
    <row r="214">
      <c r="A214" s="53" t="b">
        <v>1</v>
      </c>
      <c r="B214" s="136">
        <v>46294.0</v>
      </c>
      <c r="C214" s="137" t="s">
        <v>478</v>
      </c>
      <c r="D214" s="56">
        <v>972.0</v>
      </c>
      <c r="E214" s="40">
        <f>IFERROR(__xludf.DUMMYFUNCTION("IF(C214="""", """", XLOOKUP(TRIM(C214), 'COTRATOS ALBUNS 25.2'!E:E, 'COTRATOS ALBUNS 25.2'!D:D, XLOOKUP(TRIM(C214), IMPORTRANGE(""16smdYggRVyzhu5y9HP2ayvW__ybkjb1nkVsCvZrByLM"", ""'COTRATOS 26.1'!B:B""), IMPORTRANGE(""16smdYggRVyzhu5y9HP2ayvW__ybkjb1nkVsC"&amp;"vZrByLM"", ""'COTRATOS 26.1'!A:A""), """")))"),95685.0)</f>
        <v>95685</v>
      </c>
      <c r="F214" s="87" t="s">
        <v>44</v>
      </c>
      <c r="G214" s="138" t="s">
        <v>52</v>
      </c>
      <c r="H214" s="43"/>
      <c r="I214" s="58" t="s">
        <v>479</v>
      </c>
      <c r="J214" s="59"/>
      <c r="K214" s="53" t="s">
        <v>10</v>
      </c>
      <c r="L214" s="59"/>
      <c r="M214" s="59"/>
      <c r="N214" s="47" t="b">
        <v>0</v>
      </c>
      <c r="O214" s="127">
        <f t="shared" si="1"/>
        <v>46311</v>
      </c>
      <c r="P214" s="60"/>
      <c r="Q214" s="61"/>
      <c r="R214" s="51" t="str">
        <f t="shared" si="2"/>
        <v/>
      </c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</row>
    <row r="215">
      <c r="A215" s="36" t="b">
        <v>1</v>
      </c>
      <c r="B215" s="94">
        <v>46238.60614583333</v>
      </c>
      <c r="C215" s="38" t="s">
        <v>480</v>
      </c>
      <c r="D215" s="36">
        <v>1103.0</v>
      </c>
      <c r="E215" s="40">
        <f>IFERROR(__xludf.DUMMYFUNCTION("IF(C215="""", """", XLOOKUP(TRIM(C215), 'COTRATOS ALBUNS 25.2'!E:E, 'COTRATOS ALBUNS 25.2'!D:D, XLOOKUP(TRIM(C215), IMPORTRANGE(""16smdYggRVyzhu5y9HP2ayvW__ybkjb1nkVsCvZrByLM"", ""'COTRATOS 26.1'!B:B""), IMPORTRANGE(""16smdYggRVyzhu5y9HP2ayvW__ybkjb1nkVsC"&amp;"vZrByLM"", ""'COTRATOS 26.1'!A:A""), """")))"),83734.0)</f>
        <v>83734</v>
      </c>
      <c r="F215" s="41" t="s">
        <v>36</v>
      </c>
      <c r="G215" s="42" t="s">
        <v>57</v>
      </c>
      <c r="H215" s="43"/>
      <c r="I215" s="44" t="s">
        <v>481</v>
      </c>
      <c r="J215" s="5"/>
      <c r="K215" s="8" t="s">
        <v>13</v>
      </c>
      <c r="L215" s="8" t="s">
        <v>218</v>
      </c>
      <c r="M215" s="46" t="s">
        <v>8</v>
      </c>
      <c r="N215" s="63" t="b">
        <v>1</v>
      </c>
      <c r="O215" s="64">
        <f t="shared" si="1"/>
        <v>46255.60615</v>
      </c>
      <c r="P215" s="49">
        <v>46297.0</v>
      </c>
      <c r="Q215" s="85">
        <v>46239.0</v>
      </c>
      <c r="R215" s="86">
        <f t="shared" si="2"/>
        <v>46299</v>
      </c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</row>
    <row r="216">
      <c r="A216" s="67" t="b">
        <v>1</v>
      </c>
      <c r="B216" s="74">
        <v>46125.0</v>
      </c>
      <c r="C216" s="69" t="s">
        <v>482</v>
      </c>
      <c r="D216" s="70">
        <v>968.0</v>
      </c>
      <c r="E216" s="40">
        <f>IFERROR(__xludf.DUMMYFUNCTION("IF(C216="""", """", XLOOKUP(TRIM(C216), 'COTRATOS ALBUNS 25.2'!E:E, 'COTRATOS ALBUNS 25.2'!D:D, XLOOKUP(TRIM(C216), IMPORTRANGE(""16smdYggRVyzhu5y9HP2ayvW__ybkjb1nkVsCvZrByLM"", ""'COTRATOS 26.1'!B:B""), IMPORTRANGE(""16smdYggRVyzhu5y9HP2ayvW__ybkjb1nkVsC"&amp;"vZrByLM"", ""'COTRATOS 26.1'!A:A""), """")))"),86719.0)</f>
        <v>86719</v>
      </c>
      <c r="F216" s="71" t="s">
        <v>36</v>
      </c>
      <c r="G216" s="42" t="s">
        <v>52</v>
      </c>
      <c r="H216" s="43"/>
      <c r="I216" s="44" t="s">
        <v>483</v>
      </c>
      <c r="J216" s="5"/>
      <c r="K216" s="8" t="s">
        <v>12</v>
      </c>
      <c r="L216" s="5"/>
      <c r="M216" s="46" t="s">
        <v>8</v>
      </c>
      <c r="N216" s="47" t="b">
        <v>0</v>
      </c>
      <c r="O216" s="48">
        <f t="shared" si="1"/>
        <v>46142</v>
      </c>
      <c r="P216" s="49">
        <v>46238.0</v>
      </c>
      <c r="Q216" s="82"/>
      <c r="R216" s="51" t="str">
        <f t="shared" si="2"/>
        <v/>
      </c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</row>
    <row r="217">
      <c r="A217" s="67" t="b">
        <v>1</v>
      </c>
      <c r="B217" s="68">
        <v>46268.42574074074</v>
      </c>
      <c r="C217" s="69" t="s">
        <v>484</v>
      </c>
      <c r="D217" s="70">
        <v>971.0</v>
      </c>
      <c r="E217" s="40">
        <f>IFERROR(__xludf.DUMMYFUNCTION("IF(C217="""", """", XLOOKUP(TRIM(C217), 'COTRATOS ALBUNS 25.2'!E:E, 'COTRATOS ALBUNS 25.2'!D:D, XLOOKUP(TRIM(C217), IMPORTRANGE(""16smdYggRVyzhu5y9HP2ayvW__ybkjb1nkVsCvZrByLM"", ""'COTRATOS 26.1'!B:B""), IMPORTRANGE(""16smdYggRVyzhu5y9HP2ayvW__ybkjb1nkVsC"&amp;"vZrByLM"", ""'COTRATOS 26.1'!A:A""), """")))"),87742.0)</f>
        <v>87742</v>
      </c>
      <c r="F217" s="71" t="s">
        <v>66</v>
      </c>
      <c r="G217" s="42" t="s">
        <v>52</v>
      </c>
      <c r="H217" s="43"/>
      <c r="I217" s="44" t="s">
        <v>485</v>
      </c>
      <c r="J217" s="5"/>
      <c r="K217" s="8" t="s">
        <v>13</v>
      </c>
      <c r="L217" s="8" t="s">
        <v>54</v>
      </c>
      <c r="M217" s="8" t="s">
        <v>8</v>
      </c>
      <c r="N217" s="63" t="b">
        <v>1</v>
      </c>
      <c r="O217" s="64">
        <f t="shared" si="1"/>
        <v>46285.42574</v>
      </c>
      <c r="P217" s="49">
        <v>46297.0</v>
      </c>
      <c r="Q217" s="72">
        <f>B217</f>
        <v>46268.42574</v>
      </c>
      <c r="R217" s="73">
        <f t="shared" si="2"/>
        <v>46328.42574</v>
      </c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</row>
    <row r="218">
      <c r="A218" s="67" t="b">
        <v>1</v>
      </c>
      <c r="B218" s="68">
        <v>46268.4252662037</v>
      </c>
      <c r="C218" s="38" t="s">
        <v>486</v>
      </c>
      <c r="D218" s="36">
        <v>1172.0</v>
      </c>
      <c r="E218" s="40">
        <f>IFERROR(__xludf.DUMMYFUNCTION("IF(C218="""", """", XLOOKUP(TRIM(C218), 'COTRATOS ALBUNS 25.2'!E:E, 'COTRATOS ALBUNS 25.2'!D:D, XLOOKUP(TRIM(C218), IMPORTRANGE(""16smdYggRVyzhu5y9HP2ayvW__ybkjb1nkVsCvZrByLM"", ""'COTRATOS 26.1'!B:B""), IMPORTRANGE(""16smdYggRVyzhu5y9HP2ayvW__ybkjb1nkVsC"&amp;"vZrByLM"", ""'COTRATOS 26.1'!A:A""), """")))"),85658.0)</f>
        <v>85658</v>
      </c>
      <c r="F218" s="41" t="s">
        <v>66</v>
      </c>
      <c r="G218" s="42" t="s">
        <v>37</v>
      </c>
      <c r="H218" s="43"/>
      <c r="I218" s="44" t="s">
        <v>487</v>
      </c>
      <c r="J218" s="5"/>
      <c r="K218" s="8" t="s">
        <v>13</v>
      </c>
      <c r="L218" s="8" t="s">
        <v>93</v>
      </c>
      <c r="M218" s="8" t="s">
        <v>8</v>
      </c>
      <c r="N218" s="63" t="b">
        <v>1</v>
      </c>
      <c r="O218" s="64">
        <f t="shared" si="1"/>
        <v>46285.42527</v>
      </c>
      <c r="P218" s="49">
        <v>46297.0</v>
      </c>
      <c r="Q218" s="93">
        <v>46205.0</v>
      </c>
      <c r="R218" s="76">
        <f t="shared" si="2"/>
        <v>46265</v>
      </c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</row>
    <row r="219">
      <c r="A219" s="67" t="b">
        <v>1</v>
      </c>
      <c r="B219" s="68">
        <v>46268.42591435185</v>
      </c>
      <c r="C219" s="69" t="s">
        <v>488</v>
      </c>
      <c r="D219" s="70">
        <v>988.0</v>
      </c>
      <c r="E219" s="40">
        <f>IFERROR(__xludf.DUMMYFUNCTION("IF(C219="""", """", XLOOKUP(TRIM(C219), 'COTRATOS ALBUNS 25.2'!E:E, 'COTRATOS ALBUNS 25.2'!D:D, XLOOKUP(TRIM(C219), IMPORTRANGE(""16smdYggRVyzhu5y9HP2ayvW__ybkjb1nkVsCvZrByLM"", ""'COTRATOS 26.1'!B:B""), IMPORTRANGE(""16smdYggRVyzhu5y9HP2ayvW__ybkjb1nkVsC"&amp;"vZrByLM"", ""'COTRATOS 26.1'!A:A""), """")))"),73517.0)</f>
        <v>73517</v>
      </c>
      <c r="F219" s="71" t="s">
        <v>36</v>
      </c>
      <c r="G219" s="42" t="s">
        <v>41</v>
      </c>
      <c r="H219" s="43"/>
      <c r="I219" s="44" t="s">
        <v>489</v>
      </c>
      <c r="J219" s="5"/>
      <c r="K219" s="8" t="s">
        <v>13</v>
      </c>
      <c r="L219" s="8" t="s">
        <v>50</v>
      </c>
      <c r="M219" s="8" t="s">
        <v>8</v>
      </c>
      <c r="N219" s="63" t="b">
        <v>1</v>
      </c>
      <c r="O219" s="64">
        <f t="shared" si="1"/>
        <v>46285.42591</v>
      </c>
      <c r="P219" s="49">
        <v>46297.0</v>
      </c>
      <c r="Q219" s="72">
        <f>B219</f>
        <v>46268.42591</v>
      </c>
      <c r="R219" s="73">
        <f t="shared" si="2"/>
        <v>46328.42591</v>
      </c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</row>
    <row r="220">
      <c r="A220" s="53" t="b">
        <v>1</v>
      </c>
      <c r="B220" s="54">
        <v>46276.0</v>
      </c>
      <c r="C220" s="55" t="s">
        <v>490</v>
      </c>
      <c r="D220" s="56">
        <v>1172.0</v>
      </c>
      <c r="E220" s="40">
        <f>IFERROR(__xludf.DUMMYFUNCTION("IF(C220="""", """", XLOOKUP(TRIM(C220), 'COTRATOS ALBUNS 25.2'!E:E, 'COTRATOS ALBUNS 25.2'!D:D, XLOOKUP(TRIM(C220), IMPORTRANGE(""16smdYggRVyzhu5y9HP2ayvW__ybkjb1nkVsCvZrByLM"", ""'COTRATOS 26.1'!B:B""), IMPORTRANGE(""16smdYggRVyzhu5y9HP2ayvW__ybkjb1nkVsC"&amp;"vZrByLM"", ""'COTRATOS 26.1'!A:A""), """")))"),87905.0)</f>
        <v>87905</v>
      </c>
      <c r="F220" s="57" t="s">
        <v>66</v>
      </c>
      <c r="G220" s="42" t="s">
        <v>37</v>
      </c>
      <c r="H220" s="43"/>
      <c r="I220" s="58" t="s">
        <v>491</v>
      </c>
      <c r="J220" s="59"/>
      <c r="K220" s="53" t="s">
        <v>10</v>
      </c>
      <c r="L220" s="59"/>
      <c r="M220" s="53" t="s">
        <v>8</v>
      </c>
      <c r="N220" s="47" t="b">
        <v>0</v>
      </c>
      <c r="O220" s="48">
        <f t="shared" si="1"/>
        <v>46293</v>
      </c>
      <c r="P220" s="60"/>
      <c r="Q220" s="61"/>
      <c r="R220" s="51" t="str">
        <f t="shared" si="2"/>
        <v/>
      </c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</row>
    <row r="221">
      <c r="A221" s="36" t="b">
        <v>1</v>
      </c>
      <c r="B221" s="100">
        <v>46297.0</v>
      </c>
      <c r="C221" s="38" t="s">
        <v>492</v>
      </c>
      <c r="D221" s="36">
        <v>850.0</v>
      </c>
      <c r="E221" s="40">
        <f>IFERROR(__xludf.DUMMYFUNCTION("IF(C221="""", """", XLOOKUP(TRIM(C221), 'COTRATOS ALBUNS 25.2'!E:E, 'COTRATOS ALBUNS 25.2'!D:D, XLOOKUP(TRIM(C221), IMPORTRANGE(""16smdYggRVyzhu5y9HP2ayvW__ybkjb1nkVsCvZrByLM"", ""'COTRATOS 26.1'!B:B""), IMPORTRANGE(""16smdYggRVyzhu5y9HP2ayvW__ybkjb1nkVsC"&amp;"vZrByLM"", ""'COTRATOS 26.1'!A:A""), """")))"),84562.0)</f>
        <v>84562</v>
      </c>
      <c r="F221" s="41" t="s">
        <v>36</v>
      </c>
      <c r="G221" s="42" t="s">
        <v>45</v>
      </c>
      <c r="H221" s="43"/>
      <c r="I221" s="44" t="s">
        <v>493</v>
      </c>
      <c r="J221" s="5"/>
      <c r="K221" s="8" t="s">
        <v>13</v>
      </c>
      <c r="L221" s="8" t="s">
        <v>101</v>
      </c>
      <c r="M221" s="46" t="s">
        <v>8</v>
      </c>
      <c r="N221" s="47" t="b">
        <v>0</v>
      </c>
      <c r="O221" s="48">
        <f t="shared" si="1"/>
        <v>46314</v>
      </c>
      <c r="P221" s="49">
        <v>46297.0</v>
      </c>
      <c r="Q221" s="93">
        <v>46248.0</v>
      </c>
      <c r="R221" s="76">
        <f t="shared" si="2"/>
        <v>46308</v>
      </c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</row>
    <row r="222">
      <c r="A222" s="36" t="b">
        <v>1</v>
      </c>
      <c r="B222" s="37">
        <v>46297.0</v>
      </c>
      <c r="C222" s="38" t="s">
        <v>494</v>
      </c>
      <c r="D222" s="39">
        <v>1172.0</v>
      </c>
      <c r="E222" s="40">
        <f>IFERROR(__xludf.DUMMYFUNCTION("IF(C222="""", """", XLOOKUP(TRIM(C222), 'COTRATOS ALBUNS 25.2'!E:E, 'COTRATOS ALBUNS 25.2'!D:D, XLOOKUP(TRIM(C222), IMPORTRANGE(""16smdYggRVyzhu5y9HP2ayvW__ybkjb1nkVsCvZrByLM"", ""'COTRATOS 26.1'!B:B""), IMPORTRANGE(""16smdYggRVyzhu5y9HP2ayvW__ybkjb1nkVsC"&amp;"vZrByLM"", ""'COTRATOS 26.1'!A:A""), """")))"),88825.0)</f>
        <v>88825</v>
      </c>
      <c r="F222" s="41" t="s">
        <v>44</v>
      </c>
      <c r="G222" s="42" t="s">
        <v>207</v>
      </c>
      <c r="H222" s="43"/>
      <c r="I222" s="44" t="s">
        <v>495</v>
      </c>
      <c r="J222" s="7"/>
      <c r="K222" s="8" t="s">
        <v>13</v>
      </c>
      <c r="L222" s="8" t="s">
        <v>101</v>
      </c>
      <c r="M222" s="46" t="s">
        <v>8</v>
      </c>
      <c r="N222" s="47" t="b">
        <v>0</v>
      </c>
      <c r="O222" s="48">
        <f t="shared" si="1"/>
        <v>46314</v>
      </c>
      <c r="P222" s="49">
        <v>46297.0</v>
      </c>
      <c r="Q222" s="50">
        <v>46247.0</v>
      </c>
      <c r="R222" s="86">
        <f t="shared" si="2"/>
        <v>46307</v>
      </c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</row>
    <row r="223">
      <c r="A223" s="96" t="b">
        <v>1</v>
      </c>
      <c r="B223" s="97">
        <v>46241.0</v>
      </c>
      <c r="C223" s="98" t="s">
        <v>496</v>
      </c>
      <c r="D223" s="99">
        <v>1172.0</v>
      </c>
      <c r="E223" s="40">
        <f>IFERROR(__xludf.DUMMYFUNCTION("IF(C223="""", """", XLOOKUP(TRIM(C223), 'COTRATOS ALBUNS 25.2'!E:E, 'COTRATOS ALBUNS 25.2'!D:D, XLOOKUP(TRIM(C223), IMPORTRANGE(""16smdYggRVyzhu5y9HP2ayvW__ybkjb1nkVsCvZrByLM"", ""'COTRATOS 26.1'!B:B""), IMPORTRANGE(""16smdYggRVyzhu5y9HP2ayvW__ybkjb1nkVsC"&amp;"vZrByLM"", ""'COTRATOS 26.1'!A:A""), """")))"),87675.0)</f>
        <v>87675</v>
      </c>
      <c r="F223" s="57" t="s">
        <v>66</v>
      </c>
      <c r="G223" s="42" t="s">
        <v>207</v>
      </c>
      <c r="H223" s="43"/>
      <c r="I223" s="58" t="s">
        <v>497</v>
      </c>
      <c r="J223" s="59"/>
      <c r="K223" s="8" t="s">
        <v>6</v>
      </c>
      <c r="L223" s="45"/>
      <c r="M223" s="46" t="s">
        <v>8</v>
      </c>
      <c r="N223" s="47" t="b">
        <v>0</v>
      </c>
      <c r="O223" s="48">
        <f t="shared" si="1"/>
        <v>46258</v>
      </c>
      <c r="P223" s="49">
        <v>46266.0</v>
      </c>
      <c r="Q223" s="104"/>
      <c r="R223" s="51" t="str">
        <f t="shared" si="2"/>
        <v/>
      </c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</row>
    <row r="224">
      <c r="A224" s="36" t="b">
        <v>1</v>
      </c>
      <c r="B224" s="37">
        <v>46208.0</v>
      </c>
      <c r="C224" s="38" t="s">
        <v>498</v>
      </c>
      <c r="D224" s="39">
        <v>972.0</v>
      </c>
      <c r="E224" s="40">
        <f>IFERROR(__xludf.DUMMYFUNCTION("IF(C224="""", """", XLOOKUP(TRIM(C224), 'COTRATOS ALBUNS 25.2'!E:E, 'COTRATOS ALBUNS 25.2'!D:D, XLOOKUP(TRIM(C224), IMPORTRANGE(""16smdYggRVyzhu5y9HP2ayvW__ybkjb1nkVsCvZrByLM"", ""'COTRATOS 26.1'!B:B""), IMPORTRANGE(""16smdYggRVyzhu5y9HP2ayvW__ybkjb1nkVsC"&amp;"vZrByLM"", ""'COTRATOS 26.1'!A:A""), """")))"),93710.0)</f>
        <v>93710</v>
      </c>
      <c r="F224" s="41" t="s">
        <v>56</v>
      </c>
      <c r="G224" s="42" t="s">
        <v>95</v>
      </c>
      <c r="H224" s="43"/>
      <c r="I224" s="44" t="s">
        <v>499</v>
      </c>
      <c r="J224" s="7"/>
      <c r="K224" s="8" t="s">
        <v>6</v>
      </c>
      <c r="L224" s="139"/>
      <c r="M224" s="8" t="s">
        <v>8</v>
      </c>
      <c r="N224" s="47" t="b">
        <v>0</v>
      </c>
      <c r="O224" s="48">
        <f t="shared" si="1"/>
        <v>46225</v>
      </c>
      <c r="P224" s="49">
        <v>46288.0</v>
      </c>
      <c r="Q224" s="82"/>
      <c r="R224" s="51" t="str">
        <f t="shared" si="2"/>
        <v/>
      </c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</row>
    <row r="225">
      <c r="A225" s="36" t="b">
        <v>1</v>
      </c>
      <c r="B225" s="62">
        <v>46231.43190972222</v>
      </c>
      <c r="C225" s="38" t="s">
        <v>500</v>
      </c>
      <c r="D225" s="39">
        <v>971.0</v>
      </c>
      <c r="E225" s="40">
        <f>IFERROR(__xludf.DUMMYFUNCTION("IF(C225="""", """", XLOOKUP(TRIM(C225), 'COTRATOS ALBUNS 25.2'!E:E, 'COTRATOS ALBUNS 25.2'!D:D, XLOOKUP(TRIM(C225), IMPORTRANGE(""16smdYggRVyzhu5y9HP2ayvW__ybkjb1nkVsCvZrByLM"", ""'COTRATOS 26.1'!B:B""), IMPORTRANGE(""16smdYggRVyzhu5y9HP2ayvW__ybkjb1nkVsC"&amp;"vZrByLM"", ""'COTRATOS 26.1'!A:A""), """")))"),90181.0)</f>
        <v>90181</v>
      </c>
      <c r="F225" s="41" t="s">
        <v>44</v>
      </c>
      <c r="G225" s="42" t="s">
        <v>207</v>
      </c>
      <c r="H225" s="43"/>
      <c r="I225" s="44" t="s">
        <v>501</v>
      </c>
      <c r="J225" s="7"/>
      <c r="K225" s="8" t="s">
        <v>13</v>
      </c>
      <c r="L225" s="8" t="s">
        <v>193</v>
      </c>
      <c r="M225" s="8" t="s">
        <v>8</v>
      </c>
      <c r="N225" s="63" t="b">
        <v>1</v>
      </c>
      <c r="O225" s="64">
        <f t="shared" si="1"/>
        <v>46248.43191</v>
      </c>
      <c r="P225" s="49">
        <v>46297.0</v>
      </c>
      <c r="Q225" s="50">
        <v>46245.0</v>
      </c>
      <c r="R225" s="86">
        <f t="shared" si="2"/>
        <v>46305</v>
      </c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</row>
    <row r="226">
      <c r="A226" s="56" t="b">
        <v>1</v>
      </c>
      <c r="B226" s="77">
        <v>46297.0</v>
      </c>
      <c r="C226" s="98" t="s">
        <v>502</v>
      </c>
      <c r="D226" s="56">
        <v>1070.0</v>
      </c>
      <c r="E226" s="40">
        <f>IFERROR(__xludf.DUMMYFUNCTION("IF(C226="""", """", XLOOKUP(TRIM(C226), 'COTRATOS ALBUNS 25.2'!E:E, 'COTRATOS ALBUNS 25.2'!D:D, XLOOKUP(TRIM(C226), IMPORTRANGE(""16smdYggRVyzhu5y9HP2ayvW__ybkjb1nkVsCvZrByLM"", ""'COTRATOS 26.1'!B:B""), IMPORTRANGE(""16smdYggRVyzhu5y9HP2ayvW__ybkjb1nkVsC"&amp;"vZrByLM"", ""'COTRATOS 26.1'!A:A""), """")))"),90094.0)</f>
        <v>90094</v>
      </c>
      <c r="F226" s="57" t="s">
        <v>56</v>
      </c>
      <c r="G226" s="42" t="s">
        <v>52</v>
      </c>
      <c r="H226" s="43"/>
      <c r="I226" s="58" t="s">
        <v>503</v>
      </c>
      <c r="J226" s="59"/>
      <c r="K226" s="8" t="s">
        <v>14</v>
      </c>
      <c r="L226" s="45" t="s">
        <v>132</v>
      </c>
      <c r="M226" s="53" t="s">
        <v>8</v>
      </c>
      <c r="N226" s="47" t="b">
        <v>0</v>
      </c>
      <c r="O226" s="48">
        <f t="shared" si="1"/>
        <v>46314</v>
      </c>
      <c r="P226" s="49">
        <v>46297.0</v>
      </c>
      <c r="Q226" s="61">
        <v>46280.0</v>
      </c>
      <c r="R226" s="76">
        <f t="shared" si="2"/>
        <v>46340</v>
      </c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</row>
    <row r="227">
      <c r="A227" s="36" t="b">
        <v>1</v>
      </c>
      <c r="B227" s="62">
        <v>46238.5125</v>
      </c>
      <c r="C227" s="38" t="s">
        <v>504</v>
      </c>
      <c r="D227" s="39">
        <v>1103.0</v>
      </c>
      <c r="E227" s="40">
        <f>IFERROR(__xludf.DUMMYFUNCTION("IF(C227="""", """", XLOOKUP(TRIM(C227), 'COTRATOS ALBUNS 25.2'!E:E, 'COTRATOS ALBUNS 25.2'!D:D, XLOOKUP(TRIM(C227), IMPORTRANGE(""16smdYggRVyzhu5y9HP2ayvW__ybkjb1nkVsCvZrByLM"", ""'COTRATOS 26.1'!B:B""), IMPORTRANGE(""16smdYggRVyzhu5y9HP2ayvW__ybkjb1nkVsC"&amp;"vZrByLM"", ""'COTRATOS 26.1'!A:A""), """")))"),87772.0)</f>
        <v>87772</v>
      </c>
      <c r="F227" s="41" t="s">
        <v>66</v>
      </c>
      <c r="G227" s="42" t="s">
        <v>45</v>
      </c>
      <c r="H227" s="43"/>
      <c r="I227" s="44" t="s">
        <v>505</v>
      </c>
      <c r="J227" s="7"/>
      <c r="K227" s="8" t="s">
        <v>13</v>
      </c>
      <c r="L227" s="8" t="s">
        <v>193</v>
      </c>
      <c r="M227" s="8" t="s">
        <v>8</v>
      </c>
      <c r="N227" s="63" t="b">
        <v>1</v>
      </c>
      <c r="O227" s="64">
        <f t="shared" si="1"/>
        <v>46255.5125</v>
      </c>
      <c r="P227" s="49">
        <v>46297.0</v>
      </c>
      <c r="Q227" s="50">
        <v>46238.0</v>
      </c>
      <c r="R227" s="86">
        <f t="shared" si="2"/>
        <v>46298</v>
      </c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</row>
    <row r="228">
      <c r="A228" s="36" t="b">
        <v>1</v>
      </c>
      <c r="B228" s="37">
        <v>46212.0</v>
      </c>
      <c r="C228" s="98" t="s">
        <v>506</v>
      </c>
      <c r="D228" s="39">
        <v>953.0</v>
      </c>
      <c r="E228" s="40">
        <f>IFERROR(__xludf.DUMMYFUNCTION("IF(C228="""", """", XLOOKUP(TRIM(C228), 'COTRATOS ALBUNS 25.2'!E:E, 'COTRATOS ALBUNS 25.2'!D:D, XLOOKUP(TRIM(C228), IMPORTRANGE(""16smdYggRVyzhu5y9HP2ayvW__ybkjb1nkVsCvZrByLM"", ""'COTRATOS 26.1'!B:B""), IMPORTRANGE(""16smdYggRVyzhu5y9HP2ayvW__ybkjb1nkVsC"&amp;"vZrByLM"", ""'COTRATOS 26.1'!A:A""), """")))"),88184.0)</f>
        <v>88184</v>
      </c>
      <c r="F228" s="41" t="s">
        <v>66</v>
      </c>
      <c r="G228" s="42" t="s">
        <v>71</v>
      </c>
      <c r="H228" s="43"/>
      <c r="I228" s="44" t="s">
        <v>507</v>
      </c>
      <c r="J228" s="7"/>
      <c r="K228" s="8" t="s">
        <v>6</v>
      </c>
      <c r="L228" s="108"/>
      <c r="M228" s="46" t="s">
        <v>8</v>
      </c>
      <c r="N228" s="47" t="b">
        <v>0</v>
      </c>
      <c r="O228" s="48">
        <f t="shared" si="1"/>
        <v>46229</v>
      </c>
      <c r="P228" s="49">
        <v>46245.0</v>
      </c>
      <c r="Q228" s="140"/>
      <c r="R228" s="51" t="str">
        <f t="shared" si="2"/>
        <v/>
      </c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</row>
    <row r="229">
      <c r="A229" s="36" t="b">
        <v>1</v>
      </c>
      <c r="B229" s="37">
        <v>46297.0</v>
      </c>
      <c r="C229" s="38" t="s">
        <v>508</v>
      </c>
      <c r="D229" s="39">
        <v>1103.0</v>
      </c>
      <c r="E229" s="40">
        <f>IFERROR(__xludf.DUMMYFUNCTION("IF(C229="""", """", XLOOKUP(TRIM(C229), 'COTRATOS ALBUNS 25.2'!E:E, 'COTRATOS ALBUNS 25.2'!D:D, XLOOKUP(TRIM(C229), IMPORTRANGE(""16smdYggRVyzhu5y9HP2ayvW__ybkjb1nkVsCvZrByLM"", ""'COTRATOS 26.1'!B:B""), IMPORTRANGE(""16smdYggRVyzhu5y9HP2ayvW__ybkjb1nkVsC"&amp;"vZrByLM"", ""'COTRATOS 26.1'!A:A""), """")))"),88059.0)</f>
        <v>88059</v>
      </c>
      <c r="F229" s="41" t="s">
        <v>66</v>
      </c>
      <c r="G229" s="42" t="s">
        <v>57</v>
      </c>
      <c r="H229" s="43"/>
      <c r="I229" s="44" t="s">
        <v>509</v>
      </c>
      <c r="J229" s="7"/>
      <c r="K229" s="8" t="s">
        <v>14</v>
      </c>
      <c r="L229" s="45" t="s">
        <v>132</v>
      </c>
      <c r="M229" s="46" t="s">
        <v>8</v>
      </c>
      <c r="N229" s="47" t="b">
        <v>0</v>
      </c>
      <c r="O229" s="48">
        <f t="shared" si="1"/>
        <v>46314</v>
      </c>
      <c r="P229" s="49">
        <v>46297.0</v>
      </c>
      <c r="Q229" s="50">
        <v>46244.0</v>
      </c>
      <c r="R229" s="86">
        <f t="shared" si="2"/>
        <v>46304</v>
      </c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</row>
    <row r="230">
      <c r="A230" s="67" t="b">
        <v>1</v>
      </c>
      <c r="B230" s="68">
        <v>46246.68353009259</v>
      </c>
      <c r="C230" s="38" t="s">
        <v>510</v>
      </c>
      <c r="D230" s="36">
        <v>994.0</v>
      </c>
      <c r="E230" s="40">
        <f>IFERROR(__xludf.DUMMYFUNCTION("IF(C230="""", """", XLOOKUP(TRIM(C230), 'COTRATOS ALBUNS 25.2'!E:E, 'COTRATOS ALBUNS 25.2'!D:D, XLOOKUP(TRIM(C230), IMPORTRANGE(""16smdYggRVyzhu5y9HP2ayvW__ybkjb1nkVsCvZrByLM"", ""'COTRATOS 26.1'!B:B""), IMPORTRANGE(""16smdYggRVyzhu5y9HP2ayvW__ybkjb1nkVsC"&amp;"vZrByLM"", ""'COTRATOS 26.1'!A:A""), """")))"),87358.0)</f>
        <v>87358</v>
      </c>
      <c r="F230" s="41" t="s">
        <v>66</v>
      </c>
      <c r="G230" s="42" t="s">
        <v>313</v>
      </c>
      <c r="H230" s="43"/>
      <c r="I230" s="44" t="s">
        <v>511</v>
      </c>
      <c r="J230" s="5"/>
      <c r="K230" s="8" t="s">
        <v>13</v>
      </c>
      <c r="L230" s="8" t="s">
        <v>218</v>
      </c>
      <c r="M230" s="46" t="s">
        <v>8</v>
      </c>
      <c r="N230" s="63" t="b">
        <v>1</v>
      </c>
      <c r="O230" s="64">
        <f t="shared" si="1"/>
        <v>46263.68353</v>
      </c>
      <c r="P230" s="49">
        <v>46297.0</v>
      </c>
      <c r="Q230" s="50">
        <v>46246.0</v>
      </c>
      <c r="R230" s="86">
        <f t="shared" si="2"/>
        <v>46306</v>
      </c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</row>
    <row r="231">
      <c r="A231" s="67" t="b">
        <v>1</v>
      </c>
      <c r="B231" s="68">
        <v>46268.42648148148</v>
      </c>
      <c r="C231" s="38" t="s">
        <v>512</v>
      </c>
      <c r="D231" s="36">
        <v>1084.0</v>
      </c>
      <c r="E231" s="40">
        <f>IFERROR(__xludf.DUMMYFUNCTION("IF(C231="""", """", XLOOKUP(TRIM(C231), 'COTRATOS ALBUNS 25.2'!E:E, 'COTRATOS ALBUNS 25.2'!D:D, XLOOKUP(TRIM(C231), IMPORTRANGE(""16smdYggRVyzhu5y9HP2ayvW__ybkjb1nkVsCvZrByLM"", ""'COTRATOS 26.1'!B:B""), IMPORTRANGE(""16smdYggRVyzhu5y9HP2ayvW__ybkjb1nkVsC"&amp;"vZrByLM"", ""'COTRATOS 26.1'!A:A""), """")))"),86993.0)</f>
        <v>86993</v>
      </c>
      <c r="F231" s="41" t="s">
        <v>66</v>
      </c>
      <c r="G231" s="42" t="s">
        <v>71</v>
      </c>
      <c r="H231" s="43"/>
      <c r="I231" s="44" t="s">
        <v>513</v>
      </c>
      <c r="J231" s="5"/>
      <c r="K231" s="8" t="s">
        <v>13</v>
      </c>
      <c r="L231" s="8" t="s">
        <v>93</v>
      </c>
      <c r="M231" s="8" t="s">
        <v>8</v>
      </c>
      <c r="N231" s="63" t="b">
        <v>1</v>
      </c>
      <c r="O231" s="64">
        <f t="shared" si="1"/>
        <v>46285.42648</v>
      </c>
      <c r="P231" s="49">
        <v>46297.0</v>
      </c>
      <c r="Q231" s="93">
        <v>46205.0</v>
      </c>
      <c r="R231" s="76">
        <f t="shared" si="2"/>
        <v>46265</v>
      </c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</row>
    <row r="232">
      <c r="A232" s="53" t="b">
        <v>1</v>
      </c>
      <c r="B232" s="54">
        <v>46279.0</v>
      </c>
      <c r="C232" s="55" t="s">
        <v>514</v>
      </c>
      <c r="D232" s="56">
        <v>1172.0</v>
      </c>
      <c r="E232" s="40">
        <f>IFERROR(__xludf.DUMMYFUNCTION("IF(C232="""", """", XLOOKUP(TRIM(C232), 'COTRATOS ALBUNS 25.2'!E:E, 'COTRATOS ALBUNS 25.2'!D:D, XLOOKUP(TRIM(C232), IMPORTRANGE(""16smdYggRVyzhu5y9HP2ayvW__ybkjb1nkVsCvZrByLM"", ""'COTRATOS 26.1'!B:B""), IMPORTRANGE(""16smdYggRVyzhu5y9HP2ayvW__ybkjb1nkVsC"&amp;"vZrByLM"", ""'COTRATOS 26.1'!A:A""), """")))"),86297.0)</f>
        <v>86297</v>
      </c>
      <c r="F232" s="57" t="s">
        <v>36</v>
      </c>
      <c r="G232" s="42" t="s">
        <v>71</v>
      </c>
      <c r="H232" s="43"/>
      <c r="I232" s="58" t="s">
        <v>515</v>
      </c>
      <c r="J232" s="59"/>
      <c r="K232" s="53" t="s">
        <v>144</v>
      </c>
      <c r="L232" s="59"/>
      <c r="M232" s="53" t="s">
        <v>8</v>
      </c>
      <c r="N232" s="47" t="b">
        <v>0</v>
      </c>
      <c r="O232" s="48">
        <f t="shared" si="1"/>
        <v>46296</v>
      </c>
      <c r="P232" s="60"/>
      <c r="Q232" s="61">
        <v>46309.0</v>
      </c>
      <c r="R232" s="76">
        <f t="shared" si="2"/>
        <v>46369</v>
      </c>
      <c r="S232" s="7"/>
      <c r="T232" s="7"/>
      <c r="U232" s="7"/>
      <c r="V232" s="7"/>
      <c r="W232" s="7"/>
      <c r="X232" s="7"/>
      <c r="Y232" s="7"/>
      <c r="Z232" s="7"/>
      <c r="AA232" s="141">
        <v>46288.59078971065</v>
      </c>
      <c r="AB232" s="7"/>
      <c r="AC232" s="7"/>
      <c r="AD232" s="7"/>
      <c r="AE232" s="7"/>
      <c r="AF232" s="7"/>
      <c r="AG232" s="7"/>
      <c r="AH232" s="7"/>
    </row>
    <row r="233">
      <c r="A233" s="56" t="b">
        <v>1</v>
      </c>
      <c r="B233" s="77">
        <v>46297.0</v>
      </c>
      <c r="C233" s="98" t="s">
        <v>516</v>
      </c>
      <c r="D233" s="56">
        <v>953.0</v>
      </c>
      <c r="E233" s="40">
        <f>IFERROR(__xludf.DUMMYFUNCTION("IF(C233="""", """", XLOOKUP(TRIM(C233), 'COTRATOS ALBUNS 25.2'!E:E, 'COTRATOS ALBUNS 25.2'!D:D, XLOOKUP(TRIM(C233), IMPORTRANGE(""16smdYggRVyzhu5y9HP2ayvW__ybkjb1nkVsCvZrByLM"", ""'COTRATOS 26.1'!B:B""), IMPORTRANGE(""16smdYggRVyzhu5y9HP2ayvW__ybkjb1nkVsC"&amp;"vZrByLM"", ""'COTRATOS 26.1'!A:A""), """")))"),89232.0)</f>
        <v>89232</v>
      </c>
      <c r="F233" s="57" t="s">
        <v>66</v>
      </c>
      <c r="G233" s="42" t="s">
        <v>110</v>
      </c>
      <c r="H233" s="43"/>
      <c r="I233" s="58" t="s">
        <v>517</v>
      </c>
      <c r="J233" s="59"/>
      <c r="K233" s="8" t="s">
        <v>14</v>
      </c>
      <c r="L233" s="45" t="s">
        <v>132</v>
      </c>
      <c r="M233" s="53" t="s">
        <v>8</v>
      </c>
      <c r="N233" s="47" t="b">
        <v>0</v>
      </c>
      <c r="O233" s="48">
        <f t="shared" si="1"/>
        <v>46314</v>
      </c>
      <c r="P233" s="49">
        <v>46297.0</v>
      </c>
      <c r="Q233" s="61">
        <v>46269.0</v>
      </c>
      <c r="R233" s="76">
        <f t="shared" si="2"/>
        <v>46329</v>
      </c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</row>
    <row r="234">
      <c r="A234" s="67" t="b">
        <v>1</v>
      </c>
      <c r="B234" s="68">
        <v>46220.583923611106</v>
      </c>
      <c r="C234" s="38" t="s">
        <v>518</v>
      </c>
      <c r="D234" s="36">
        <v>968.0</v>
      </c>
      <c r="E234" s="40">
        <f>IFERROR(__xludf.DUMMYFUNCTION("IF(C234="""", """", XLOOKUP(TRIM(C234), 'COTRATOS ALBUNS 25.2'!E:E, 'COTRATOS ALBUNS 25.2'!D:D, XLOOKUP(TRIM(C234), IMPORTRANGE(""16smdYggRVyzhu5y9HP2ayvW__ybkjb1nkVsCvZrByLM"", ""'COTRATOS 26.1'!B:B""), IMPORTRANGE(""16smdYggRVyzhu5y9HP2ayvW__ybkjb1nkVsC"&amp;"vZrByLM"", ""'COTRATOS 26.1'!A:A""), """")))"),88197.0)</f>
        <v>88197</v>
      </c>
      <c r="F234" s="41" t="s">
        <v>36</v>
      </c>
      <c r="G234" s="42" t="s">
        <v>52</v>
      </c>
      <c r="H234" s="43"/>
      <c r="I234" s="44" t="s">
        <v>519</v>
      </c>
      <c r="J234" s="5"/>
      <c r="K234" s="8" t="s">
        <v>13</v>
      </c>
      <c r="L234" s="8" t="s">
        <v>47</v>
      </c>
      <c r="M234" s="5"/>
      <c r="N234" s="63" t="b">
        <v>1</v>
      </c>
      <c r="O234" s="64">
        <f t="shared" si="1"/>
        <v>46237.58392</v>
      </c>
      <c r="P234" s="49">
        <v>46297.0</v>
      </c>
      <c r="Q234" s="85">
        <v>46224.0</v>
      </c>
      <c r="R234" s="86">
        <f t="shared" si="2"/>
        <v>46284</v>
      </c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</row>
    <row r="235">
      <c r="A235" s="67" t="b">
        <v>1</v>
      </c>
      <c r="B235" s="68">
        <v>46268.425520833334</v>
      </c>
      <c r="C235" s="69" t="s">
        <v>520</v>
      </c>
      <c r="D235" s="70">
        <v>968.0</v>
      </c>
      <c r="E235" s="40">
        <f>IFERROR(__xludf.DUMMYFUNCTION("IF(C235="""", """", XLOOKUP(TRIM(C235), 'COTRATOS ALBUNS 25.2'!E:E, 'COTRATOS ALBUNS 25.2'!D:D, XLOOKUP(TRIM(C235), IMPORTRANGE(""16smdYggRVyzhu5y9HP2ayvW__ybkjb1nkVsCvZrByLM"", ""'COTRATOS 26.1'!B:B""), IMPORTRANGE(""16smdYggRVyzhu5y9HP2ayvW__ybkjb1nkVsC"&amp;"vZrByLM"", ""'COTRATOS 26.1'!A:A""), """")))"),74792.0)</f>
        <v>74792</v>
      </c>
      <c r="F235" s="71" t="s">
        <v>66</v>
      </c>
      <c r="G235" s="42" t="s">
        <v>57</v>
      </c>
      <c r="H235" s="43"/>
      <c r="I235" s="44" t="s">
        <v>521</v>
      </c>
      <c r="J235" s="5"/>
      <c r="K235" s="8" t="s">
        <v>13</v>
      </c>
      <c r="L235" s="8" t="s">
        <v>93</v>
      </c>
      <c r="M235" s="8" t="s">
        <v>8</v>
      </c>
      <c r="N235" s="63" t="b">
        <v>1</v>
      </c>
      <c r="O235" s="64">
        <f t="shared" si="1"/>
        <v>46285.42552</v>
      </c>
      <c r="P235" s="49">
        <v>46297.0</v>
      </c>
      <c r="Q235" s="65">
        <v>46203.0</v>
      </c>
      <c r="R235" s="66">
        <f t="shared" si="2"/>
        <v>46263</v>
      </c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</row>
    <row r="236">
      <c r="A236" s="36" t="b">
        <v>1</v>
      </c>
      <c r="B236" s="37">
        <v>46297.0</v>
      </c>
      <c r="C236" s="125" t="s">
        <v>522</v>
      </c>
      <c r="D236" s="79">
        <v>1173.0</v>
      </c>
      <c r="E236" s="102">
        <v>85498.0</v>
      </c>
      <c r="F236" s="41" t="s">
        <v>36</v>
      </c>
      <c r="G236" s="42" t="s">
        <v>37</v>
      </c>
      <c r="H236" s="43"/>
      <c r="I236" s="44" t="s">
        <v>523</v>
      </c>
      <c r="J236" s="7"/>
      <c r="K236" s="8" t="s">
        <v>13</v>
      </c>
      <c r="L236" s="108" t="s">
        <v>78</v>
      </c>
      <c r="M236" s="46" t="s">
        <v>8</v>
      </c>
      <c r="N236" s="47" t="b">
        <v>0</v>
      </c>
      <c r="O236" s="48">
        <f t="shared" si="1"/>
        <v>46314</v>
      </c>
      <c r="P236" s="49">
        <v>46267.0</v>
      </c>
      <c r="Q236" s="50">
        <v>46245.0</v>
      </c>
      <c r="R236" s="86">
        <f t="shared" si="2"/>
        <v>46305</v>
      </c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</row>
    <row r="237">
      <c r="A237" s="56" t="b">
        <v>1</v>
      </c>
      <c r="B237" s="77">
        <v>46297.0</v>
      </c>
      <c r="C237" s="98" t="s">
        <v>524</v>
      </c>
      <c r="D237" s="56">
        <v>970.0</v>
      </c>
      <c r="E237" s="40">
        <f>IFERROR(__xludf.DUMMYFUNCTION("IF(C237="""", """", XLOOKUP(TRIM(C237), 'COTRATOS ALBUNS 25.2'!E:E, 'COTRATOS ALBUNS 25.2'!D:D, XLOOKUP(TRIM(C237), IMPORTRANGE(""16smdYggRVyzhu5y9HP2ayvW__ybkjb1nkVsCvZrByLM"", ""'COTRATOS 26.1'!B:B""), IMPORTRANGE(""16smdYggRVyzhu5y9HP2ayvW__ybkjb1nkVsC"&amp;"vZrByLM"", ""'COTRATOS 26.1'!A:A""), """")))"),94496.0)</f>
        <v>94496</v>
      </c>
      <c r="F237" s="57" t="s">
        <v>40</v>
      </c>
      <c r="G237" s="42" t="s">
        <v>91</v>
      </c>
      <c r="H237" s="43"/>
      <c r="I237" s="58" t="s">
        <v>525</v>
      </c>
      <c r="J237" s="59"/>
      <c r="K237" s="8" t="s">
        <v>14</v>
      </c>
      <c r="L237" s="8" t="s">
        <v>89</v>
      </c>
      <c r="M237" s="53" t="s">
        <v>8</v>
      </c>
      <c r="N237" s="47" t="b">
        <v>0</v>
      </c>
      <c r="O237" s="48">
        <f t="shared" si="1"/>
        <v>46314</v>
      </c>
      <c r="P237" s="49">
        <v>46297.0</v>
      </c>
      <c r="Q237" s="61">
        <v>46286.0</v>
      </c>
      <c r="R237" s="76">
        <f t="shared" si="2"/>
        <v>46346</v>
      </c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</row>
    <row r="238">
      <c r="A238" s="36" t="b">
        <v>1</v>
      </c>
      <c r="B238" s="94">
        <v>46275.75138888889</v>
      </c>
      <c r="C238" s="38" t="s">
        <v>526</v>
      </c>
      <c r="D238" s="36">
        <v>971.0</v>
      </c>
      <c r="E238" s="40">
        <f>IFERROR(__xludf.DUMMYFUNCTION("IF(C238="""", """", XLOOKUP(TRIM(C238), 'COTRATOS ALBUNS 25.2'!E:E, 'COTRATOS ALBUNS 25.2'!D:D, XLOOKUP(TRIM(C238), IMPORTRANGE(""16smdYggRVyzhu5y9HP2ayvW__ybkjb1nkVsCvZrByLM"", ""'COTRATOS 26.1'!B:B""), IMPORTRANGE(""16smdYggRVyzhu5y9HP2ayvW__ybkjb1nkVsC"&amp;"vZrByLM"", ""'COTRATOS 26.1'!A:A""), """")))"),85212.0)</f>
        <v>85212</v>
      </c>
      <c r="F238" s="41" t="s">
        <v>44</v>
      </c>
      <c r="G238" s="42" t="s">
        <v>110</v>
      </c>
      <c r="H238" s="43"/>
      <c r="I238" s="44" t="s">
        <v>527</v>
      </c>
      <c r="J238" s="5"/>
      <c r="K238" s="8" t="s">
        <v>13</v>
      </c>
      <c r="L238" s="8" t="s">
        <v>69</v>
      </c>
      <c r="M238" s="5"/>
      <c r="N238" s="63" t="b">
        <v>1</v>
      </c>
      <c r="O238" s="64">
        <f t="shared" si="1"/>
        <v>46292.75139</v>
      </c>
      <c r="P238" s="49">
        <v>46297.0</v>
      </c>
      <c r="Q238" s="85">
        <v>46219.0</v>
      </c>
      <c r="R238" s="86">
        <f t="shared" si="2"/>
        <v>46279</v>
      </c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</row>
    <row r="239">
      <c r="A239" s="56" t="b">
        <v>1</v>
      </c>
      <c r="B239" s="110">
        <v>46259.0</v>
      </c>
      <c r="C239" s="106" t="s">
        <v>528</v>
      </c>
      <c r="D239" s="38">
        <v>961.0</v>
      </c>
      <c r="E239" s="40">
        <f>IFERROR(__xludf.DUMMYFUNCTION("IF(C239="""", """", XLOOKUP(TRIM(C239), 'COTRATOS ALBUNS 25.2'!E:E, 'COTRATOS ALBUNS 25.2'!D:D, XLOOKUP(TRIM(C239), IMPORTRANGE(""16smdYggRVyzhu5y9HP2ayvW__ybkjb1nkVsCvZrByLM"", ""'COTRATOS 26.1'!B:B""), IMPORTRANGE(""16smdYggRVyzhu5y9HP2ayvW__ybkjb1nkVsC"&amp;"vZrByLM"", ""'COTRATOS 26.1'!A:A""), """")))"),74429.0)</f>
        <v>74429</v>
      </c>
      <c r="F239" s="57" t="s">
        <v>44</v>
      </c>
      <c r="G239" s="42" t="s">
        <v>45</v>
      </c>
      <c r="H239" s="43"/>
      <c r="I239" s="58" t="s">
        <v>529</v>
      </c>
      <c r="J239" s="59"/>
      <c r="K239" s="8" t="s">
        <v>6</v>
      </c>
      <c r="L239" s="59"/>
      <c r="M239" s="53" t="s">
        <v>8</v>
      </c>
      <c r="N239" s="47" t="b">
        <v>0</v>
      </c>
      <c r="O239" s="48">
        <f t="shared" si="1"/>
        <v>46276</v>
      </c>
      <c r="P239" s="49">
        <v>46293.0</v>
      </c>
      <c r="Q239" s="61"/>
      <c r="R239" s="51" t="str">
        <f t="shared" si="2"/>
        <v/>
      </c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</row>
    <row r="240">
      <c r="A240" s="56" t="b">
        <v>1</v>
      </c>
      <c r="B240" s="77">
        <v>46297.0</v>
      </c>
      <c r="C240" s="78" t="s">
        <v>530</v>
      </c>
      <c r="D240" s="38">
        <v>970.0</v>
      </c>
      <c r="E240" s="40">
        <f>IFERROR(__xludf.DUMMYFUNCTION("IF(C240="""", """", XLOOKUP(TRIM(C240), 'COTRATOS ALBUNS 25.2'!E:E, 'COTRATOS ALBUNS 25.2'!D:D, XLOOKUP(TRIM(C240), IMPORTRANGE(""16smdYggRVyzhu5y9HP2ayvW__ybkjb1nkVsCvZrByLM"", ""'COTRATOS 26.1'!B:B""), IMPORTRANGE(""16smdYggRVyzhu5y9HP2ayvW__ybkjb1nkVsC"&amp;"vZrByLM"", ""'COTRATOS 26.1'!A:A""), """")))"),84364.0)</f>
        <v>84364</v>
      </c>
      <c r="F240" s="57" t="s">
        <v>44</v>
      </c>
      <c r="G240" s="42" t="s">
        <v>63</v>
      </c>
      <c r="H240" s="43"/>
      <c r="I240" s="58" t="s">
        <v>531</v>
      </c>
      <c r="J240" s="59"/>
      <c r="K240" s="53" t="s">
        <v>14</v>
      </c>
      <c r="L240" s="45" t="s">
        <v>156</v>
      </c>
      <c r="M240" s="53" t="s">
        <v>8</v>
      </c>
      <c r="N240" s="47" t="b">
        <v>0</v>
      </c>
      <c r="O240" s="48">
        <f t="shared" si="1"/>
        <v>46314</v>
      </c>
      <c r="P240" s="49">
        <v>46289.0</v>
      </c>
      <c r="Q240" s="61">
        <v>46297.0</v>
      </c>
      <c r="R240" s="76">
        <f t="shared" si="2"/>
        <v>46357</v>
      </c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</row>
    <row r="241">
      <c r="A241" s="67" t="b">
        <v>1</v>
      </c>
      <c r="B241" s="68">
        <v>46268.425891203704</v>
      </c>
      <c r="C241" s="69" t="s">
        <v>532</v>
      </c>
      <c r="D241" s="70">
        <v>941.0</v>
      </c>
      <c r="E241" s="40">
        <f>IFERROR(__xludf.DUMMYFUNCTION("IF(C241="""", """", XLOOKUP(TRIM(C241), 'COTRATOS ALBUNS 25.2'!E:E, 'COTRATOS ALBUNS 25.2'!D:D, XLOOKUP(TRIM(C241), IMPORTRANGE(""16smdYggRVyzhu5y9HP2ayvW__ybkjb1nkVsCvZrByLM"", ""'COTRATOS 26.1'!B:B""), IMPORTRANGE(""16smdYggRVyzhu5y9HP2ayvW__ybkjb1nkVsC"&amp;"vZrByLM"", ""'COTRATOS 26.1'!A:A""), """")))"),79025.0)</f>
        <v>79025</v>
      </c>
      <c r="F241" s="71" t="s">
        <v>36</v>
      </c>
      <c r="G241" s="42" t="s">
        <v>175</v>
      </c>
      <c r="H241" s="43"/>
      <c r="I241" s="44" t="s">
        <v>533</v>
      </c>
      <c r="J241" s="5"/>
      <c r="K241" s="8" t="s">
        <v>13</v>
      </c>
      <c r="L241" s="8" t="s">
        <v>54</v>
      </c>
      <c r="M241" s="8" t="s">
        <v>8</v>
      </c>
      <c r="N241" s="63" t="b">
        <v>1</v>
      </c>
      <c r="O241" s="64">
        <f t="shared" si="1"/>
        <v>46285.42589</v>
      </c>
      <c r="P241" s="49">
        <v>46297.0</v>
      </c>
      <c r="Q241" s="72">
        <f>B241</f>
        <v>46268.42589</v>
      </c>
      <c r="R241" s="73">
        <f t="shared" si="2"/>
        <v>46328.42589</v>
      </c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</row>
    <row r="242">
      <c r="A242" s="67" t="b">
        <v>1</v>
      </c>
      <c r="B242" s="68">
        <v>46233.635254629626</v>
      </c>
      <c r="C242" s="38" t="s">
        <v>534</v>
      </c>
      <c r="D242" s="36">
        <v>953.0</v>
      </c>
      <c r="E242" s="40">
        <f>IFERROR(__xludf.DUMMYFUNCTION("IF(C242="""", """", XLOOKUP(TRIM(C242), 'COTRATOS ALBUNS 25.2'!E:E, 'COTRATOS ALBUNS 25.2'!D:D, XLOOKUP(TRIM(C242), IMPORTRANGE(""16smdYggRVyzhu5y9HP2ayvW__ybkjb1nkVsCvZrByLM"", ""'COTRATOS 26.1'!B:B""), IMPORTRANGE(""16smdYggRVyzhu5y9HP2ayvW__ybkjb1nkVsC"&amp;"vZrByLM"", ""'COTRATOS 26.1'!A:A""), """")))"),89199.0)</f>
        <v>89199</v>
      </c>
      <c r="F242" s="41" t="s">
        <v>66</v>
      </c>
      <c r="G242" s="42" t="s">
        <v>57</v>
      </c>
      <c r="H242" s="43"/>
      <c r="I242" s="44" t="s">
        <v>535</v>
      </c>
      <c r="J242" s="5"/>
      <c r="K242" s="8" t="s">
        <v>13</v>
      </c>
      <c r="L242" s="8" t="s">
        <v>193</v>
      </c>
      <c r="M242" s="8" t="s">
        <v>8</v>
      </c>
      <c r="N242" s="63" t="b">
        <v>1</v>
      </c>
      <c r="O242" s="64">
        <f t="shared" si="1"/>
        <v>46250.63525</v>
      </c>
      <c r="P242" s="49">
        <v>46297.0</v>
      </c>
      <c r="Q242" s="50">
        <v>46238.0</v>
      </c>
      <c r="R242" s="86">
        <f t="shared" si="2"/>
        <v>46298</v>
      </c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</row>
    <row r="243">
      <c r="A243" s="53" t="b">
        <v>1</v>
      </c>
      <c r="B243" s="54">
        <v>46297.0</v>
      </c>
      <c r="C243" s="55" t="s">
        <v>536</v>
      </c>
      <c r="D243" s="56">
        <v>971.0</v>
      </c>
      <c r="E243" s="40">
        <f>IFERROR(__xludf.DUMMYFUNCTION("IF(C243="""", """", XLOOKUP(TRIM(C243), 'COTRATOS ALBUNS 25.2'!E:E, 'COTRATOS ALBUNS 25.2'!D:D, XLOOKUP(TRIM(C243), IMPORTRANGE(""16smdYggRVyzhu5y9HP2ayvW__ybkjb1nkVsCvZrByLM"", ""'COTRATOS 26.1'!B:B""), IMPORTRANGE(""16smdYggRVyzhu5y9HP2ayvW__ybkjb1nkVsC"&amp;"vZrByLM"", ""'COTRATOS 26.1'!A:A""), """")))"),84921.0)</f>
        <v>84921</v>
      </c>
      <c r="F243" s="57" t="s">
        <v>74</v>
      </c>
      <c r="G243" s="42" t="s">
        <v>117</v>
      </c>
      <c r="H243" s="43"/>
      <c r="I243" s="58" t="s">
        <v>537</v>
      </c>
      <c r="J243" s="59"/>
      <c r="K243" s="8" t="s">
        <v>14</v>
      </c>
      <c r="L243" s="8" t="s">
        <v>89</v>
      </c>
      <c r="M243" s="53" t="s">
        <v>8</v>
      </c>
      <c r="N243" s="47" t="b">
        <v>0</v>
      </c>
      <c r="O243" s="48">
        <f t="shared" si="1"/>
        <v>46314</v>
      </c>
      <c r="P243" s="49">
        <v>46297.0</v>
      </c>
      <c r="Q243" s="61">
        <v>46287.0</v>
      </c>
      <c r="R243" s="76">
        <f t="shared" si="2"/>
        <v>46347</v>
      </c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</row>
    <row r="244">
      <c r="A244" s="36" t="b">
        <v>1</v>
      </c>
      <c r="B244" s="62">
        <v>46238.4755787037</v>
      </c>
      <c r="C244" s="38" t="s">
        <v>538</v>
      </c>
      <c r="D244" s="39">
        <v>1103.0</v>
      </c>
      <c r="E244" s="40">
        <f>IFERROR(__xludf.DUMMYFUNCTION("IF(C244="""", """", XLOOKUP(TRIM(C244), 'COTRATOS ALBUNS 25.2'!E:E, 'COTRATOS ALBUNS 25.2'!D:D, XLOOKUP(TRIM(C244), IMPORTRANGE(""16smdYggRVyzhu5y9HP2ayvW__ybkjb1nkVsCvZrByLM"", ""'COTRATOS 26.1'!B:B""), IMPORTRANGE(""16smdYggRVyzhu5y9HP2ayvW__ybkjb1nkVsC"&amp;"vZrByLM"", ""'COTRATOS 26.1'!A:A""), """")))"),78220.0)</f>
        <v>78220</v>
      </c>
      <c r="F244" s="41" t="s">
        <v>36</v>
      </c>
      <c r="G244" s="42" t="s">
        <v>45</v>
      </c>
      <c r="H244" s="43"/>
      <c r="I244" s="44" t="s">
        <v>539</v>
      </c>
      <c r="J244" s="7"/>
      <c r="K244" s="8" t="s">
        <v>13</v>
      </c>
      <c r="L244" s="108" t="s">
        <v>193</v>
      </c>
      <c r="M244" s="8" t="s">
        <v>8</v>
      </c>
      <c r="N244" s="63" t="b">
        <v>1</v>
      </c>
      <c r="O244" s="64">
        <f t="shared" si="1"/>
        <v>46255.47558</v>
      </c>
      <c r="P244" s="49">
        <v>46297.0</v>
      </c>
      <c r="Q244" s="50">
        <v>46238.0</v>
      </c>
      <c r="R244" s="86">
        <f t="shared" si="2"/>
        <v>46298</v>
      </c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</row>
    <row r="245">
      <c r="A245" s="36" t="b">
        <v>1</v>
      </c>
      <c r="B245" s="94">
        <v>46227.42475694444</v>
      </c>
      <c r="C245" s="38" t="s">
        <v>540</v>
      </c>
      <c r="D245" s="36">
        <v>1172.0</v>
      </c>
      <c r="E245" s="40">
        <f>IFERROR(__xludf.DUMMYFUNCTION("IF(C245="""", """", XLOOKUP(TRIM(C245), 'COTRATOS ALBUNS 25.2'!E:E, 'COTRATOS ALBUNS 25.2'!D:D, XLOOKUP(TRIM(C245), IMPORTRANGE(""16smdYggRVyzhu5y9HP2ayvW__ybkjb1nkVsCvZrByLM"", ""'COTRATOS 26.1'!B:B""), IMPORTRANGE(""16smdYggRVyzhu5y9HP2ayvW__ybkjb1nkVsC"&amp;"vZrByLM"", ""'COTRATOS 26.1'!A:A""), """")))"),86872.0)</f>
        <v>86872</v>
      </c>
      <c r="F245" s="41" t="s">
        <v>66</v>
      </c>
      <c r="G245" s="42" t="s">
        <v>41</v>
      </c>
      <c r="H245" s="43"/>
      <c r="I245" s="44" t="s">
        <v>541</v>
      </c>
      <c r="J245" s="5"/>
      <c r="K245" s="8" t="s">
        <v>13</v>
      </c>
      <c r="L245" s="103" t="s">
        <v>193</v>
      </c>
      <c r="M245" s="8" t="s">
        <v>8</v>
      </c>
      <c r="N245" s="63" t="b">
        <v>1</v>
      </c>
      <c r="O245" s="64">
        <f t="shared" si="1"/>
        <v>46244.42476</v>
      </c>
      <c r="P245" s="49">
        <v>46297.0</v>
      </c>
      <c r="Q245" s="50">
        <v>46230.0</v>
      </c>
      <c r="R245" s="86">
        <f t="shared" si="2"/>
        <v>46290</v>
      </c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</row>
    <row r="246">
      <c r="A246" s="67" t="b">
        <v>1</v>
      </c>
      <c r="B246" s="68">
        <v>46268.42627314814</v>
      </c>
      <c r="C246" s="69" t="s">
        <v>542</v>
      </c>
      <c r="D246" s="70">
        <v>994.0</v>
      </c>
      <c r="E246" s="40">
        <f>IFERROR(__xludf.DUMMYFUNCTION("IF(C246="""", """", XLOOKUP(TRIM(C246), 'COTRATOS ALBUNS 25.2'!E:E, 'COTRATOS ALBUNS 25.2'!D:D, XLOOKUP(TRIM(C246), IMPORTRANGE(""16smdYggRVyzhu5y9HP2ayvW__ybkjb1nkVsCvZrByLM"", ""'COTRATOS 26.1'!B:B""), IMPORTRANGE(""16smdYggRVyzhu5y9HP2ayvW__ybkjb1nkVsC"&amp;"vZrByLM"", ""'COTRATOS 26.1'!A:A""), """")))"),87379.0)</f>
        <v>87379</v>
      </c>
      <c r="F246" s="71" t="s">
        <v>36</v>
      </c>
      <c r="G246" s="42" t="s">
        <v>63</v>
      </c>
      <c r="H246" s="43"/>
      <c r="I246" s="44" t="s">
        <v>543</v>
      </c>
      <c r="J246" s="5"/>
      <c r="K246" s="8" t="s">
        <v>13</v>
      </c>
      <c r="L246" s="8" t="s">
        <v>50</v>
      </c>
      <c r="M246" s="8" t="s">
        <v>8</v>
      </c>
      <c r="N246" s="63" t="b">
        <v>1</v>
      </c>
      <c r="O246" s="64">
        <f t="shared" si="1"/>
        <v>46285.42627</v>
      </c>
      <c r="P246" s="49">
        <v>46297.0</v>
      </c>
      <c r="Q246" s="72">
        <f t="shared" ref="Q246:Q247" si="6">B246</f>
        <v>46268.42627</v>
      </c>
      <c r="R246" s="73">
        <f t="shared" si="2"/>
        <v>46328.42627</v>
      </c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</row>
    <row r="247">
      <c r="A247" s="67" t="b">
        <v>1</v>
      </c>
      <c r="B247" s="74">
        <v>46268.425520833334</v>
      </c>
      <c r="C247" s="69" t="s">
        <v>544</v>
      </c>
      <c r="D247" s="70">
        <v>968.0</v>
      </c>
      <c r="E247" s="40">
        <f>IFERROR(__xludf.DUMMYFUNCTION("IF(C247="""", """", XLOOKUP(TRIM(C247), 'COTRATOS ALBUNS 25.2'!E:E, 'COTRATOS ALBUNS 25.2'!D:D, XLOOKUP(TRIM(C247), IMPORTRANGE(""16smdYggRVyzhu5y9HP2ayvW__ybkjb1nkVsCvZrByLM"", ""'COTRATOS 26.1'!B:B""), IMPORTRANGE(""16smdYggRVyzhu5y9HP2ayvW__ybkjb1nkVsC"&amp;"vZrByLM"", ""'COTRATOS 26.1'!A:A""), """")))"),75514.0)</f>
        <v>75514</v>
      </c>
      <c r="F247" s="71" t="s">
        <v>36</v>
      </c>
      <c r="G247" s="42" t="s">
        <v>168</v>
      </c>
      <c r="H247" s="43"/>
      <c r="I247" s="44" t="s">
        <v>545</v>
      </c>
      <c r="J247" s="5"/>
      <c r="K247" s="8" t="s">
        <v>13</v>
      </c>
      <c r="L247" s="8" t="s">
        <v>108</v>
      </c>
      <c r="M247" s="8" t="s">
        <v>8</v>
      </c>
      <c r="N247" s="63" t="b">
        <v>1</v>
      </c>
      <c r="O247" s="48">
        <f t="shared" si="1"/>
        <v>46285.42552</v>
      </c>
      <c r="P247" s="49">
        <v>46297.0</v>
      </c>
      <c r="Q247" s="75">
        <f t="shared" si="6"/>
        <v>46268.42552</v>
      </c>
      <c r="R247" s="76">
        <f t="shared" si="2"/>
        <v>46328.42552</v>
      </c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</row>
    <row r="248">
      <c r="A248" s="56" t="b">
        <v>1</v>
      </c>
      <c r="B248" s="77">
        <v>46239.0</v>
      </c>
      <c r="C248" s="98" t="s">
        <v>546</v>
      </c>
      <c r="D248" s="56">
        <v>1203.0</v>
      </c>
      <c r="E248" s="102">
        <v>92153.0</v>
      </c>
      <c r="F248" s="57" t="s">
        <v>40</v>
      </c>
      <c r="G248" s="42" t="s">
        <v>91</v>
      </c>
      <c r="H248" s="43"/>
      <c r="I248" s="58" t="s">
        <v>547</v>
      </c>
      <c r="J248" s="59"/>
      <c r="K248" s="8" t="s">
        <v>6</v>
      </c>
      <c r="L248" s="45"/>
      <c r="M248" s="53" t="s">
        <v>8</v>
      </c>
      <c r="N248" s="47" t="b">
        <v>0</v>
      </c>
      <c r="O248" s="48">
        <f t="shared" si="1"/>
        <v>46256</v>
      </c>
      <c r="P248" s="49">
        <v>46269.0</v>
      </c>
      <c r="Q248" s="61"/>
      <c r="R248" s="51" t="str">
        <f t="shared" si="2"/>
        <v/>
      </c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</row>
    <row r="249">
      <c r="A249" s="67" t="b">
        <v>1</v>
      </c>
      <c r="B249" s="68">
        <v>46268.425729166665</v>
      </c>
      <c r="C249" s="69" t="s">
        <v>548</v>
      </c>
      <c r="D249" s="70">
        <v>988.0</v>
      </c>
      <c r="E249" s="40">
        <f>IFERROR(__xludf.DUMMYFUNCTION("IF(C249="""", """", XLOOKUP(TRIM(C249), 'COTRATOS ALBUNS 25.2'!E:E, 'COTRATOS ALBUNS 25.2'!D:D, XLOOKUP(TRIM(C249), IMPORTRANGE(""16smdYggRVyzhu5y9HP2ayvW__ybkjb1nkVsCvZrByLM"", ""'COTRATOS 26.1'!B:B""), IMPORTRANGE(""16smdYggRVyzhu5y9HP2ayvW__ybkjb1nkVsC"&amp;"vZrByLM"", ""'COTRATOS 26.1'!A:A""), """")))"),89033.0)</f>
        <v>89033</v>
      </c>
      <c r="F249" s="71" t="s">
        <v>36</v>
      </c>
      <c r="G249" s="42" t="s">
        <v>52</v>
      </c>
      <c r="H249" s="43"/>
      <c r="I249" s="44" t="s">
        <v>549</v>
      </c>
      <c r="J249" s="5"/>
      <c r="K249" s="8" t="s">
        <v>13</v>
      </c>
      <c r="L249" s="8" t="s">
        <v>50</v>
      </c>
      <c r="M249" s="8" t="s">
        <v>8</v>
      </c>
      <c r="N249" s="63" t="b">
        <v>1</v>
      </c>
      <c r="O249" s="64">
        <f t="shared" si="1"/>
        <v>46285.42573</v>
      </c>
      <c r="P249" s="49">
        <v>46297.0</v>
      </c>
      <c r="Q249" s="72">
        <f>B249</f>
        <v>46268.42573</v>
      </c>
      <c r="R249" s="73">
        <f t="shared" si="2"/>
        <v>46328.42573</v>
      </c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</row>
    <row r="250">
      <c r="A250" s="36" t="b">
        <v>1</v>
      </c>
      <c r="B250" s="90">
        <v>46297.0</v>
      </c>
      <c r="C250" s="81" t="s">
        <v>550</v>
      </c>
      <c r="D250" s="39">
        <v>1172.0</v>
      </c>
      <c r="E250" s="40">
        <f>IFERROR(__xludf.DUMMYFUNCTION("IF(C250="""", """", XLOOKUP(TRIM(C250), 'COTRATOS ALBUNS 25.2'!E:E, 'COTRATOS ALBUNS 25.2'!D:D, XLOOKUP(TRIM(C250), IMPORTRANGE(""16smdYggRVyzhu5y9HP2ayvW__ybkjb1nkVsCvZrByLM"", ""'COTRATOS 26.1'!B:B""), IMPORTRANGE(""16smdYggRVyzhu5y9HP2ayvW__ybkjb1nkVsC"&amp;"vZrByLM"", ""'COTRATOS 26.1'!A:A""), """")))"),90023.0)</f>
        <v>90023</v>
      </c>
      <c r="F250" s="41" t="s">
        <v>44</v>
      </c>
      <c r="G250" s="42" t="s">
        <v>207</v>
      </c>
      <c r="H250" s="43"/>
      <c r="I250" s="44" t="s">
        <v>551</v>
      </c>
      <c r="J250" s="7"/>
      <c r="K250" s="8" t="s">
        <v>14</v>
      </c>
      <c r="L250" s="108" t="s">
        <v>132</v>
      </c>
      <c r="M250" s="46" t="s">
        <v>8</v>
      </c>
      <c r="N250" s="47" t="b">
        <v>0</v>
      </c>
      <c r="O250" s="48">
        <f t="shared" si="1"/>
        <v>46314</v>
      </c>
      <c r="P250" s="49">
        <v>46297.0</v>
      </c>
      <c r="Q250" s="132">
        <v>46297.0</v>
      </c>
      <c r="R250" s="76">
        <f t="shared" si="2"/>
        <v>46357</v>
      </c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</row>
    <row r="251">
      <c r="A251" s="53" t="b">
        <v>1</v>
      </c>
      <c r="B251" s="54">
        <v>46279.0</v>
      </c>
      <c r="C251" s="95" t="s">
        <v>552</v>
      </c>
      <c r="D251" s="56">
        <v>1179.0</v>
      </c>
      <c r="E251" s="40">
        <f>IFERROR(__xludf.DUMMYFUNCTION("IF(C251="""", """", XLOOKUP(TRIM(C251), 'COTRATOS ALBUNS 25.2'!E:E, 'COTRATOS ALBUNS 25.2'!D:D, XLOOKUP(TRIM(C251), IMPORTRANGE(""16smdYggRVyzhu5y9HP2ayvW__ybkjb1nkVsCvZrByLM"", ""'COTRATOS 26.1'!B:B""), IMPORTRANGE(""16smdYggRVyzhu5y9HP2ayvW__ybkjb1nkVsC"&amp;"vZrByLM"", ""'COTRATOS 26.1'!A:A""), """")))"),94920.0)</f>
        <v>94920</v>
      </c>
      <c r="F251" s="57" t="s">
        <v>40</v>
      </c>
      <c r="G251" s="42" t="s">
        <v>87</v>
      </c>
      <c r="H251" s="43"/>
      <c r="I251" s="58" t="s">
        <v>553</v>
      </c>
      <c r="J251" s="59"/>
      <c r="K251" s="53" t="s">
        <v>17</v>
      </c>
      <c r="L251" s="59"/>
      <c r="M251" s="59"/>
      <c r="N251" s="47" t="b">
        <v>0</v>
      </c>
      <c r="O251" s="48">
        <f t="shared" si="1"/>
        <v>46296</v>
      </c>
      <c r="P251" s="60"/>
      <c r="Q251" s="61"/>
      <c r="R251" s="51" t="str">
        <f t="shared" si="2"/>
        <v/>
      </c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</row>
    <row r="252">
      <c r="A252" s="67" t="b">
        <v>1</v>
      </c>
      <c r="B252" s="74">
        <v>46297.0</v>
      </c>
      <c r="C252" s="142" t="s">
        <v>554</v>
      </c>
      <c r="D252" s="143">
        <v>994.0</v>
      </c>
      <c r="E252" s="40">
        <f>IFERROR(__xludf.DUMMYFUNCTION("IF(C252="""", """", XLOOKUP(TRIM(C252), 'COTRATOS ALBUNS 25.2'!E:E, 'COTRATOS ALBUNS 25.2'!D:D, XLOOKUP(TRIM(C252), IMPORTRANGE(""16smdYggRVyzhu5y9HP2ayvW__ybkjb1nkVsCvZrByLM"", ""'COTRATOS 26.1'!B:B""), IMPORTRANGE(""16smdYggRVyzhu5y9HP2ayvW__ybkjb1nkVsC"&amp;"vZrByLM"", ""'COTRATOS 26.1'!A:A""), """")))"),87611.0)</f>
        <v>87611</v>
      </c>
      <c r="F252" s="41" t="s">
        <v>40</v>
      </c>
      <c r="G252" s="42" t="s">
        <v>313</v>
      </c>
      <c r="H252" s="43"/>
      <c r="I252" s="44" t="s">
        <v>555</v>
      </c>
      <c r="J252" s="5"/>
      <c r="K252" s="8" t="s">
        <v>13</v>
      </c>
      <c r="L252" s="144" t="s">
        <v>101</v>
      </c>
      <c r="M252" s="46" t="s">
        <v>8</v>
      </c>
      <c r="N252" s="47" t="b">
        <v>0</v>
      </c>
      <c r="O252" s="48">
        <f t="shared" si="1"/>
        <v>46314</v>
      </c>
      <c r="P252" s="49">
        <v>46297.0</v>
      </c>
      <c r="Q252" s="93">
        <v>46246.0</v>
      </c>
      <c r="R252" s="76">
        <f t="shared" si="2"/>
        <v>46306</v>
      </c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</row>
    <row r="253">
      <c r="A253" s="67" t="b">
        <v>1</v>
      </c>
      <c r="B253" s="74">
        <v>46297.0</v>
      </c>
      <c r="C253" s="38" t="s">
        <v>556</v>
      </c>
      <c r="D253" s="36">
        <v>968.0</v>
      </c>
      <c r="E253" s="40">
        <f>IFERROR(__xludf.DUMMYFUNCTION("IF(C253="""", """", XLOOKUP(TRIM(C253), 'COTRATOS ALBUNS 25.2'!E:E, 'COTRATOS ALBUNS 25.2'!D:D, XLOOKUP(TRIM(C253), IMPORTRANGE(""16smdYggRVyzhu5y9HP2ayvW__ybkjb1nkVsCvZrByLM"", ""'COTRATOS 26.1'!B:B""), IMPORTRANGE(""16smdYggRVyzhu5y9HP2ayvW__ybkjb1nkVsC"&amp;"vZrByLM"", ""'COTRATOS 26.1'!A:A""), """")))"),86865.0)</f>
        <v>86865</v>
      </c>
      <c r="F253" s="41" t="s">
        <v>66</v>
      </c>
      <c r="G253" s="42" t="s">
        <v>456</v>
      </c>
      <c r="H253" s="43"/>
      <c r="I253" s="44" t="s">
        <v>557</v>
      </c>
      <c r="J253" s="5"/>
      <c r="K253" s="8" t="s">
        <v>13</v>
      </c>
      <c r="L253" s="46" t="s">
        <v>101</v>
      </c>
      <c r="M253" s="46" t="s">
        <v>8</v>
      </c>
      <c r="N253" s="47" t="b">
        <v>0</v>
      </c>
      <c r="O253" s="48">
        <f t="shared" si="1"/>
        <v>46314</v>
      </c>
      <c r="P253" s="49">
        <v>46297.0</v>
      </c>
      <c r="Q253" s="50">
        <v>46245.0</v>
      </c>
      <c r="R253" s="86">
        <f t="shared" si="2"/>
        <v>46305</v>
      </c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</row>
    <row r="254">
      <c r="A254" s="67" t="b">
        <v>1</v>
      </c>
      <c r="B254" s="68">
        <v>46216.64653935185</v>
      </c>
      <c r="C254" s="38" t="s">
        <v>558</v>
      </c>
      <c r="D254" s="36">
        <v>1103.0</v>
      </c>
      <c r="E254" s="40">
        <f>IFERROR(__xludf.DUMMYFUNCTION("IF(C254="""", """", XLOOKUP(TRIM(C254), 'COTRATOS ALBUNS 25.2'!E:E, 'COTRATOS ALBUNS 25.2'!D:D, XLOOKUP(TRIM(C254), IMPORTRANGE(""16smdYggRVyzhu5y9HP2ayvW__ybkjb1nkVsCvZrByLM"", ""'COTRATOS 26.1'!B:B""), IMPORTRANGE(""16smdYggRVyzhu5y9HP2ayvW__ybkjb1nkVsC"&amp;"vZrByLM"", ""'COTRATOS 26.1'!A:A""), """")))"),89987.0)</f>
        <v>89987</v>
      </c>
      <c r="F254" s="41" t="s">
        <v>36</v>
      </c>
      <c r="G254" s="42" t="s">
        <v>57</v>
      </c>
      <c r="H254" s="43"/>
      <c r="I254" s="44" t="s">
        <v>559</v>
      </c>
      <c r="J254" s="5"/>
      <c r="K254" s="8" t="s">
        <v>13</v>
      </c>
      <c r="L254" s="8" t="s">
        <v>121</v>
      </c>
      <c r="M254" s="5"/>
      <c r="N254" s="63" t="b">
        <v>1</v>
      </c>
      <c r="O254" s="64">
        <f t="shared" si="1"/>
        <v>46233.64654</v>
      </c>
      <c r="P254" s="49">
        <v>46297.0</v>
      </c>
      <c r="Q254" s="85">
        <v>46216.0</v>
      </c>
      <c r="R254" s="86">
        <f t="shared" si="2"/>
        <v>46276</v>
      </c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</row>
    <row r="255">
      <c r="A255" s="67" t="b">
        <v>1</v>
      </c>
      <c r="B255" s="68">
        <v>46268.42549768518</v>
      </c>
      <c r="C255" s="145" t="s">
        <v>560</v>
      </c>
      <c r="D255" s="70">
        <v>968.0</v>
      </c>
      <c r="E255" s="40">
        <f>IFERROR(__xludf.DUMMYFUNCTION("IF(C255="""", """", XLOOKUP(TRIM(C255), 'COTRATOS ALBUNS 25.2'!E:E, 'COTRATOS ALBUNS 25.2'!D:D, XLOOKUP(TRIM(C255), IMPORTRANGE(""16smdYggRVyzhu5y9HP2ayvW__ybkjb1nkVsCvZrByLM"", ""'COTRATOS 26.1'!B:B""), IMPORTRANGE(""16smdYggRVyzhu5y9HP2ayvW__ybkjb1nkVsC"&amp;"vZrByLM"", ""'COTRATOS 26.1'!A:A""), """")))"),84564.0)</f>
        <v>84564</v>
      </c>
      <c r="F255" s="71" t="s">
        <v>36</v>
      </c>
      <c r="G255" s="42" t="s">
        <v>110</v>
      </c>
      <c r="H255" s="43"/>
      <c r="I255" s="44" t="s">
        <v>561</v>
      </c>
      <c r="J255" s="5"/>
      <c r="K255" s="8" t="s">
        <v>13</v>
      </c>
      <c r="L255" s="8" t="s">
        <v>50</v>
      </c>
      <c r="M255" s="8" t="s">
        <v>8</v>
      </c>
      <c r="N255" s="63" t="b">
        <v>1</v>
      </c>
      <c r="O255" s="64">
        <f t="shared" si="1"/>
        <v>46285.4255</v>
      </c>
      <c r="P255" s="49">
        <v>46297.0</v>
      </c>
      <c r="Q255" s="72">
        <f>B255</f>
        <v>46268.4255</v>
      </c>
      <c r="R255" s="73">
        <f t="shared" si="2"/>
        <v>46328.4255</v>
      </c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</row>
    <row r="256" ht="17.25" customHeight="1">
      <c r="A256" s="56" t="b">
        <v>1</v>
      </c>
      <c r="B256" s="110">
        <v>46265.0</v>
      </c>
      <c r="C256" s="106" t="s">
        <v>562</v>
      </c>
      <c r="D256" s="38">
        <v>961.0</v>
      </c>
      <c r="E256" s="40">
        <f>IFERROR(__xludf.DUMMYFUNCTION("IF(C256="""", """", XLOOKUP(TRIM(C256), 'COTRATOS ALBUNS 25.2'!E:E, 'COTRATOS ALBUNS 25.2'!D:D, XLOOKUP(TRIM(C256), IMPORTRANGE(""16smdYggRVyzhu5y9HP2ayvW__ybkjb1nkVsCvZrByLM"", ""'COTRATOS 26.1'!B:B""), IMPORTRANGE(""16smdYggRVyzhu5y9HP2ayvW__ybkjb1nkVsC"&amp;"vZrByLM"", ""'COTRATOS 26.1'!A:A""), """")))"),60819.0)</f>
        <v>60819</v>
      </c>
      <c r="F256" s="57" t="s">
        <v>56</v>
      </c>
      <c r="G256" s="42" t="s">
        <v>45</v>
      </c>
      <c r="H256" s="43"/>
      <c r="I256" s="58" t="s">
        <v>563</v>
      </c>
      <c r="J256" s="59"/>
      <c r="K256" s="8" t="s">
        <v>6</v>
      </c>
      <c r="L256" s="59"/>
      <c r="M256" s="53" t="s">
        <v>8</v>
      </c>
      <c r="N256" s="47" t="b">
        <v>0</v>
      </c>
      <c r="O256" s="48">
        <f t="shared" si="1"/>
        <v>46282</v>
      </c>
      <c r="P256" s="49">
        <v>46293.0</v>
      </c>
      <c r="Q256" s="61"/>
      <c r="R256" s="51" t="str">
        <f t="shared" si="2"/>
        <v/>
      </c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</row>
    <row r="257">
      <c r="A257" s="56" t="b">
        <v>1</v>
      </c>
      <c r="B257" s="77">
        <v>46297.0</v>
      </c>
      <c r="C257" s="98" t="s">
        <v>564</v>
      </c>
      <c r="D257" s="56">
        <v>6101.0</v>
      </c>
      <c r="E257" s="102">
        <v>87366.0</v>
      </c>
      <c r="F257" s="57" t="s">
        <v>40</v>
      </c>
      <c r="G257" s="42" t="s">
        <v>52</v>
      </c>
      <c r="H257" s="43"/>
      <c r="I257" s="58" t="s">
        <v>565</v>
      </c>
      <c r="J257" s="59"/>
      <c r="K257" s="8" t="s">
        <v>14</v>
      </c>
      <c r="L257" s="45" t="s">
        <v>89</v>
      </c>
      <c r="M257" s="53" t="s">
        <v>8</v>
      </c>
      <c r="N257" s="47" t="b">
        <v>0</v>
      </c>
      <c r="O257" s="48">
        <f t="shared" si="1"/>
        <v>46314</v>
      </c>
      <c r="P257" s="49">
        <v>46297.0</v>
      </c>
      <c r="Q257" s="61">
        <v>46294.0</v>
      </c>
      <c r="R257" s="76">
        <f t="shared" si="2"/>
        <v>46354</v>
      </c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</row>
    <row r="258">
      <c r="A258" s="56" t="b">
        <v>1</v>
      </c>
      <c r="B258" s="77">
        <v>46243.0</v>
      </c>
      <c r="C258" s="98" t="s">
        <v>566</v>
      </c>
      <c r="D258" s="56">
        <v>971.0</v>
      </c>
      <c r="E258" s="40">
        <f>IFERROR(__xludf.DUMMYFUNCTION("IF(C258="""", """", XLOOKUP(TRIM(C258), 'COTRATOS ALBUNS 25.2'!E:E, 'COTRATOS ALBUNS 25.2'!D:D, XLOOKUP(TRIM(C258), IMPORTRANGE(""16smdYggRVyzhu5y9HP2ayvW__ybkjb1nkVsCvZrByLM"", ""'COTRATOS 26.1'!B:B""), IMPORTRANGE(""16smdYggRVyzhu5y9HP2ayvW__ybkjb1nkVsC"&amp;"vZrByLM"", ""'COTRATOS 26.1'!A:A""), """")))"),85041.0)</f>
        <v>85041</v>
      </c>
      <c r="F258" s="57" t="s">
        <v>40</v>
      </c>
      <c r="G258" s="42" t="s">
        <v>52</v>
      </c>
      <c r="H258" s="43"/>
      <c r="I258" s="58" t="s">
        <v>567</v>
      </c>
      <c r="J258" s="59"/>
      <c r="K258" s="8" t="s">
        <v>6</v>
      </c>
      <c r="L258" s="45"/>
      <c r="M258" s="53" t="s">
        <v>8</v>
      </c>
      <c r="N258" s="47" t="b">
        <v>0</v>
      </c>
      <c r="O258" s="48">
        <f t="shared" si="1"/>
        <v>46260</v>
      </c>
      <c r="P258" s="49">
        <v>46286.0</v>
      </c>
      <c r="Q258" s="61"/>
      <c r="R258" s="51" t="str">
        <f t="shared" si="2"/>
        <v/>
      </c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</row>
    <row r="259">
      <c r="A259" s="53" t="b">
        <v>1</v>
      </c>
      <c r="B259" s="146">
        <v>46270.0</v>
      </c>
      <c r="C259" s="147" t="s">
        <v>568</v>
      </c>
      <c r="D259" s="148">
        <v>1172.0</v>
      </c>
      <c r="E259" s="40">
        <f>IFERROR(__xludf.DUMMYFUNCTION("IF(C259="""", """", XLOOKUP(TRIM(C259), 'COTRATOS ALBUNS 25.2'!E:E, 'COTRATOS ALBUNS 25.2'!D:D, XLOOKUP(TRIM(C259), IMPORTRANGE(""16smdYggRVyzhu5y9HP2ayvW__ybkjb1nkVsCvZrByLM"", ""'COTRATOS 26.1'!B:B""), IMPORTRANGE(""16smdYggRVyzhu5y9HP2ayvW__ybkjb1nkVsC"&amp;"vZrByLM"", ""'COTRATOS 26.1'!A:A""), """")))"),90738.0)</f>
        <v>90738</v>
      </c>
      <c r="F259" s="109" t="s">
        <v>44</v>
      </c>
      <c r="G259" s="42" t="s">
        <v>207</v>
      </c>
      <c r="H259" s="43"/>
      <c r="I259" s="119" t="s">
        <v>569</v>
      </c>
      <c r="J259" s="120"/>
      <c r="K259" s="53" t="s">
        <v>10</v>
      </c>
      <c r="L259" s="121"/>
      <c r="M259" s="53" t="s">
        <v>8</v>
      </c>
      <c r="N259" s="122" t="b">
        <v>0</v>
      </c>
      <c r="O259" s="48">
        <f t="shared" si="1"/>
        <v>46287</v>
      </c>
      <c r="P259" s="149"/>
      <c r="Q259" s="124"/>
      <c r="R259" s="51" t="str">
        <f t="shared" si="2"/>
        <v/>
      </c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</row>
    <row r="260">
      <c r="A260" s="36" t="b">
        <v>1</v>
      </c>
      <c r="B260" s="37">
        <v>46297.0</v>
      </c>
      <c r="C260" s="38" t="s">
        <v>570</v>
      </c>
      <c r="D260" s="39">
        <v>1172.0</v>
      </c>
      <c r="E260" s="40">
        <f>IFERROR(__xludf.DUMMYFUNCTION("IF(C260="""", """", XLOOKUP(TRIM(C260), 'COTRATOS ALBUNS 25.2'!E:E, 'COTRATOS ALBUNS 25.2'!D:D, XLOOKUP(TRIM(C260), IMPORTRANGE(""16smdYggRVyzhu5y9HP2ayvW__ybkjb1nkVsCvZrByLM"", ""'COTRATOS 26.1'!B:B""), IMPORTRANGE(""16smdYggRVyzhu5y9HP2ayvW__ybkjb1nkVsC"&amp;"vZrByLM"", ""'COTRATOS 26.1'!A:A""), """")))"),87078.0)</f>
        <v>87078</v>
      </c>
      <c r="F260" s="87" t="s">
        <v>289</v>
      </c>
      <c r="G260" s="42" t="s">
        <v>37</v>
      </c>
      <c r="H260" s="43"/>
      <c r="I260" s="44" t="s">
        <v>571</v>
      </c>
      <c r="J260" s="7"/>
      <c r="K260" s="8" t="s">
        <v>13</v>
      </c>
      <c r="L260" s="108" t="s">
        <v>101</v>
      </c>
      <c r="M260" s="46" t="s">
        <v>8</v>
      </c>
      <c r="N260" s="47" t="b">
        <v>0</v>
      </c>
      <c r="O260" s="48">
        <f t="shared" si="1"/>
        <v>46314</v>
      </c>
      <c r="P260" s="49">
        <v>46297.0</v>
      </c>
      <c r="Q260" s="93">
        <v>46252.0</v>
      </c>
      <c r="R260" s="76">
        <f t="shared" si="2"/>
        <v>46312</v>
      </c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</row>
    <row r="261">
      <c r="A261" s="36" t="b">
        <v>1</v>
      </c>
      <c r="B261" s="62">
        <v>46227.543703703705</v>
      </c>
      <c r="C261" s="38" t="s">
        <v>572</v>
      </c>
      <c r="D261" s="39">
        <v>1172.0</v>
      </c>
      <c r="E261" s="40">
        <f>IFERROR(__xludf.DUMMYFUNCTION("IF(C261="""", """", XLOOKUP(TRIM(C261), 'COTRATOS ALBUNS 25.2'!E:E, 'COTRATOS ALBUNS 25.2'!D:D, XLOOKUP(TRIM(C261), IMPORTRANGE(""16smdYggRVyzhu5y9HP2ayvW__ybkjb1nkVsCvZrByLM"", ""'COTRATOS 26.1'!B:B""), IMPORTRANGE(""16smdYggRVyzhu5y9HP2ayvW__ybkjb1nkVsC"&amp;"vZrByLM"", ""'COTRATOS 26.1'!A:A""), """")))"),88924.0)</f>
        <v>88924</v>
      </c>
      <c r="F261" s="41" t="s">
        <v>44</v>
      </c>
      <c r="G261" s="42" t="s">
        <v>110</v>
      </c>
      <c r="H261" s="43"/>
      <c r="I261" s="44" t="s">
        <v>573</v>
      </c>
      <c r="J261" s="7"/>
      <c r="K261" s="8" t="s">
        <v>13</v>
      </c>
      <c r="L261" s="8" t="s">
        <v>193</v>
      </c>
      <c r="M261" s="8" t="s">
        <v>8</v>
      </c>
      <c r="N261" s="63" t="b">
        <v>1</v>
      </c>
      <c r="O261" s="64">
        <f t="shared" si="1"/>
        <v>46244.5437</v>
      </c>
      <c r="P261" s="49">
        <v>46261.0</v>
      </c>
      <c r="Q261" s="50">
        <v>46230.0</v>
      </c>
      <c r="R261" s="86">
        <f t="shared" si="2"/>
        <v>46290</v>
      </c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</row>
    <row r="262">
      <c r="A262" s="53" t="b">
        <v>1</v>
      </c>
      <c r="B262" s="54">
        <v>46273.0</v>
      </c>
      <c r="C262" s="150" t="s">
        <v>574</v>
      </c>
      <c r="D262" s="38">
        <v>1172.0</v>
      </c>
      <c r="E262" s="40">
        <f>IFERROR(__xludf.DUMMYFUNCTION("IF(C262="""", """", XLOOKUP(TRIM(C262), 'COTRATOS ALBUNS 25.2'!E:E, 'COTRATOS ALBUNS 25.2'!D:D, XLOOKUP(TRIM(C262), IMPORTRANGE(""16smdYggRVyzhu5y9HP2ayvW__ybkjb1nkVsCvZrByLM"", ""'COTRATOS 26.1'!B:B""), IMPORTRANGE(""16smdYggRVyzhu5y9HP2ayvW__ybkjb1nkVsC"&amp;"vZrByLM"", ""'COTRATOS 26.1'!A:A""), """")))"),86795.0)</f>
        <v>86795</v>
      </c>
      <c r="F262" s="57" t="s">
        <v>74</v>
      </c>
      <c r="G262" s="42" t="s">
        <v>52</v>
      </c>
      <c r="H262" s="43"/>
      <c r="I262" s="58" t="s">
        <v>575</v>
      </c>
      <c r="J262" s="59"/>
      <c r="K262" s="53" t="s">
        <v>17</v>
      </c>
      <c r="L262" s="59"/>
      <c r="M262" s="53" t="s">
        <v>8</v>
      </c>
      <c r="N262" s="47" t="b">
        <v>0</v>
      </c>
      <c r="O262" s="48">
        <f t="shared" si="1"/>
        <v>46290</v>
      </c>
      <c r="P262" s="60"/>
      <c r="Q262" s="61"/>
      <c r="R262" s="51" t="str">
        <f t="shared" si="2"/>
        <v/>
      </c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</row>
    <row r="263">
      <c r="A263" s="67" t="b">
        <v>1</v>
      </c>
      <c r="B263" s="68">
        <v>46268.42601851852</v>
      </c>
      <c r="C263" s="69" t="s">
        <v>576</v>
      </c>
      <c r="D263" s="70">
        <v>1084.0</v>
      </c>
      <c r="E263" s="40">
        <f>IFERROR(__xludf.DUMMYFUNCTION("IF(C263="""", """", XLOOKUP(TRIM(C263), 'COTRATOS ALBUNS 25.2'!E:E, 'COTRATOS ALBUNS 25.2'!D:D, XLOOKUP(TRIM(C263), IMPORTRANGE(""16smdYggRVyzhu5y9HP2ayvW__ybkjb1nkVsCvZrByLM"", ""'COTRATOS 26.1'!B:B""), IMPORTRANGE(""16smdYggRVyzhu5y9HP2ayvW__ybkjb1nkVsC"&amp;"vZrByLM"", ""'COTRATOS 26.1'!A:A""), """")))"),87928.0)</f>
        <v>87928</v>
      </c>
      <c r="F263" s="41" t="s">
        <v>74</v>
      </c>
      <c r="G263" s="42" t="s">
        <v>52</v>
      </c>
      <c r="H263" s="43"/>
      <c r="I263" s="44" t="s">
        <v>577</v>
      </c>
      <c r="J263" s="5"/>
      <c r="K263" s="8" t="s">
        <v>13</v>
      </c>
      <c r="L263" s="8" t="s">
        <v>50</v>
      </c>
      <c r="M263" s="8" t="s">
        <v>8</v>
      </c>
      <c r="N263" s="63" t="b">
        <v>1</v>
      </c>
      <c r="O263" s="64">
        <f t="shared" si="1"/>
        <v>46285.42602</v>
      </c>
      <c r="P263" s="49">
        <v>46297.0</v>
      </c>
      <c r="Q263" s="72">
        <f>B263</f>
        <v>46268.42602</v>
      </c>
      <c r="R263" s="73">
        <f t="shared" si="2"/>
        <v>46328.42602</v>
      </c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</row>
    <row r="264">
      <c r="A264" s="67" t="b">
        <v>1</v>
      </c>
      <c r="B264" s="68">
        <v>46275.75136574074</v>
      </c>
      <c r="C264" s="38" t="s">
        <v>578</v>
      </c>
      <c r="D264" s="36">
        <v>1172.0</v>
      </c>
      <c r="E264" s="40">
        <f>IFERROR(__xludf.DUMMYFUNCTION("IF(C264="""", """", XLOOKUP(TRIM(C264), 'COTRATOS ALBUNS 25.2'!E:E, 'COTRATOS ALBUNS 25.2'!D:D, XLOOKUP(TRIM(C264), IMPORTRANGE(""16smdYggRVyzhu5y9HP2ayvW__ybkjb1nkVsCvZrByLM"", ""'COTRATOS 26.1'!B:B""), IMPORTRANGE(""16smdYggRVyzhu5y9HP2ayvW__ybkjb1nkVsC"&amp;"vZrByLM"", ""'COTRATOS 26.1'!A:A""), """")))"),86997.0)</f>
        <v>86997</v>
      </c>
      <c r="F264" s="41" t="s">
        <v>66</v>
      </c>
      <c r="G264" s="42" t="s">
        <v>37</v>
      </c>
      <c r="H264" s="43"/>
      <c r="I264" s="44" t="s">
        <v>579</v>
      </c>
      <c r="J264" s="5"/>
      <c r="K264" s="8" t="s">
        <v>13</v>
      </c>
      <c r="L264" s="8" t="s">
        <v>69</v>
      </c>
      <c r="M264" s="5"/>
      <c r="N264" s="63" t="b">
        <v>1</v>
      </c>
      <c r="O264" s="64">
        <f t="shared" si="1"/>
        <v>46292.75137</v>
      </c>
      <c r="P264" s="49">
        <v>46297.0</v>
      </c>
      <c r="Q264" s="85">
        <v>46219.0</v>
      </c>
      <c r="R264" s="86">
        <f t="shared" si="2"/>
        <v>46279</v>
      </c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</row>
    <row r="265">
      <c r="A265" s="36" t="b">
        <v>1</v>
      </c>
      <c r="B265" s="100">
        <v>46297.0</v>
      </c>
      <c r="C265" s="38" t="s">
        <v>580</v>
      </c>
      <c r="D265" s="36">
        <v>1172.0</v>
      </c>
      <c r="E265" s="40">
        <f>IFERROR(__xludf.DUMMYFUNCTION("IF(C265="""", """", XLOOKUP(TRIM(C265), 'COTRATOS ALBUNS 25.2'!E:E, 'COTRATOS ALBUNS 25.2'!D:D, XLOOKUP(TRIM(C265), IMPORTRANGE(""16smdYggRVyzhu5y9HP2ayvW__ybkjb1nkVsCvZrByLM"", ""'COTRATOS 26.1'!B:B""), IMPORTRANGE(""16smdYggRVyzhu5y9HP2ayvW__ybkjb1nkVsC"&amp;"vZrByLM"", ""'COTRATOS 26.1'!A:A""), """")))"),86998.0)</f>
        <v>86998</v>
      </c>
      <c r="F265" s="41" t="s">
        <v>36</v>
      </c>
      <c r="G265" s="42" t="s">
        <v>207</v>
      </c>
      <c r="H265" s="43"/>
      <c r="I265" s="44" t="s">
        <v>581</v>
      </c>
      <c r="J265" s="5"/>
      <c r="K265" s="8" t="s">
        <v>14</v>
      </c>
      <c r="L265" s="8" t="s">
        <v>132</v>
      </c>
      <c r="M265" s="46" t="s">
        <v>8</v>
      </c>
      <c r="N265" s="47" t="b">
        <v>0</v>
      </c>
      <c r="O265" s="48">
        <f t="shared" si="1"/>
        <v>46314</v>
      </c>
      <c r="P265" s="49">
        <v>46297.0</v>
      </c>
      <c r="Q265" s="85">
        <v>46230.0</v>
      </c>
      <c r="R265" s="86">
        <f t="shared" si="2"/>
        <v>46290</v>
      </c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</row>
    <row r="266">
      <c r="A266" s="56" t="b">
        <v>1</v>
      </c>
      <c r="B266" s="77">
        <v>46297.0</v>
      </c>
      <c r="C266" s="98" t="s">
        <v>582</v>
      </c>
      <c r="D266" s="56">
        <v>970.0</v>
      </c>
      <c r="E266" s="40">
        <f>IFERROR(__xludf.DUMMYFUNCTION("IF(C266="""", """", XLOOKUP(TRIM(C266), 'COTRATOS ALBUNS 25.2'!E:E, 'COTRATOS ALBUNS 25.2'!D:D, XLOOKUP(TRIM(C266), IMPORTRANGE(""16smdYggRVyzhu5y9HP2ayvW__ybkjb1nkVsCvZrByLM"", ""'COTRATOS 26.1'!B:B""), IMPORTRANGE(""16smdYggRVyzhu5y9HP2ayvW__ybkjb1nkVsC"&amp;"vZrByLM"", ""'COTRATOS 26.1'!A:A""), """")))"),92698.0)</f>
        <v>92698</v>
      </c>
      <c r="F266" s="57" t="s">
        <v>56</v>
      </c>
      <c r="G266" s="42" t="s">
        <v>134</v>
      </c>
      <c r="H266" s="43"/>
      <c r="I266" s="58" t="s">
        <v>583</v>
      </c>
      <c r="J266" s="59"/>
      <c r="K266" s="8" t="s">
        <v>14</v>
      </c>
      <c r="L266" s="45" t="s">
        <v>132</v>
      </c>
      <c r="M266" s="53" t="s">
        <v>8</v>
      </c>
      <c r="N266" s="47" t="b">
        <v>0</v>
      </c>
      <c r="O266" s="48">
        <f t="shared" si="1"/>
        <v>46314</v>
      </c>
      <c r="P266" s="49">
        <v>46297.0</v>
      </c>
      <c r="Q266" s="61">
        <v>46273.0</v>
      </c>
      <c r="R266" s="76">
        <f t="shared" si="2"/>
        <v>46333</v>
      </c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</row>
    <row r="267">
      <c r="A267" s="36" t="b">
        <v>1</v>
      </c>
      <c r="B267" s="62">
        <v>46231.81240740741</v>
      </c>
      <c r="C267" s="38" t="s">
        <v>584</v>
      </c>
      <c r="D267" s="39">
        <v>1019.0</v>
      </c>
      <c r="E267" s="40">
        <f>IFERROR(__xludf.DUMMYFUNCTION("IF(C267="""", """", XLOOKUP(TRIM(C267), 'COTRATOS ALBUNS 25.2'!E:E, 'COTRATOS ALBUNS 25.2'!D:D, XLOOKUP(TRIM(C267), IMPORTRANGE(""16smdYggRVyzhu5y9HP2ayvW__ybkjb1nkVsCvZrByLM"", ""'COTRATOS 26.1'!B:B""), IMPORTRANGE(""16smdYggRVyzhu5y9HP2ayvW__ybkjb1nkVsC"&amp;"vZrByLM"", ""'COTRATOS 26.1'!A:A""), """")))"),84062.0)</f>
        <v>84062</v>
      </c>
      <c r="F267" s="41" t="s">
        <v>74</v>
      </c>
      <c r="G267" s="42" t="s">
        <v>175</v>
      </c>
      <c r="H267" s="43"/>
      <c r="I267" s="44" t="s">
        <v>585</v>
      </c>
      <c r="J267" s="7"/>
      <c r="K267" s="8" t="s">
        <v>13</v>
      </c>
      <c r="L267" s="108" t="s">
        <v>193</v>
      </c>
      <c r="M267" s="8" t="s">
        <v>8</v>
      </c>
      <c r="N267" s="63" t="b">
        <v>1</v>
      </c>
      <c r="O267" s="64">
        <f t="shared" si="1"/>
        <v>46248.81241</v>
      </c>
      <c r="P267" s="49">
        <v>46297.0</v>
      </c>
      <c r="Q267" s="50">
        <v>46238.0</v>
      </c>
      <c r="R267" s="86">
        <f t="shared" si="2"/>
        <v>46298</v>
      </c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</row>
    <row r="268">
      <c r="A268" s="36" t="b">
        <v>1</v>
      </c>
      <c r="B268" s="62">
        <v>46216.68634259259</v>
      </c>
      <c r="C268" s="38" t="s">
        <v>586</v>
      </c>
      <c r="D268" s="39">
        <v>1172.0</v>
      </c>
      <c r="E268" s="40">
        <f>IFERROR(__xludf.DUMMYFUNCTION("IF(C268="""", """", XLOOKUP(TRIM(C268), 'COTRATOS ALBUNS 25.2'!E:E, 'COTRATOS ALBUNS 25.2'!D:D, XLOOKUP(TRIM(C268), IMPORTRANGE(""16smdYggRVyzhu5y9HP2ayvW__ybkjb1nkVsCvZrByLM"", ""'COTRATOS 26.1'!B:B""), IMPORTRANGE(""16smdYggRVyzhu5y9HP2ayvW__ybkjb1nkVsC"&amp;"vZrByLM"", ""'COTRATOS 26.1'!A:A""), """")))"),86899.0)</f>
        <v>86899</v>
      </c>
      <c r="F268" s="41" t="s">
        <v>40</v>
      </c>
      <c r="G268" s="42" t="s">
        <v>57</v>
      </c>
      <c r="H268" s="43"/>
      <c r="I268" s="44" t="s">
        <v>587</v>
      </c>
      <c r="J268" s="7"/>
      <c r="K268" s="8" t="s">
        <v>13</v>
      </c>
      <c r="L268" s="8" t="s">
        <v>47</v>
      </c>
      <c r="M268" s="5"/>
      <c r="N268" s="63" t="b">
        <v>1</v>
      </c>
      <c r="O268" s="64">
        <f t="shared" si="1"/>
        <v>46233.68634</v>
      </c>
      <c r="P268" s="49">
        <v>46297.0</v>
      </c>
      <c r="Q268" s="85">
        <v>46224.0</v>
      </c>
      <c r="R268" s="86">
        <f t="shared" si="2"/>
        <v>46284</v>
      </c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</row>
    <row r="269">
      <c r="A269" s="36" t="b">
        <v>1</v>
      </c>
      <c r="B269" s="90">
        <v>46195.0</v>
      </c>
      <c r="C269" s="81" t="s">
        <v>588</v>
      </c>
      <c r="D269" s="79">
        <v>977.0</v>
      </c>
      <c r="E269" s="40">
        <f>IFERROR(__xludf.DUMMYFUNCTION("IF(C269="""", """", XLOOKUP(TRIM(C269), 'COTRATOS ALBUNS 25.2'!E:E, 'COTRATOS ALBUNS 25.2'!D:D, XLOOKUP(TRIM(C269), IMPORTRANGE(""16smdYggRVyzhu5y9HP2ayvW__ybkjb1nkVsCvZrByLM"", ""'COTRATOS 26.1'!B:B""), IMPORTRANGE(""16smdYggRVyzhu5y9HP2ayvW__ybkjb1nkVsC"&amp;"vZrByLM"", ""'COTRATOS 26.1'!A:A""), """")))"),88916.0)</f>
        <v>88916</v>
      </c>
      <c r="F269" s="41" t="s">
        <v>36</v>
      </c>
      <c r="G269" s="42" t="s">
        <v>274</v>
      </c>
      <c r="H269" s="43"/>
      <c r="I269" s="44" t="s">
        <v>589</v>
      </c>
      <c r="J269" s="7"/>
      <c r="K269" s="8" t="s">
        <v>6</v>
      </c>
      <c r="L269" s="8"/>
      <c r="M269" s="8" t="s">
        <v>8</v>
      </c>
      <c r="N269" s="47" t="b">
        <v>0</v>
      </c>
      <c r="O269" s="48">
        <f t="shared" si="1"/>
        <v>46212</v>
      </c>
      <c r="P269" s="49">
        <v>46288.0</v>
      </c>
      <c r="Q269" s="82"/>
      <c r="R269" s="51" t="str">
        <f t="shared" si="2"/>
        <v/>
      </c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</row>
    <row r="270">
      <c r="A270" s="67" t="b">
        <v>1</v>
      </c>
      <c r="B270" s="68">
        <v>46275.75142361112</v>
      </c>
      <c r="C270" s="38" t="s">
        <v>590</v>
      </c>
      <c r="D270" s="36">
        <v>850.0</v>
      </c>
      <c r="E270" s="40">
        <f>IFERROR(__xludf.DUMMYFUNCTION("IF(C270="""", """", XLOOKUP(TRIM(C270), 'COTRATOS ALBUNS 25.2'!E:E, 'COTRATOS ALBUNS 25.2'!D:D, XLOOKUP(TRIM(C270), IMPORTRANGE(""16smdYggRVyzhu5y9HP2ayvW__ybkjb1nkVsCvZrByLM"", ""'COTRATOS 26.1'!B:B""), IMPORTRANGE(""16smdYggRVyzhu5y9HP2ayvW__ybkjb1nkVsC"&amp;"vZrByLM"", ""'COTRATOS 26.1'!A:A""), """")))"),75344.0)</f>
        <v>75344</v>
      </c>
      <c r="F270" s="41" t="s">
        <v>36</v>
      </c>
      <c r="G270" s="42" t="s">
        <v>45</v>
      </c>
      <c r="H270" s="43"/>
      <c r="I270" s="44" t="s">
        <v>591</v>
      </c>
      <c r="J270" s="5"/>
      <c r="K270" s="8" t="s">
        <v>13</v>
      </c>
      <c r="L270" s="8" t="s">
        <v>69</v>
      </c>
      <c r="M270" s="5"/>
      <c r="N270" s="63" t="b">
        <v>1</v>
      </c>
      <c r="O270" s="64">
        <f t="shared" si="1"/>
        <v>46292.75142</v>
      </c>
      <c r="P270" s="49">
        <v>46297.0</v>
      </c>
      <c r="Q270" s="85">
        <v>46219.0</v>
      </c>
      <c r="R270" s="86">
        <f t="shared" si="2"/>
        <v>46279</v>
      </c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</row>
    <row r="271">
      <c r="A271" s="67" t="b">
        <v>1</v>
      </c>
      <c r="B271" s="74">
        <v>46268.42548611111</v>
      </c>
      <c r="C271" s="69" t="s">
        <v>592</v>
      </c>
      <c r="D271" s="70">
        <v>968.0</v>
      </c>
      <c r="E271" s="40">
        <f>IFERROR(__xludf.DUMMYFUNCTION("IF(C271="""", """", XLOOKUP(TRIM(C271), 'COTRATOS ALBUNS 25.2'!E:E, 'COTRATOS ALBUNS 25.2'!D:D, XLOOKUP(TRIM(C271), IMPORTRANGE(""16smdYggRVyzhu5y9HP2ayvW__ybkjb1nkVsCvZrByLM"", ""'COTRATOS 26.1'!B:B""), IMPORTRANGE(""16smdYggRVyzhu5y9HP2ayvW__ybkjb1nkVsC"&amp;"vZrByLM"", ""'COTRATOS 26.1'!A:A""), """")))"),79738.0)</f>
        <v>79738</v>
      </c>
      <c r="F271" s="71" t="s">
        <v>36</v>
      </c>
      <c r="G271" s="42" t="s">
        <v>52</v>
      </c>
      <c r="H271" s="43"/>
      <c r="I271" s="44" t="s">
        <v>593</v>
      </c>
      <c r="J271" s="5"/>
      <c r="K271" s="8" t="s">
        <v>13</v>
      </c>
      <c r="L271" s="8" t="s">
        <v>54</v>
      </c>
      <c r="M271" s="8" t="s">
        <v>8</v>
      </c>
      <c r="N271" s="63" t="b">
        <v>1</v>
      </c>
      <c r="O271" s="48">
        <f t="shared" si="1"/>
        <v>46285.42549</v>
      </c>
      <c r="P271" s="49">
        <v>46297.0</v>
      </c>
      <c r="Q271" s="75">
        <f>B271</f>
        <v>46268.42549</v>
      </c>
      <c r="R271" s="76">
        <f t="shared" si="2"/>
        <v>46328.42549</v>
      </c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</row>
    <row r="272">
      <c r="A272" s="53" t="b">
        <v>1</v>
      </c>
      <c r="B272" s="54">
        <v>46287.0</v>
      </c>
      <c r="C272" s="83" t="s">
        <v>594</v>
      </c>
      <c r="D272" s="151">
        <v>995.0</v>
      </c>
      <c r="E272" s="40">
        <f>IFERROR(__xludf.DUMMYFUNCTION("IF(C272="""", """", XLOOKUP(TRIM(C272), 'COTRATOS ALBUNS 25.2'!E:E, 'COTRATOS ALBUNS 25.2'!D:D, XLOOKUP(TRIM(C272), IMPORTRANGE(""16smdYggRVyzhu5y9HP2ayvW__ybkjb1nkVsCvZrByLM"", ""'COTRATOS 26.1'!B:B""), IMPORTRANGE(""16smdYggRVyzhu5y9HP2ayvW__ybkjb1nkVsC"&amp;"vZrByLM"", ""'COTRATOS 26.1'!A:A""), """")))"),92361.0)</f>
        <v>92361</v>
      </c>
      <c r="F272" s="57" t="s">
        <v>56</v>
      </c>
      <c r="G272" s="42" t="s">
        <v>87</v>
      </c>
      <c r="H272" s="43"/>
      <c r="I272" s="58" t="s">
        <v>595</v>
      </c>
      <c r="J272" s="59"/>
      <c r="K272" s="53" t="s">
        <v>144</v>
      </c>
      <c r="L272" s="59"/>
      <c r="M272" s="59"/>
      <c r="N272" s="47" t="b">
        <v>0</v>
      </c>
      <c r="O272" s="48">
        <f t="shared" si="1"/>
        <v>46304</v>
      </c>
      <c r="P272" s="60"/>
      <c r="Q272" s="61">
        <v>46297.0</v>
      </c>
      <c r="R272" s="76">
        <f t="shared" si="2"/>
        <v>46357</v>
      </c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</row>
    <row r="273">
      <c r="A273" s="36" t="b">
        <v>1</v>
      </c>
      <c r="B273" s="94">
        <v>46275.75137731481</v>
      </c>
      <c r="C273" s="38" t="s">
        <v>596</v>
      </c>
      <c r="D273" s="36">
        <v>1172.0</v>
      </c>
      <c r="E273" s="40">
        <f>IFERROR(__xludf.DUMMYFUNCTION("IF(C273="""", """", XLOOKUP(TRIM(C273), 'COTRATOS ALBUNS 25.2'!E:E, 'COTRATOS ALBUNS 25.2'!D:D, XLOOKUP(TRIM(C273), IMPORTRANGE(""16smdYggRVyzhu5y9HP2ayvW__ybkjb1nkVsCvZrByLM"", ""'COTRATOS 26.1'!B:B""), IMPORTRANGE(""16smdYggRVyzhu5y9HP2ayvW__ybkjb1nkVsC"&amp;"vZrByLM"", ""'COTRATOS 26.1'!A:A""), """")))"),87141.0)</f>
        <v>87141</v>
      </c>
      <c r="F273" s="41" t="s">
        <v>36</v>
      </c>
      <c r="G273" s="42" t="s">
        <v>67</v>
      </c>
      <c r="H273" s="43"/>
      <c r="I273" s="44" t="s">
        <v>597</v>
      </c>
      <c r="J273" s="5"/>
      <c r="K273" s="8" t="s">
        <v>13</v>
      </c>
      <c r="L273" s="103" t="s">
        <v>69</v>
      </c>
      <c r="M273" s="5"/>
      <c r="N273" s="63" t="b">
        <v>1</v>
      </c>
      <c r="O273" s="64">
        <f t="shared" si="1"/>
        <v>46292.75138</v>
      </c>
      <c r="P273" s="49">
        <v>46297.0</v>
      </c>
      <c r="Q273" s="85">
        <v>46219.0</v>
      </c>
      <c r="R273" s="86">
        <f t="shared" si="2"/>
        <v>46279</v>
      </c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</row>
    <row r="274">
      <c r="A274" s="67" t="b">
        <v>1</v>
      </c>
      <c r="B274" s="68">
        <v>46245.52685185186</v>
      </c>
      <c r="C274" s="38" t="s">
        <v>598</v>
      </c>
      <c r="D274" s="36">
        <v>1177.0</v>
      </c>
      <c r="E274" s="40">
        <f>IFERROR(__xludf.DUMMYFUNCTION("IF(C274="""", """", XLOOKUP(TRIM(C274), 'COTRATOS ALBUNS 25.2'!E:E, 'COTRATOS ALBUNS 25.2'!D:D, XLOOKUP(TRIM(C274), IMPORTRANGE(""16smdYggRVyzhu5y9HP2ayvW__ybkjb1nkVsCvZrByLM"", ""'COTRATOS 26.1'!B:B""), IMPORTRANGE(""16smdYggRVyzhu5y9HP2ayvW__ybkjb1nkVsC"&amp;"vZrByLM"", ""'COTRATOS 26.1'!A:A""), """")))"),87545.0)</f>
        <v>87545</v>
      </c>
      <c r="F274" s="41" t="s">
        <v>74</v>
      </c>
      <c r="G274" s="42" t="s">
        <v>37</v>
      </c>
      <c r="H274" s="43"/>
      <c r="I274" s="44" t="s">
        <v>599</v>
      </c>
      <c r="J274" s="5"/>
      <c r="K274" s="8" t="s">
        <v>13</v>
      </c>
      <c r="L274" s="8" t="s">
        <v>218</v>
      </c>
      <c r="M274" s="46" t="s">
        <v>8</v>
      </c>
      <c r="N274" s="63" t="b">
        <v>1</v>
      </c>
      <c r="O274" s="64">
        <f t="shared" si="1"/>
        <v>46262.52685</v>
      </c>
      <c r="P274" s="49">
        <v>46297.0</v>
      </c>
      <c r="Q274" s="50">
        <v>46248.0</v>
      </c>
      <c r="R274" s="86">
        <f t="shared" si="2"/>
        <v>46308</v>
      </c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</row>
    <row r="275">
      <c r="A275" s="67" t="b">
        <v>1</v>
      </c>
      <c r="B275" s="74">
        <v>46297.0</v>
      </c>
      <c r="C275" s="38" t="s">
        <v>600</v>
      </c>
      <c r="D275" s="36">
        <v>1172.0</v>
      </c>
      <c r="E275" s="40">
        <f>IFERROR(__xludf.DUMMYFUNCTION("IF(C275="""", """", XLOOKUP(TRIM(C275), 'COTRATOS ALBUNS 25.2'!E:E, 'COTRATOS ALBUNS 25.2'!D:D, XLOOKUP(TRIM(C275), IMPORTRANGE(""16smdYggRVyzhu5y9HP2ayvW__ybkjb1nkVsCvZrByLM"", ""'COTRATOS 26.1'!B:B""), IMPORTRANGE(""16smdYggRVyzhu5y9HP2ayvW__ybkjb1nkVsC"&amp;"vZrByLM"", ""'COTRATOS 26.1'!A:A""), """")))"),87051.0)</f>
        <v>87051</v>
      </c>
      <c r="F275" s="41" t="s">
        <v>36</v>
      </c>
      <c r="G275" s="42" t="s">
        <v>37</v>
      </c>
      <c r="H275" s="43"/>
      <c r="I275" s="44" t="s">
        <v>601</v>
      </c>
      <c r="J275" s="5"/>
      <c r="K275" s="8" t="s">
        <v>13</v>
      </c>
      <c r="L275" s="8" t="s">
        <v>101</v>
      </c>
      <c r="M275" s="46" t="s">
        <v>8</v>
      </c>
      <c r="N275" s="47" t="b">
        <v>0</v>
      </c>
      <c r="O275" s="48">
        <f t="shared" si="1"/>
        <v>46314</v>
      </c>
      <c r="P275" s="49">
        <v>46238.0</v>
      </c>
      <c r="Q275" s="50">
        <v>46247.0</v>
      </c>
      <c r="R275" s="86">
        <f t="shared" si="2"/>
        <v>46307</v>
      </c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</row>
    <row r="276">
      <c r="A276" s="56" t="b">
        <v>1</v>
      </c>
      <c r="B276" s="77">
        <v>46297.0</v>
      </c>
      <c r="C276" s="98" t="s">
        <v>602</v>
      </c>
      <c r="D276" s="56">
        <v>970.0</v>
      </c>
      <c r="E276" s="40">
        <f>IFERROR(__xludf.DUMMYFUNCTION("IF(C276="""", """", XLOOKUP(TRIM(C276), 'COTRATOS ALBUNS 25.2'!E:E, 'COTRATOS ALBUNS 25.2'!D:D, XLOOKUP(TRIM(C276), IMPORTRANGE(""16smdYggRVyzhu5y9HP2ayvW__ybkjb1nkVsCvZrByLM"", ""'COTRATOS 26.1'!B:B""), IMPORTRANGE(""16smdYggRVyzhu5y9HP2ayvW__ybkjb1nkVsC"&amp;"vZrByLM"", ""'COTRATOS 26.1'!A:A""), """")))"),84333.0)</f>
        <v>84333</v>
      </c>
      <c r="F276" s="57" t="s">
        <v>56</v>
      </c>
      <c r="G276" s="42" t="s">
        <v>63</v>
      </c>
      <c r="H276" s="43"/>
      <c r="I276" s="58" t="s">
        <v>603</v>
      </c>
      <c r="J276" s="59"/>
      <c r="K276" s="8" t="s">
        <v>14</v>
      </c>
      <c r="L276" s="8" t="s">
        <v>89</v>
      </c>
      <c r="M276" s="53" t="s">
        <v>8</v>
      </c>
      <c r="N276" s="47" t="b">
        <v>0</v>
      </c>
      <c r="O276" s="48">
        <f t="shared" si="1"/>
        <v>46314</v>
      </c>
      <c r="P276" s="49">
        <v>46297.0</v>
      </c>
      <c r="Q276" s="61">
        <v>46289.0</v>
      </c>
      <c r="R276" s="76">
        <f t="shared" si="2"/>
        <v>46349</v>
      </c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</row>
    <row r="277">
      <c r="A277" s="36" t="b">
        <v>1</v>
      </c>
      <c r="B277" s="62">
        <v>46220.48502314815</v>
      </c>
      <c r="C277" s="38" t="s">
        <v>604</v>
      </c>
      <c r="D277" s="39">
        <v>1172.0</v>
      </c>
      <c r="E277" s="40">
        <f>IFERROR(__xludf.DUMMYFUNCTION("IF(C277="""", """", XLOOKUP(TRIM(C277), 'COTRATOS ALBUNS 25.2'!E:E, 'COTRATOS ALBUNS 25.2'!D:D, XLOOKUP(TRIM(C277), IMPORTRANGE(""16smdYggRVyzhu5y9HP2ayvW__ybkjb1nkVsCvZrByLM"", ""'COTRATOS 26.1'!B:B""), IMPORTRANGE(""16smdYggRVyzhu5y9HP2ayvW__ybkjb1nkVsC"&amp;"vZrByLM"", ""'COTRATOS 26.1'!A:A""), """")))"),87743.0)</f>
        <v>87743</v>
      </c>
      <c r="F277" s="41" t="s">
        <v>56</v>
      </c>
      <c r="G277" s="42" t="s">
        <v>52</v>
      </c>
      <c r="H277" s="43"/>
      <c r="I277" s="44" t="s">
        <v>605</v>
      </c>
      <c r="J277" s="7"/>
      <c r="K277" s="8" t="s">
        <v>13</v>
      </c>
      <c r="L277" s="8" t="s">
        <v>47</v>
      </c>
      <c r="M277" s="5"/>
      <c r="N277" s="63" t="b">
        <v>1</v>
      </c>
      <c r="O277" s="64">
        <f t="shared" si="1"/>
        <v>46237.48502</v>
      </c>
      <c r="P277" s="49">
        <v>46297.0</v>
      </c>
      <c r="Q277" s="85">
        <v>46224.0</v>
      </c>
      <c r="R277" s="86">
        <f t="shared" si="2"/>
        <v>46284</v>
      </c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</row>
    <row r="278">
      <c r="A278" s="36" t="b">
        <v>1</v>
      </c>
      <c r="B278" s="152">
        <v>46238.67438657407</v>
      </c>
      <c r="C278" s="81" t="s">
        <v>606</v>
      </c>
      <c r="D278" s="79">
        <v>968.0</v>
      </c>
      <c r="E278" s="40">
        <f>IFERROR(__xludf.DUMMYFUNCTION("IF(C278="""", """", XLOOKUP(TRIM(C278), 'COTRATOS ALBUNS 25.2'!E:E, 'COTRATOS ALBUNS 25.2'!D:D, XLOOKUP(TRIM(C278), IMPORTRANGE(""16smdYggRVyzhu5y9HP2ayvW__ybkjb1nkVsCvZrByLM"", ""'COTRATOS 26.1'!B:B""), IMPORTRANGE(""16smdYggRVyzhu5y9HP2ayvW__ybkjb1nkVsC"&amp;"vZrByLM"", ""'COTRATOS 26.1'!A:A""), """")))"),88849.0)</f>
        <v>88849</v>
      </c>
      <c r="F278" s="41" t="s">
        <v>44</v>
      </c>
      <c r="G278" s="42" t="s">
        <v>71</v>
      </c>
      <c r="H278" s="43"/>
      <c r="I278" s="44" t="s">
        <v>607</v>
      </c>
      <c r="J278" s="7"/>
      <c r="K278" s="8" t="s">
        <v>13</v>
      </c>
      <c r="L278" s="8" t="s">
        <v>218</v>
      </c>
      <c r="M278" s="8" t="s">
        <v>8</v>
      </c>
      <c r="N278" s="63" t="b">
        <v>1</v>
      </c>
      <c r="O278" s="64">
        <f t="shared" si="1"/>
        <v>46255.67439</v>
      </c>
      <c r="P278" s="49">
        <v>46297.0</v>
      </c>
      <c r="Q278" s="85">
        <v>46239.0</v>
      </c>
      <c r="R278" s="86">
        <f t="shared" si="2"/>
        <v>46299</v>
      </c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</row>
    <row r="279">
      <c r="A279" s="67" t="b">
        <v>1</v>
      </c>
      <c r="B279" s="74">
        <v>46297.0</v>
      </c>
      <c r="C279" s="38" t="s">
        <v>608</v>
      </c>
      <c r="D279" s="36">
        <v>1173.0</v>
      </c>
      <c r="E279" s="40">
        <f>IFERROR(__xludf.DUMMYFUNCTION("IF(C279="""", """", XLOOKUP(TRIM(C279), 'COTRATOS ALBUNS 25.2'!E:E, 'COTRATOS ALBUNS 25.2'!D:D, XLOOKUP(TRIM(C279), IMPORTRANGE(""16smdYggRVyzhu5y9HP2ayvW__ybkjb1nkVsCvZrByLM"", ""'COTRATOS 26.1'!B:B""), IMPORTRANGE(""16smdYggRVyzhu5y9HP2ayvW__ybkjb1nkVsC"&amp;"vZrByLM"", ""'COTRATOS 26.1'!A:A""), """")))"),87133.0)</f>
        <v>87133</v>
      </c>
      <c r="F279" s="41" t="s">
        <v>36</v>
      </c>
      <c r="G279" s="42" t="s">
        <v>57</v>
      </c>
      <c r="H279" s="43"/>
      <c r="I279" s="44" t="s">
        <v>609</v>
      </c>
      <c r="J279" s="5"/>
      <c r="K279" s="8" t="s">
        <v>13</v>
      </c>
      <c r="L279" s="8" t="s">
        <v>78</v>
      </c>
      <c r="M279" s="8" t="s">
        <v>8</v>
      </c>
      <c r="N279" s="47" t="b">
        <v>0</v>
      </c>
      <c r="O279" s="48">
        <f t="shared" si="1"/>
        <v>46314</v>
      </c>
      <c r="P279" s="49">
        <v>46297.0</v>
      </c>
      <c r="Q279" s="50">
        <v>46245.0</v>
      </c>
      <c r="R279" s="86">
        <f t="shared" si="2"/>
        <v>46305</v>
      </c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</row>
    <row r="280">
      <c r="A280" s="36" t="b">
        <v>1</v>
      </c>
      <c r="B280" s="37">
        <v>46205.0</v>
      </c>
      <c r="C280" s="38" t="s">
        <v>610</v>
      </c>
      <c r="D280" s="39">
        <v>962.0</v>
      </c>
      <c r="E280" s="40">
        <f>IFERROR(__xludf.DUMMYFUNCTION("IF(C280="""", """", XLOOKUP(TRIM(C280), 'COTRATOS ALBUNS 25.2'!E:E, 'COTRATOS ALBUNS 25.2'!D:D, XLOOKUP(TRIM(C280), IMPORTRANGE(""16smdYggRVyzhu5y9HP2ayvW__ybkjb1nkVsCvZrByLM"", ""'COTRATOS 26.1'!B:B""), IMPORTRANGE(""16smdYggRVyzhu5y9HP2ayvW__ybkjb1nkVsC"&amp;"vZrByLM"", ""'COTRATOS 26.1'!A:A""), """")))"),94399.0)</f>
        <v>94399</v>
      </c>
      <c r="F280" s="41" t="s">
        <v>44</v>
      </c>
      <c r="G280" s="42" t="s">
        <v>45</v>
      </c>
      <c r="H280" s="43"/>
      <c r="I280" s="44" t="s">
        <v>611</v>
      </c>
      <c r="J280" s="7"/>
      <c r="K280" s="8" t="s">
        <v>6</v>
      </c>
      <c r="L280" s="108"/>
      <c r="M280" s="46" t="s">
        <v>8</v>
      </c>
      <c r="N280" s="47" t="b">
        <v>0</v>
      </c>
      <c r="O280" s="48">
        <f t="shared" si="1"/>
        <v>46222</v>
      </c>
      <c r="P280" s="49">
        <v>46297.0</v>
      </c>
      <c r="Q280" s="50"/>
      <c r="R280" s="51" t="str">
        <f t="shared" si="2"/>
        <v/>
      </c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</row>
    <row r="281">
      <c r="A281" s="36" t="b">
        <v>1</v>
      </c>
      <c r="B281" s="90">
        <v>46297.0</v>
      </c>
      <c r="C281" s="81" t="s">
        <v>612</v>
      </c>
      <c r="D281" s="39">
        <v>1084.0</v>
      </c>
      <c r="E281" s="40">
        <f>IFERROR(__xludf.DUMMYFUNCTION("IF(C281="""", """", XLOOKUP(TRIM(C281), 'COTRATOS ALBUNS 25.2'!E:E, 'COTRATOS ALBUNS 25.2'!D:D, XLOOKUP(TRIM(C281), IMPORTRANGE(""16smdYggRVyzhu5y9HP2ayvW__ybkjb1nkVsCvZrByLM"", ""'COTRATOS 26.1'!B:B""), IMPORTRANGE(""16smdYggRVyzhu5y9HP2ayvW__ybkjb1nkVsC"&amp;"vZrByLM"", ""'COTRATOS 26.1'!A:A""), """")))"),87709.0)</f>
        <v>87709</v>
      </c>
      <c r="F281" s="41" t="s">
        <v>74</v>
      </c>
      <c r="G281" s="42" t="s">
        <v>41</v>
      </c>
      <c r="H281" s="43"/>
      <c r="I281" s="44" t="s">
        <v>613</v>
      </c>
      <c r="J281" s="7"/>
      <c r="K281" s="8" t="s">
        <v>13</v>
      </c>
      <c r="L281" s="108" t="s">
        <v>78</v>
      </c>
      <c r="M281" s="8" t="s">
        <v>8</v>
      </c>
      <c r="N281" s="47" t="b">
        <v>0</v>
      </c>
      <c r="O281" s="48">
        <f t="shared" si="1"/>
        <v>46314</v>
      </c>
      <c r="P281" s="49">
        <v>46297.0</v>
      </c>
      <c r="Q281" s="50">
        <v>46265.0</v>
      </c>
      <c r="R281" s="86">
        <f t="shared" si="2"/>
        <v>46325</v>
      </c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</row>
    <row r="282">
      <c r="A282" s="67" t="b">
        <v>1</v>
      </c>
      <c r="B282" s="68">
        <v>46209.72121527778</v>
      </c>
      <c r="C282" s="38" t="s">
        <v>614</v>
      </c>
      <c r="D282" s="36">
        <v>994.0</v>
      </c>
      <c r="E282" s="40">
        <f>IFERROR(__xludf.DUMMYFUNCTION("IF(C282="""", """", XLOOKUP(TRIM(C282), 'COTRATOS ALBUNS 25.2'!E:E, 'COTRATOS ALBUNS 25.2'!D:D, XLOOKUP(TRIM(C282), IMPORTRANGE(""16smdYggRVyzhu5y9HP2ayvW__ybkjb1nkVsCvZrByLM"", ""'COTRATOS 26.1'!B:B""), IMPORTRANGE(""16smdYggRVyzhu5y9HP2ayvW__ybkjb1nkVsC"&amp;"vZrByLM"", ""'COTRATOS 26.1'!A:A""), """")))"),86766.0)</f>
        <v>86766</v>
      </c>
      <c r="F282" s="41" t="s">
        <v>36</v>
      </c>
      <c r="G282" s="42" t="s">
        <v>41</v>
      </c>
      <c r="H282" s="43"/>
      <c r="I282" s="44" t="s">
        <v>615</v>
      </c>
      <c r="J282" s="5"/>
      <c r="K282" s="8" t="s">
        <v>13</v>
      </c>
      <c r="L282" s="8" t="s">
        <v>121</v>
      </c>
      <c r="M282" s="5"/>
      <c r="N282" s="63" t="b">
        <v>1</v>
      </c>
      <c r="O282" s="64">
        <f t="shared" si="1"/>
        <v>46226.72122</v>
      </c>
      <c r="P282" s="49">
        <v>46297.0</v>
      </c>
      <c r="Q282" s="85">
        <v>46211.0</v>
      </c>
      <c r="R282" s="86">
        <f t="shared" si="2"/>
        <v>46271</v>
      </c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</row>
    <row r="283">
      <c r="A283" s="67" t="b">
        <v>1</v>
      </c>
      <c r="B283" s="68">
        <v>46238.73896990741</v>
      </c>
      <c r="C283" s="69" t="s">
        <v>616</v>
      </c>
      <c r="D283" s="70">
        <v>994.0</v>
      </c>
      <c r="E283" s="40">
        <f>IFERROR(__xludf.DUMMYFUNCTION("IF(C283="""", """", XLOOKUP(TRIM(C283), 'COTRATOS ALBUNS 25.2'!E:E, 'COTRATOS ALBUNS 25.2'!D:D, XLOOKUP(TRIM(C283), IMPORTRANGE(""16smdYggRVyzhu5y9HP2ayvW__ybkjb1nkVsCvZrByLM"", ""'COTRATOS 26.1'!B:B""), IMPORTRANGE(""16smdYggRVyzhu5y9HP2ayvW__ybkjb1nkVsC"&amp;"vZrByLM"", ""'COTRATOS 26.1'!A:A""), """")))"),87503.0)</f>
        <v>87503</v>
      </c>
      <c r="F283" s="71" t="s">
        <v>36</v>
      </c>
      <c r="G283" s="42" t="s">
        <v>63</v>
      </c>
      <c r="H283" s="43"/>
      <c r="I283" s="44" t="s">
        <v>617</v>
      </c>
      <c r="J283" s="5"/>
      <c r="K283" s="8" t="s">
        <v>13</v>
      </c>
      <c r="L283" s="8" t="s">
        <v>218</v>
      </c>
      <c r="M283" s="8" t="s">
        <v>8</v>
      </c>
      <c r="N283" s="63" t="b">
        <v>1</v>
      </c>
      <c r="O283" s="64">
        <f t="shared" si="1"/>
        <v>46255.73897</v>
      </c>
      <c r="P283" s="49">
        <v>46297.0</v>
      </c>
      <c r="Q283" s="85">
        <v>46213.0</v>
      </c>
      <c r="R283" s="86">
        <f t="shared" si="2"/>
        <v>46273</v>
      </c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</row>
    <row r="284">
      <c r="A284" s="36" t="b">
        <v>1</v>
      </c>
      <c r="B284" s="37">
        <v>46176.0</v>
      </c>
      <c r="C284" s="38" t="s">
        <v>618</v>
      </c>
      <c r="D284" s="39">
        <v>954.0</v>
      </c>
      <c r="E284" s="40">
        <f>IFERROR(__xludf.DUMMYFUNCTION("IF(C284="""", """", XLOOKUP(TRIM(C284), 'COTRATOS ALBUNS 25.2'!E:E, 'COTRATOS ALBUNS 25.2'!D:D, XLOOKUP(TRIM(C284), IMPORTRANGE(""16smdYggRVyzhu5y9HP2ayvW__ybkjb1nkVsCvZrByLM"", ""'COTRATOS 26.1'!B:B""), IMPORTRANGE(""16smdYggRVyzhu5y9HP2ayvW__ybkjb1nkVsC"&amp;"vZrByLM"", ""'COTRATOS 26.1'!A:A""), """")))"),88113.0)</f>
        <v>88113</v>
      </c>
      <c r="F284" s="41" t="s">
        <v>44</v>
      </c>
      <c r="G284" s="42" t="s">
        <v>67</v>
      </c>
      <c r="H284" s="43"/>
      <c r="I284" s="44" t="s">
        <v>619</v>
      </c>
      <c r="J284" s="7"/>
      <c r="K284" s="8" t="s">
        <v>12</v>
      </c>
      <c r="L284" s="133"/>
      <c r="M284" s="8" t="s">
        <v>8</v>
      </c>
      <c r="N284" s="47" t="b">
        <v>0</v>
      </c>
      <c r="O284" s="48">
        <f t="shared" si="1"/>
        <v>46193</v>
      </c>
      <c r="P284" s="49">
        <v>46282.0</v>
      </c>
      <c r="Q284" s="50"/>
      <c r="R284" s="51" t="str">
        <f t="shared" si="2"/>
        <v/>
      </c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</row>
    <row r="285">
      <c r="A285" s="36" t="b">
        <v>1</v>
      </c>
      <c r="B285" s="100">
        <v>46171.0</v>
      </c>
      <c r="C285" s="38" t="s">
        <v>620</v>
      </c>
      <c r="D285" s="36">
        <v>957.0</v>
      </c>
      <c r="E285" s="40">
        <f>IFERROR(__xludf.DUMMYFUNCTION("IF(C285="""", """", XLOOKUP(TRIM(C285), 'COTRATOS ALBUNS 25.2'!E:E, 'COTRATOS ALBUNS 25.2'!D:D, XLOOKUP(TRIM(C285), IMPORTRANGE(""16smdYggRVyzhu5y9HP2ayvW__ybkjb1nkVsCvZrByLM"", ""'COTRATOS 26.1'!B:B""), IMPORTRANGE(""16smdYggRVyzhu5y9HP2ayvW__ybkjb1nkVsC"&amp;"vZrByLM"", ""'COTRATOS 26.1'!A:A""), """")))"),77270.0)</f>
        <v>77270</v>
      </c>
      <c r="F285" s="41" t="s">
        <v>66</v>
      </c>
      <c r="G285" s="42" t="s">
        <v>91</v>
      </c>
      <c r="H285" s="43"/>
      <c r="I285" s="44" t="s">
        <v>621</v>
      </c>
      <c r="J285" s="5"/>
      <c r="K285" s="8" t="s">
        <v>6</v>
      </c>
      <c r="L285" s="8"/>
      <c r="M285" s="46" t="s">
        <v>8</v>
      </c>
      <c r="N285" s="47" t="b">
        <v>0</v>
      </c>
      <c r="O285" s="48">
        <f t="shared" si="1"/>
        <v>46188</v>
      </c>
      <c r="P285" s="49">
        <v>46238.0</v>
      </c>
      <c r="Q285" s="82"/>
      <c r="R285" s="51" t="str">
        <f t="shared" si="2"/>
        <v/>
      </c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</row>
    <row r="286">
      <c r="A286" s="36" t="b">
        <v>1</v>
      </c>
      <c r="B286" s="37">
        <v>46252.0</v>
      </c>
      <c r="C286" s="38" t="s">
        <v>622</v>
      </c>
      <c r="D286" s="39">
        <v>970.0</v>
      </c>
      <c r="E286" s="40">
        <f>IFERROR(__xludf.DUMMYFUNCTION("IF(C286="""", """", XLOOKUP(TRIM(C286), 'COTRATOS ALBUNS 25.2'!E:E, 'COTRATOS ALBUNS 25.2'!D:D, XLOOKUP(TRIM(C286), IMPORTRANGE(""16smdYggRVyzhu5y9HP2ayvW__ybkjb1nkVsCvZrByLM"", ""'COTRATOS 26.1'!B:B""), IMPORTRANGE(""16smdYggRVyzhu5y9HP2ayvW__ybkjb1nkVsC"&amp;"vZrByLM"", ""'COTRATOS 26.1'!A:A""), """")))"),90790.0)</f>
        <v>90790</v>
      </c>
      <c r="F286" s="41" t="s">
        <v>40</v>
      </c>
      <c r="G286" s="42" t="s">
        <v>37</v>
      </c>
      <c r="H286" s="43"/>
      <c r="I286" s="44" t="s">
        <v>623</v>
      </c>
      <c r="J286" s="7"/>
      <c r="K286" s="53" t="s">
        <v>14</v>
      </c>
      <c r="L286" s="8" t="s">
        <v>156</v>
      </c>
      <c r="M286" s="8" t="s">
        <v>8</v>
      </c>
      <c r="N286" s="47" t="b">
        <v>0</v>
      </c>
      <c r="O286" s="48">
        <f t="shared" si="1"/>
        <v>46269</v>
      </c>
      <c r="P286" s="49">
        <v>46293.0</v>
      </c>
      <c r="Q286" s="93">
        <v>46308.0</v>
      </c>
      <c r="R286" s="76">
        <f t="shared" si="2"/>
        <v>46368</v>
      </c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</row>
    <row r="287">
      <c r="A287" s="67" t="b">
        <v>1</v>
      </c>
      <c r="B287" s="74">
        <v>46297.0</v>
      </c>
      <c r="C287" s="38" t="s">
        <v>624</v>
      </c>
      <c r="D287" s="36">
        <v>1172.0</v>
      </c>
      <c r="E287" s="40">
        <f>IFERROR(__xludf.DUMMYFUNCTION("IF(C287="""", """", XLOOKUP(TRIM(C287), 'COTRATOS ALBUNS 25.2'!E:E, 'COTRATOS ALBUNS 25.2'!D:D, XLOOKUP(TRIM(C287), IMPORTRANGE(""16smdYggRVyzhu5y9HP2ayvW__ybkjb1nkVsCvZrByLM"", ""'COTRATOS 26.1'!B:B""), IMPORTRANGE(""16smdYggRVyzhu5y9HP2ayvW__ybkjb1nkVsC"&amp;"vZrByLM"", ""'COTRATOS 26.1'!A:A""), """")))"),87001.0)</f>
        <v>87001</v>
      </c>
      <c r="F287" s="41" t="s">
        <v>36</v>
      </c>
      <c r="G287" s="42" t="s">
        <v>250</v>
      </c>
      <c r="H287" s="43"/>
      <c r="I287" s="44" t="s">
        <v>625</v>
      </c>
      <c r="J287" s="5"/>
      <c r="K287" s="8" t="s">
        <v>13</v>
      </c>
      <c r="L287" s="8" t="s">
        <v>101</v>
      </c>
      <c r="M287" s="46" t="s">
        <v>8</v>
      </c>
      <c r="N287" s="47" t="b">
        <v>0</v>
      </c>
      <c r="O287" s="48">
        <f t="shared" si="1"/>
        <v>46314</v>
      </c>
      <c r="P287" s="49">
        <v>46297.0</v>
      </c>
      <c r="Q287" s="50">
        <v>46247.0</v>
      </c>
      <c r="R287" s="86">
        <f t="shared" si="2"/>
        <v>46307</v>
      </c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</row>
    <row r="288">
      <c r="A288" s="53" t="b">
        <v>1</v>
      </c>
      <c r="B288" s="54">
        <v>46279.0</v>
      </c>
      <c r="C288" s="55" t="s">
        <v>626</v>
      </c>
      <c r="D288" s="38">
        <v>1172.0</v>
      </c>
      <c r="E288" s="40">
        <f>IFERROR(__xludf.DUMMYFUNCTION("IF(C288="""", """", XLOOKUP(TRIM(C288), 'COTRATOS ALBUNS 25.2'!E:E, 'COTRATOS ALBUNS 25.2'!D:D, XLOOKUP(TRIM(C288), IMPORTRANGE(""16smdYggRVyzhu5y9HP2ayvW__ybkjb1nkVsCvZrByLM"", ""'COTRATOS 26.1'!B:B""), IMPORTRANGE(""16smdYggRVyzhu5y9HP2ayvW__ybkjb1nkVsC"&amp;"vZrByLM"", ""'COTRATOS 26.1'!A:A""), """")))"),86470.0)</f>
        <v>86470</v>
      </c>
      <c r="F288" s="57" t="s">
        <v>66</v>
      </c>
      <c r="G288" s="42" t="s">
        <v>71</v>
      </c>
      <c r="H288" s="43"/>
      <c r="I288" s="58" t="s">
        <v>627</v>
      </c>
      <c r="J288" s="59"/>
      <c r="K288" s="53" t="s">
        <v>10</v>
      </c>
      <c r="L288" s="59"/>
      <c r="M288" s="53" t="s">
        <v>8</v>
      </c>
      <c r="N288" s="47" t="b">
        <v>0</v>
      </c>
      <c r="O288" s="48">
        <f t="shared" si="1"/>
        <v>46296</v>
      </c>
      <c r="P288" s="60"/>
      <c r="Q288" s="61"/>
      <c r="R288" s="51" t="str">
        <f t="shared" si="2"/>
        <v/>
      </c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</row>
    <row r="289">
      <c r="A289" s="67" t="b">
        <v>1</v>
      </c>
      <c r="B289" s="68">
        <v>46268.42599537037</v>
      </c>
      <c r="C289" s="69" t="s">
        <v>628</v>
      </c>
      <c r="D289" s="70">
        <v>1084.0</v>
      </c>
      <c r="E289" s="40">
        <f>IFERROR(__xludf.DUMMYFUNCTION("IF(C289="""", """", XLOOKUP(TRIM(C289), 'COTRATOS ALBUNS 25.2'!E:E, 'COTRATOS ALBUNS 25.2'!D:D, XLOOKUP(TRIM(C289), IMPORTRANGE(""16smdYggRVyzhu5y9HP2ayvW__ybkjb1nkVsCvZrByLM"", ""'COTRATOS 26.1'!B:B""), IMPORTRANGE(""16smdYggRVyzhu5y9HP2ayvW__ybkjb1nkVsC"&amp;"vZrByLM"", ""'COTRATOS 26.1'!A:A""), """")))"),87023.0)</f>
        <v>87023</v>
      </c>
      <c r="F289" s="71" t="s">
        <v>66</v>
      </c>
      <c r="G289" s="42" t="s">
        <v>52</v>
      </c>
      <c r="H289" s="43"/>
      <c r="I289" s="44" t="s">
        <v>629</v>
      </c>
      <c r="J289" s="5"/>
      <c r="K289" s="8" t="s">
        <v>13</v>
      </c>
      <c r="L289" s="8" t="s">
        <v>50</v>
      </c>
      <c r="M289" s="8" t="s">
        <v>8</v>
      </c>
      <c r="N289" s="63" t="b">
        <v>1</v>
      </c>
      <c r="O289" s="64">
        <f t="shared" si="1"/>
        <v>46285.426</v>
      </c>
      <c r="P289" s="49">
        <v>46181.0</v>
      </c>
      <c r="Q289" s="61">
        <v>46300.0</v>
      </c>
      <c r="R289" s="76">
        <f t="shared" si="2"/>
        <v>46360</v>
      </c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</row>
    <row r="290">
      <c r="A290" s="67" t="b">
        <v>1</v>
      </c>
      <c r="B290" s="68">
        <v>46268.42606481482</v>
      </c>
      <c r="C290" s="69" t="s">
        <v>630</v>
      </c>
      <c r="D290" s="70">
        <v>971.0</v>
      </c>
      <c r="E290" s="40">
        <f>IFERROR(__xludf.DUMMYFUNCTION("IF(C290="""", """", XLOOKUP(TRIM(C290), 'COTRATOS ALBUNS 25.2'!E:E, 'COTRATOS ALBUNS 25.2'!D:D, XLOOKUP(TRIM(C290), IMPORTRANGE(""16smdYggRVyzhu5y9HP2ayvW__ybkjb1nkVsCvZrByLM"", ""'COTRATOS 26.1'!B:B""), IMPORTRANGE(""16smdYggRVyzhu5y9HP2ayvW__ybkjb1nkVsC"&amp;"vZrByLM"", ""'COTRATOS 26.1'!A:A""), """")))"),86282.0)</f>
        <v>86282</v>
      </c>
      <c r="F290" s="71" t="s">
        <v>66</v>
      </c>
      <c r="G290" s="42" t="s">
        <v>41</v>
      </c>
      <c r="H290" s="43"/>
      <c r="I290" s="44" t="s">
        <v>631</v>
      </c>
      <c r="J290" s="5"/>
      <c r="K290" s="8" t="s">
        <v>13</v>
      </c>
      <c r="L290" s="8" t="s">
        <v>54</v>
      </c>
      <c r="M290" s="8" t="s">
        <v>8</v>
      </c>
      <c r="N290" s="63" t="b">
        <v>1</v>
      </c>
      <c r="O290" s="64">
        <f t="shared" si="1"/>
        <v>46285.42606</v>
      </c>
      <c r="P290" s="49">
        <v>46297.0</v>
      </c>
      <c r="Q290" s="61">
        <v>46300.0</v>
      </c>
      <c r="R290" s="76">
        <f t="shared" si="2"/>
        <v>46360</v>
      </c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</row>
    <row r="291">
      <c r="A291" s="96" t="b">
        <v>1</v>
      </c>
      <c r="B291" s="97">
        <v>46240.0</v>
      </c>
      <c r="C291" s="98" t="s">
        <v>632</v>
      </c>
      <c r="D291" s="99">
        <v>1172.0</v>
      </c>
      <c r="E291" s="40">
        <f>IFERROR(__xludf.DUMMYFUNCTION("IF(C291="""", """", XLOOKUP(TRIM(C291), 'COTRATOS ALBUNS 25.2'!E:E, 'COTRATOS ALBUNS 25.2'!D:D, XLOOKUP(TRIM(C291), IMPORTRANGE(""16smdYggRVyzhu5y9HP2ayvW__ybkjb1nkVsCvZrByLM"", ""'COTRATOS 26.1'!B:B""), IMPORTRANGE(""16smdYggRVyzhu5y9HP2ayvW__ybkjb1nkVsC"&amp;"vZrByLM"", ""'COTRATOS 26.1'!A:A""), """")))"),89886.0)</f>
        <v>89886</v>
      </c>
      <c r="F291" s="57" t="s">
        <v>44</v>
      </c>
      <c r="G291" s="42" t="s">
        <v>126</v>
      </c>
      <c r="H291" s="43"/>
      <c r="I291" s="58" t="s">
        <v>633</v>
      </c>
      <c r="J291" s="59"/>
      <c r="K291" s="53" t="s">
        <v>12</v>
      </c>
      <c r="L291" s="45"/>
      <c r="M291" s="46" t="s">
        <v>8</v>
      </c>
      <c r="N291" s="47" t="b">
        <v>0</v>
      </c>
      <c r="O291" s="48">
        <f t="shared" si="1"/>
        <v>46257</v>
      </c>
      <c r="P291" s="49">
        <v>46297.0</v>
      </c>
      <c r="Q291" s="61"/>
      <c r="R291" s="51" t="str">
        <f t="shared" si="2"/>
        <v/>
      </c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</row>
    <row r="292">
      <c r="A292" s="67" t="b">
        <v>1</v>
      </c>
      <c r="B292" s="74">
        <v>46132.0</v>
      </c>
      <c r="C292" s="38" t="s">
        <v>634</v>
      </c>
      <c r="D292" s="36">
        <v>1173.0</v>
      </c>
      <c r="E292" s="40">
        <f>IFERROR(__xludf.DUMMYFUNCTION("IF(C292="""", """", XLOOKUP(TRIM(C292), 'COTRATOS ALBUNS 25.2'!E:E, 'COTRATOS ALBUNS 25.2'!D:D, XLOOKUP(TRIM(C292), IMPORTRANGE(""16smdYggRVyzhu5y9HP2ayvW__ybkjb1nkVsCvZrByLM"", ""'COTRATOS 26.1'!B:B""), IMPORTRANGE(""16smdYggRVyzhu5y9HP2ayvW__ybkjb1nkVsC"&amp;"vZrByLM"", ""'COTRATOS 26.1'!A:A""), """")))"),85634.0)</f>
        <v>85634</v>
      </c>
      <c r="F292" s="41" t="s">
        <v>66</v>
      </c>
      <c r="G292" s="42" t="s">
        <v>45</v>
      </c>
      <c r="H292" s="43"/>
      <c r="I292" s="44" t="s">
        <v>635</v>
      </c>
      <c r="J292" s="5"/>
      <c r="K292" s="8" t="s">
        <v>6</v>
      </c>
      <c r="L292" s="8"/>
      <c r="M292" s="46" t="s">
        <v>8</v>
      </c>
      <c r="N292" s="47" t="b">
        <v>0</v>
      </c>
      <c r="O292" s="48">
        <f t="shared" si="1"/>
        <v>46149</v>
      </c>
      <c r="P292" s="49">
        <v>46297.0</v>
      </c>
      <c r="Q292" s="61"/>
      <c r="R292" s="51" t="str">
        <f t="shared" si="2"/>
        <v/>
      </c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</row>
    <row r="293">
      <c r="A293" s="53" t="b">
        <v>1</v>
      </c>
      <c r="B293" s="54">
        <v>46291.0</v>
      </c>
      <c r="C293" s="55" t="s">
        <v>636</v>
      </c>
      <c r="D293" s="56">
        <v>1179.0</v>
      </c>
      <c r="E293" s="40">
        <f>IFERROR(__xludf.DUMMYFUNCTION("IF(C293="""", """", XLOOKUP(TRIM(C293), 'COTRATOS ALBUNS 25.2'!E:E, 'COTRATOS ALBUNS 25.2'!D:D, XLOOKUP(TRIM(C293), IMPORTRANGE(""16smdYggRVyzhu5y9HP2ayvW__ybkjb1nkVsCvZrByLM"", ""'COTRATOS 26.1'!B:B""), IMPORTRANGE(""16smdYggRVyzhu5y9HP2ayvW__ybkjb1nkVsC"&amp;"vZrByLM"", ""'COTRATOS 26.1'!A:A""), """")))"),93602.0)</f>
        <v>93602</v>
      </c>
      <c r="F293" s="57" t="s">
        <v>40</v>
      </c>
      <c r="G293" s="42" t="s">
        <v>95</v>
      </c>
      <c r="H293" s="43"/>
      <c r="I293" s="58" t="s">
        <v>637</v>
      </c>
      <c r="J293" s="59"/>
      <c r="K293" s="53" t="s">
        <v>10</v>
      </c>
      <c r="L293" s="59"/>
      <c r="M293" s="59"/>
      <c r="N293" s="47" t="b">
        <v>0</v>
      </c>
      <c r="O293" s="48">
        <f t="shared" si="1"/>
        <v>46308</v>
      </c>
      <c r="P293" s="60"/>
      <c r="Q293" s="61"/>
      <c r="R293" s="51" t="str">
        <f t="shared" si="2"/>
        <v/>
      </c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</row>
    <row r="294">
      <c r="A294" s="36" t="b">
        <v>1</v>
      </c>
      <c r="B294" s="100">
        <v>46297.0</v>
      </c>
      <c r="C294" s="38" t="s">
        <v>638</v>
      </c>
      <c r="D294" s="36">
        <v>1172.0</v>
      </c>
      <c r="E294" s="40">
        <f>IFERROR(__xludf.DUMMYFUNCTION("IF(C294="""", """", XLOOKUP(TRIM(C294), 'COTRATOS ALBUNS 25.2'!E:E, 'COTRATOS ALBUNS 25.2'!D:D, XLOOKUP(TRIM(C294), IMPORTRANGE(""16smdYggRVyzhu5y9HP2ayvW__ybkjb1nkVsCvZrByLM"", ""'COTRATOS 26.1'!B:B""), IMPORTRANGE(""16smdYggRVyzhu5y9HP2ayvW__ybkjb1nkVsC"&amp;"vZrByLM"", ""'COTRATOS 26.1'!A:A""), """")))"),86095.0)</f>
        <v>86095</v>
      </c>
      <c r="F294" s="41" t="s">
        <v>66</v>
      </c>
      <c r="G294" s="42" t="s">
        <v>95</v>
      </c>
      <c r="H294" s="43"/>
      <c r="I294" s="44" t="s">
        <v>639</v>
      </c>
      <c r="J294" s="5"/>
      <c r="K294" s="8" t="s">
        <v>13</v>
      </c>
      <c r="L294" s="8" t="s">
        <v>101</v>
      </c>
      <c r="M294" s="46" t="s">
        <v>8</v>
      </c>
      <c r="N294" s="47" t="b">
        <v>0</v>
      </c>
      <c r="O294" s="48">
        <f t="shared" si="1"/>
        <v>46314</v>
      </c>
      <c r="P294" s="49">
        <v>46297.0</v>
      </c>
      <c r="Q294" s="93">
        <v>46251.0</v>
      </c>
      <c r="R294" s="76">
        <f t="shared" si="2"/>
        <v>46311</v>
      </c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</row>
    <row r="295">
      <c r="A295" s="56" t="b">
        <v>1</v>
      </c>
      <c r="B295" s="77">
        <v>46297.0</v>
      </c>
      <c r="C295" s="98" t="s">
        <v>640</v>
      </c>
      <c r="D295" s="56">
        <v>1085.0</v>
      </c>
      <c r="E295" s="40">
        <f>IFERROR(__xludf.DUMMYFUNCTION("IF(C295="""", """", XLOOKUP(TRIM(C295), 'COTRATOS ALBUNS 25.2'!E:E, 'COTRATOS ALBUNS 25.2'!D:D, XLOOKUP(TRIM(C295), IMPORTRANGE(""16smdYggRVyzhu5y9HP2ayvW__ybkjb1nkVsCvZrByLM"", ""'COTRATOS 26.1'!B:B""), IMPORTRANGE(""16smdYggRVyzhu5y9HP2ayvW__ybkjb1nkVsC"&amp;"vZrByLM"", ""'COTRATOS 26.1'!A:A""), """")))"),92338.0)</f>
        <v>92338</v>
      </c>
      <c r="F295" s="57" t="s">
        <v>44</v>
      </c>
      <c r="G295" s="42" t="s">
        <v>57</v>
      </c>
      <c r="H295" s="43"/>
      <c r="I295" s="58" t="s">
        <v>641</v>
      </c>
      <c r="J295" s="59"/>
      <c r="K295" s="8" t="s">
        <v>14</v>
      </c>
      <c r="L295" s="45" t="s">
        <v>132</v>
      </c>
      <c r="M295" s="53" t="s">
        <v>8</v>
      </c>
      <c r="N295" s="47" t="b">
        <v>0</v>
      </c>
      <c r="O295" s="48">
        <f t="shared" si="1"/>
        <v>46314</v>
      </c>
      <c r="P295" s="49">
        <v>46297.0</v>
      </c>
      <c r="Q295" s="61">
        <v>46279.0</v>
      </c>
      <c r="R295" s="76">
        <f t="shared" si="2"/>
        <v>46339</v>
      </c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</row>
    <row r="296">
      <c r="A296" s="36" t="b">
        <v>1</v>
      </c>
      <c r="B296" s="37">
        <v>46297.0</v>
      </c>
      <c r="C296" s="38" t="s">
        <v>642</v>
      </c>
      <c r="D296" s="39">
        <v>1172.0</v>
      </c>
      <c r="E296" s="40">
        <f>IFERROR(__xludf.DUMMYFUNCTION("IF(C296="""", """", XLOOKUP(TRIM(C296), 'COTRATOS ALBUNS 25.2'!E:E, 'COTRATOS ALBUNS 25.2'!D:D, XLOOKUP(TRIM(C296), IMPORTRANGE(""16smdYggRVyzhu5y9HP2ayvW__ybkjb1nkVsCvZrByLM"", ""'COTRATOS 26.1'!B:B""), IMPORTRANGE(""16smdYggRVyzhu5y9HP2ayvW__ybkjb1nkVsC"&amp;"vZrByLM"", ""'COTRATOS 26.1'!A:A""), """")))"),87075.0)</f>
        <v>87075</v>
      </c>
      <c r="F296" s="41" t="s">
        <v>44</v>
      </c>
      <c r="G296" s="42" t="s">
        <v>41</v>
      </c>
      <c r="H296" s="43"/>
      <c r="I296" s="44" t="s">
        <v>643</v>
      </c>
      <c r="J296" s="7"/>
      <c r="K296" s="8" t="s">
        <v>13</v>
      </c>
      <c r="L296" s="45" t="s">
        <v>78</v>
      </c>
      <c r="M296" s="8" t="s">
        <v>8</v>
      </c>
      <c r="N296" s="47" t="b">
        <v>0</v>
      </c>
      <c r="O296" s="48">
        <f t="shared" si="1"/>
        <v>46314</v>
      </c>
      <c r="P296" s="49">
        <v>46297.0</v>
      </c>
      <c r="Q296" s="50">
        <v>46244.0</v>
      </c>
      <c r="R296" s="86">
        <f t="shared" si="2"/>
        <v>46304</v>
      </c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</row>
    <row r="297">
      <c r="A297" s="53" t="b">
        <v>1</v>
      </c>
      <c r="B297" s="54">
        <v>46275.0</v>
      </c>
      <c r="C297" s="95" t="s">
        <v>644</v>
      </c>
      <c r="D297" s="38">
        <v>1172.0</v>
      </c>
      <c r="E297" s="40">
        <f>IFERROR(__xludf.DUMMYFUNCTION("IF(C297="""", """", XLOOKUP(TRIM(C297), 'COTRATOS ALBUNS 25.2'!E:E, 'COTRATOS ALBUNS 25.2'!D:D, XLOOKUP(TRIM(C297), IMPORTRANGE(""16smdYggRVyzhu5y9HP2ayvW__ybkjb1nkVsCvZrByLM"", ""'COTRATOS 26.1'!B:B""), IMPORTRANGE(""16smdYggRVyzhu5y9HP2ayvW__ybkjb1nkVsC"&amp;"vZrByLM"", ""'COTRATOS 26.1'!A:A""), """")))"),86960.0)</f>
        <v>86960</v>
      </c>
      <c r="F297" s="57" t="s">
        <v>36</v>
      </c>
      <c r="G297" s="42" t="s">
        <v>250</v>
      </c>
      <c r="H297" s="43"/>
      <c r="I297" s="58" t="s">
        <v>645</v>
      </c>
      <c r="J297" s="59"/>
      <c r="K297" s="8" t="s">
        <v>6</v>
      </c>
      <c r="L297" s="59"/>
      <c r="M297" s="53" t="s">
        <v>8</v>
      </c>
      <c r="N297" s="47" t="b">
        <v>0</v>
      </c>
      <c r="O297" s="48">
        <f t="shared" si="1"/>
        <v>46292</v>
      </c>
      <c r="P297" s="49">
        <v>46309.0</v>
      </c>
      <c r="Q297" s="61"/>
      <c r="R297" s="51" t="str">
        <f t="shared" si="2"/>
        <v/>
      </c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</row>
    <row r="298">
      <c r="A298" s="67" t="b">
        <v>1</v>
      </c>
      <c r="B298" s="68">
        <v>46268.42565972223</v>
      </c>
      <c r="C298" s="38" t="s">
        <v>646</v>
      </c>
      <c r="D298" s="36">
        <v>957.0</v>
      </c>
      <c r="E298" s="40">
        <f>IFERROR(__xludf.DUMMYFUNCTION("IF(C298="""", """", XLOOKUP(TRIM(C298), 'COTRATOS ALBUNS 25.2'!E:E, 'COTRATOS ALBUNS 25.2'!D:D, XLOOKUP(TRIM(C298), IMPORTRANGE(""16smdYggRVyzhu5y9HP2ayvW__ybkjb1nkVsCvZrByLM"", ""'COTRATOS 26.1'!B:B""), IMPORTRANGE(""16smdYggRVyzhu5y9HP2ayvW__ybkjb1nkVsC"&amp;"vZrByLM"", ""'COTRATOS 26.1'!A:A""), """")))"),75694.0)</f>
        <v>75694</v>
      </c>
      <c r="F298" s="41" t="s">
        <v>36</v>
      </c>
      <c r="G298" s="42" t="s">
        <v>45</v>
      </c>
      <c r="H298" s="43"/>
      <c r="I298" s="44" t="s">
        <v>647</v>
      </c>
      <c r="J298" s="5"/>
      <c r="K298" s="8" t="s">
        <v>13</v>
      </c>
      <c r="L298" s="8" t="s">
        <v>93</v>
      </c>
      <c r="M298" s="8" t="s">
        <v>8</v>
      </c>
      <c r="N298" s="63" t="b">
        <v>1</v>
      </c>
      <c r="O298" s="64">
        <f t="shared" si="1"/>
        <v>46285.42566</v>
      </c>
      <c r="P298" s="49">
        <v>46297.0</v>
      </c>
      <c r="Q298" s="93">
        <v>46205.0</v>
      </c>
      <c r="R298" s="76">
        <f t="shared" si="2"/>
        <v>46265</v>
      </c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</row>
    <row r="299">
      <c r="A299" s="36" t="b">
        <v>1</v>
      </c>
      <c r="B299" s="94">
        <v>46238.63304398148</v>
      </c>
      <c r="C299" s="38" t="s">
        <v>648</v>
      </c>
      <c r="D299" s="36">
        <v>752.0</v>
      </c>
      <c r="E299" s="40">
        <f>IFERROR(__xludf.DUMMYFUNCTION("IF(C299="""", """", XLOOKUP(TRIM(C299), 'COTRATOS ALBUNS 25.2'!E:E, 'COTRATOS ALBUNS 25.2'!D:D, XLOOKUP(TRIM(C299), IMPORTRANGE(""16smdYggRVyzhu5y9HP2ayvW__ybkjb1nkVsCvZrByLM"", ""'COTRATOS 26.1'!B:B""), IMPORTRANGE(""16smdYggRVyzhu5y9HP2ayvW__ybkjb1nkVsC"&amp;"vZrByLM"", ""'COTRATOS 26.1'!A:A""), """")))"),85911.0)</f>
        <v>85911</v>
      </c>
      <c r="F299" s="41" t="s">
        <v>66</v>
      </c>
      <c r="G299" s="42" t="s">
        <v>45</v>
      </c>
      <c r="H299" s="43"/>
      <c r="I299" s="44" t="s">
        <v>649</v>
      </c>
      <c r="J299" s="5"/>
      <c r="K299" s="8" t="s">
        <v>13</v>
      </c>
      <c r="L299" s="8" t="s">
        <v>218</v>
      </c>
      <c r="M299" s="46" t="s">
        <v>8</v>
      </c>
      <c r="N299" s="63" t="b">
        <v>1</v>
      </c>
      <c r="O299" s="64">
        <f t="shared" si="1"/>
        <v>46255.63304</v>
      </c>
      <c r="P299" s="49">
        <v>46297.0</v>
      </c>
      <c r="Q299" s="85">
        <v>46239.0</v>
      </c>
      <c r="R299" s="86">
        <f t="shared" si="2"/>
        <v>46299</v>
      </c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</row>
    <row r="300">
      <c r="A300" s="36" t="b">
        <v>1</v>
      </c>
      <c r="B300" s="80">
        <v>46227.0</v>
      </c>
      <c r="C300" s="81" t="s">
        <v>650</v>
      </c>
      <c r="D300" s="39">
        <v>953.0</v>
      </c>
      <c r="E300" s="40">
        <f>IFERROR(__xludf.DUMMYFUNCTION("IF(C300="""", """", XLOOKUP(TRIM(C300), 'COTRATOS ALBUNS 25.2'!E:E, 'COTRATOS ALBUNS 25.2'!D:D, XLOOKUP(TRIM(C300), IMPORTRANGE(""16smdYggRVyzhu5y9HP2ayvW__ybkjb1nkVsCvZrByLM"", ""'COTRATOS 26.1'!B:B""), IMPORTRANGE(""16smdYggRVyzhu5y9HP2ayvW__ybkjb1nkVsC"&amp;"vZrByLM"", ""'COTRATOS 26.1'!A:A""), """")))"),88336.0)</f>
        <v>88336</v>
      </c>
      <c r="F300" s="41" t="s">
        <v>74</v>
      </c>
      <c r="G300" s="42" t="s">
        <v>45</v>
      </c>
      <c r="H300" s="43"/>
      <c r="I300" s="44" t="s">
        <v>651</v>
      </c>
      <c r="J300" s="7"/>
      <c r="K300" s="8" t="s">
        <v>13</v>
      </c>
      <c r="L300" s="8" t="s">
        <v>218</v>
      </c>
      <c r="M300" s="46" t="s">
        <v>8</v>
      </c>
      <c r="N300" s="63" t="b">
        <v>1</v>
      </c>
      <c r="O300" s="52">
        <f t="shared" si="1"/>
        <v>46244</v>
      </c>
      <c r="P300" s="60"/>
      <c r="Q300" s="50">
        <v>46246.0</v>
      </c>
      <c r="R300" s="86">
        <f t="shared" si="2"/>
        <v>46306</v>
      </c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</row>
    <row r="301">
      <c r="A301" s="67" t="b">
        <v>1</v>
      </c>
      <c r="B301" s="126">
        <v>46122.0</v>
      </c>
      <c r="C301" s="69" t="s">
        <v>652</v>
      </c>
      <c r="D301" s="70">
        <v>994.0</v>
      </c>
      <c r="E301" s="40">
        <f>IFERROR(__xludf.DUMMYFUNCTION("IF(C301="""", """", XLOOKUP(TRIM(C301), 'COTRATOS ALBUNS 25.2'!E:E, 'COTRATOS ALBUNS 25.2'!D:D, XLOOKUP(TRIM(C301), IMPORTRANGE(""16smdYggRVyzhu5y9HP2ayvW__ybkjb1nkVsCvZrByLM"", ""'COTRATOS 26.1'!B:B""), IMPORTRANGE(""16smdYggRVyzhu5y9HP2ayvW__ybkjb1nkVsC"&amp;"vZrByLM"", ""'COTRATOS 26.1'!A:A""), """")))"),88514.0)</f>
        <v>88514</v>
      </c>
      <c r="F301" s="71" t="s">
        <v>36</v>
      </c>
      <c r="G301" s="42" t="s">
        <v>67</v>
      </c>
      <c r="H301" s="43"/>
      <c r="I301" s="44" t="s">
        <v>653</v>
      </c>
      <c r="J301" s="5"/>
      <c r="K301" s="8" t="s">
        <v>13</v>
      </c>
      <c r="L301" s="8" t="s">
        <v>93</v>
      </c>
      <c r="M301" s="8" t="s">
        <v>8</v>
      </c>
      <c r="N301" s="63" t="b">
        <v>1</v>
      </c>
      <c r="O301" s="127">
        <f t="shared" si="1"/>
        <v>46139</v>
      </c>
      <c r="P301" s="60"/>
      <c r="Q301" s="65">
        <v>46199.0</v>
      </c>
      <c r="R301" s="66">
        <f t="shared" si="2"/>
        <v>46259</v>
      </c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</row>
    <row r="302">
      <c r="A302" s="67" t="b">
        <v>1</v>
      </c>
      <c r="B302" s="126">
        <v>46122.0</v>
      </c>
      <c r="C302" s="69" t="s">
        <v>654</v>
      </c>
      <c r="D302" s="70">
        <v>823.0</v>
      </c>
      <c r="E302" s="102">
        <v>87380.0</v>
      </c>
      <c r="F302" s="71" t="s">
        <v>36</v>
      </c>
      <c r="G302" s="42" t="s">
        <v>37</v>
      </c>
      <c r="H302" s="43"/>
      <c r="I302" s="44" t="s">
        <v>655</v>
      </c>
      <c r="J302" s="5"/>
      <c r="K302" s="8" t="s">
        <v>13</v>
      </c>
      <c r="L302" s="8" t="s">
        <v>54</v>
      </c>
      <c r="M302" s="8" t="s">
        <v>8</v>
      </c>
      <c r="N302" s="63" t="b">
        <v>1</v>
      </c>
      <c r="O302" s="127">
        <f t="shared" si="1"/>
        <v>46139</v>
      </c>
      <c r="P302" s="60"/>
      <c r="Q302" s="134">
        <f>B302</f>
        <v>46122</v>
      </c>
      <c r="R302" s="86">
        <f t="shared" si="2"/>
        <v>46182</v>
      </c>
      <c r="S302" s="7"/>
      <c r="T302" s="7"/>
      <c r="U302" s="7"/>
      <c r="V302" s="7"/>
      <c r="W302" s="7"/>
      <c r="X302" s="7"/>
      <c r="Y302" s="7"/>
      <c r="Z302" s="7"/>
      <c r="AA302" s="141">
        <v>46294.40908075232</v>
      </c>
      <c r="AB302" s="7"/>
      <c r="AC302" s="7"/>
      <c r="AD302" s="7"/>
      <c r="AE302" s="7"/>
      <c r="AF302" s="7"/>
      <c r="AG302" s="7"/>
    </row>
    <row r="303">
      <c r="A303" s="67" t="b">
        <v>1</v>
      </c>
      <c r="B303" s="68">
        <v>46268.42592592593</v>
      </c>
      <c r="C303" s="69" t="s">
        <v>656</v>
      </c>
      <c r="D303" s="70">
        <v>824.0</v>
      </c>
      <c r="E303" s="40">
        <f>IFERROR(__xludf.DUMMYFUNCTION("IF(C303="""", """", XLOOKUP(TRIM(C303), 'COTRATOS ALBUNS 25.2'!E:E, 'COTRATOS ALBUNS 25.2'!D:D, XLOOKUP(TRIM(C303), IMPORTRANGE(""16smdYggRVyzhu5y9HP2ayvW__ybkjb1nkVsCvZrByLM"", ""'COTRATOS 26.1'!B:B""), IMPORTRANGE(""16smdYggRVyzhu5y9HP2ayvW__ybkjb1nkVsC"&amp;"vZrByLM"", ""'COTRATOS 26.1'!A:A""), """")))"),89497.0)</f>
        <v>89497</v>
      </c>
      <c r="F303" s="71" t="s">
        <v>66</v>
      </c>
      <c r="G303" s="42" t="s">
        <v>123</v>
      </c>
      <c r="H303" s="43"/>
      <c r="I303" s="44" t="s">
        <v>657</v>
      </c>
      <c r="J303" s="5"/>
      <c r="K303" s="8" t="s">
        <v>13</v>
      </c>
      <c r="L303" s="8" t="s">
        <v>54</v>
      </c>
      <c r="M303" s="8" t="s">
        <v>8</v>
      </c>
      <c r="N303" s="63" t="b">
        <v>1</v>
      </c>
      <c r="O303" s="64">
        <f t="shared" si="1"/>
        <v>46285.42593</v>
      </c>
      <c r="P303" s="49">
        <v>46297.0</v>
      </c>
      <c r="Q303" s="93">
        <v>46300.0</v>
      </c>
      <c r="R303" s="76">
        <f t="shared" si="2"/>
        <v>46360</v>
      </c>
      <c r="S303" s="7"/>
      <c r="T303" s="7"/>
      <c r="U303" s="7"/>
      <c r="V303" s="7"/>
      <c r="W303" s="7"/>
      <c r="X303" s="7"/>
      <c r="Y303" s="7"/>
      <c r="Z303" s="7"/>
      <c r="AA303" s="141">
        <v>46289.58760791666</v>
      </c>
      <c r="AB303" s="7"/>
      <c r="AC303" s="7"/>
      <c r="AD303" s="7"/>
      <c r="AE303" s="7"/>
      <c r="AF303" s="7"/>
      <c r="AG303" s="7"/>
    </row>
    <row r="304">
      <c r="A304" s="96" t="b">
        <v>1</v>
      </c>
      <c r="B304" s="97">
        <v>46297.0</v>
      </c>
      <c r="C304" s="98" t="s">
        <v>658</v>
      </c>
      <c r="D304" s="99">
        <v>957.0</v>
      </c>
      <c r="E304" s="40">
        <f>IFERROR(__xludf.DUMMYFUNCTION("IF(C304="""", """", XLOOKUP(TRIM(C304), 'COTRATOS ALBUNS 25.2'!E:E, 'COTRATOS ALBUNS 25.2'!D:D, XLOOKUP(TRIM(C304), IMPORTRANGE(""16smdYggRVyzhu5y9HP2ayvW__ybkjb1nkVsCvZrByLM"", ""'COTRATOS 26.1'!B:B""), IMPORTRANGE(""16smdYggRVyzhu5y9HP2ayvW__ybkjb1nkVsC"&amp;"vZrByLM"", ""'COTRATOS 26.1'!A:A""), """")))"),59532.0)</f>
        <v>59532</v>
      </c>
      <c r="F304" s="57" t="s">
        <v>66</v>
      </c>
      <c r="G304" s="42" t="s">
        <v>71</v>
      </c>
      <c r="H304" s="43"/>
      <c r="I304" s="58" t="s">
        <v>659</v>
      </c>
      <c r="J304" s="59"/>
      <c r="K304" s="8" t="s">
        <v>14</v>
      </c>
      <c r="L304" s="8" t="s">
        <v>89</v>
      </c>
      <c r="M304" s="46" t="s">
        <v>8</v>
      </c>
      <c r="N304" s="47" t="b">
        <v>0</v>
      </c>
      <c r="O304" s="48">
        <f t="shared" si="1"/>
        <v>46314</v>
      </c>
      <c r="P304" s="49">
        <v>46297.0</v>
      </c>
      <c r="Q304" s="61">
        <v>46290.0</v>
      </c>
      <c r="R304" s="76">
        <f t="shared" si="2"/>
        <v>46350</v>
      </c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</row>
    <row r="305">
      <c r="A305" s="36" t="b">
        <v>1</v>
      </c>
      <c r="B305" s="94">
        <v>46225.71357638889</v>
      </c>
      <c r="C305" s="38" t="s">
        <v>660</v>
      </c>
      <c r="D305" s="36">
        <v>968.0</v>
      </c>
      <c r="E305" s="40">
        <f>IFERROR(__xludf.DUMMYFUNCTION("IF(C305="""", """", XLOOKUP(TRIM(C305), 'COTRATOS ALBUNS 25.2'!E:E, 'COTRATOS ALBUNS 25.2'!D:D, XLOOKUP(TRIM(C305), IMPORTRANGE(""16smdYggRVyzhu5y9HP2ayvW__ybkjb1nkVsCvZrByLM"", ""'COTRATOS 26.1'!B:B""), IMPORTRANGE(""16smdYggRVyzhu5y9HP2ayvW__ybkjb1nkVsC"&amp;"vZrByLM"", ""'COTRATOS 26.1'!A:A""), """")))"),86914.0)</f>
        <v>86914</v>
      </c>
      <c r="F305" s="41" t="s">
        <v>66</v>
      </c>
      <c r="G305" s="42" t="s">
        <v>80</v>
      </c>
      <c r="H305" s="43"/>
      <c r="I305" s="44" t="s">
        <v>661</v>
      </c>
      <c r="J305" s="5"/>
      <c r="K305" s="8" t="s">
        <v>13</v>
      </c>
      <c r="L305" s="8" t="s">
        <v>47</v>
      </c>
      <c r="M305" s="8" t="s">
        <v>8</v>
      </c>
      <c r="N305" s="63" t="b">
        <v>1</v>
      </c>
      <c r="O305" s="64">
        <f t="shared" si="1"/>
        <v>46242.71358</v>
      </c>
      <c r="P305" s="49">
        <v>46297.0</v>
      </c>
      <c r="Q305" s="85">
        <v>46226.0</v>
      </c>
      <c r="R305" s="86">
        <f t="shared" si="2"/>
        <v>46286</v>
      </c>
      <c r="S305" s="7"/>
      <c r="T305" s="7"/>
      <c r="U305" s="7"/>
      <c r="V305" s="7"/>
      <c r="W305" s="7"/>
      <c r="X305" s="7"/>
      <c r="Y305" s="7"/>
      <c r="Z305" s="7"/>
      <c r="AA305" s="141">
        <v>46288.65975535879</v>
      </c>
      <c r="AB305" s="7"/>
      <c r="AC305" s="7"/>
      <c r="AD305" s="7"/>
      <c r="AE305" s="7"/>
      <c r="AF305" s="7"/>
      <c r="AG305" s="7"/>
    </row>
    <row r="306">
      <c r="A306" s="36" t="b">
        <v>1</v>
      </c>
      <c r="B306" s="37">
        <v>46185.0</v>
      </c>
      <c r="C306" s="38" t="s">
        <v>662</v>
      </c>
      <c r="D306" s="39">
        <v>1084.0</v>
      </c>
      <c r="E306" s="40">
        <f>IFERROR(__xludf.DUMMYFUNCTION("IF(C306="""", """", XLOOKUP(TRIM(C306), 'COTRATOS ALBUNS 25.2'!E:E, 'COTRATOS ALBUNS 25.2'!D:D, XLOOKUP(TRIM(C306), IMPORTRANGE(""16smdYggRVyzhu5y9HP2ayvW__ybkjb1nkVsCvZrByLM"", ""'COTRATOS 26.1'!B:B""), IMPORTRANGE(""16smdYggRVyzhu5y9HP2ayvW__ybkjb1nkVsC"&amp;"vZrByLM"", ""'COTRATOS 26.1'!A:A""), """")))"),88810.0)</f>
        <v>88810</v>
      </c>
      <c r="F306" s="41" t="s">
        <v>74</v>
      </c>
      <c r="G306" s="42" t="s">
        <v>45</v>
      </c>
      <c r="H306" s="43"/>
      <c r="I306" s="44" t="s">
        <v>663</v>
      </c>
      <c r="J306" s="7"/>
      <c r="K306" s="8" t="s">
        <v>6</v>
      </c>
      <c r="L306" s="108"/>
      <c r="M306" s="46" t="s">
        <v>8</v>
      </c>
      <c r="N306" s="47" t="b">
        <v>0</v>
      </c>
      <c r="O306" s="48">
        <f t="shared" si="1"/>
        <v>46202</v>
      </c>
      <c r="P306" s="49">
        <v>46238.0</v>
      </c>
      <c r="Q306" s="82"/>
      <c r="R306" s="51" t="str">
        <f t="shared" si="2"/>
        <v/>
      </c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</row>
    <row r="307" ht="16.5" customHeight="1">
      <c r="A307" s="53" t="b">
        <v>1</v>
      </c>
      <c r="B307" s="54">
        <v>46283.0</v>
      </c>
      <c r="C307" s="135" t="s">
        <v>664</v>
      </c>
      <c r="D307" s="56">
        <v>1019.0</v>
      </c>
      <c r="E307" s="40">
        <f>IFERROR(__xludf.DUMMYFUNCTION("IF(C307="""", """", XLOOKUP(TRIM(C307), 'COTRATOS ALBUNS 25.2'!E:E, 'COTRATOS ALBUNS 25.2'!D:D, XLOOKUP(TRIM(C307), IMPORTRANGE(""16smdYggRVyzhu5y9HP2ayvW__ybkjb1nkVsCvZrByLM"", ""'COTRATOS 26.1'!B:B""), IMPORTRANGE(""16smdYggRVyzhu5y9HP2ayvW__ybkjb1nkVsC"&amp;"vZrByLM"", ""'COTRATOS 26.1'!A:A""), """")))"),89532.0)</f>
        <v>89532</v>
      </c>
      <c r="F307" s="87" t="s">
        <v>289</v>
      </c>
      <c r="G307" s="42" t="s">
        <v>665</v>
      </c>
      <c r="H307" s="43"/>
      <c r="I307" s="58" t="s">
        <v>666</v>
      </c>
      <c r="J307" s="59"/>
      <c r="K307" s="8" t="s">
        <v>6</v>
      </c>
      <c r="L307" s="59"/>
      <c r="M307" s="59"/>
      <c r="N307" s="47" t="b">
        <v>0</v>
      </c>
      <c r="O307" s="48">
        <f t="shared" si="1"/>
        <v>46300</v>
      </c>
      <c r="P307" s="49">
        <v>46293.0</v>
      </c>
      <c r="Q307" s="61"/>
      <c r="R307" s="51" t="str">
        <f t="shared" si="2"/>
        <v/>
      </c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</row>
    <row r="308">
      <c r="A308" s="53" t="b">
        <v>1</v>
      </c>
      <c r="B308" s="54">
        <v>46296.0</v>
      </c>
      <c r="C308" s="55" t="s">
        <v>667</v>
      </c>
      <c r="D308" s="56">
        <v>875.0</v>
      </c>
      <c r="E308" s="40">
        <f>IFERROR(__xludf.DUMMYFUNCTION("IF(C308="""", """", XLOOKUP(TRIM(C308), 'COTRATOS ALBUNS 25.2'!E:E, 'COTRATOS ALBUNS 25.2'!D:D, XLOOKUP(TRIM(C308), IMPORTRANGE(""16smdYggRVyzhu5y9HP2ayvW__ybkjb1nkVsCvZrByLM"", ""'COTRATOS 26.1'!B:B""), IMPORTRANGE(""16smdYggRVyzhu5y9HP2ayvW__ybkjb1nkVsC"&amp;"vZrByLM"", ""'COTRATOS 26.1'!A:A""), """")))"),91950.0)</f>
        <v>91950</v>
      </c>
      <c r="F308" s="87" t="s">
        <v>56</v>
      </c>
      <c r="G308" s="42" t="s">
        <v>37</v>
      </c>
      <c r="H308" s="43"/>
      <c r="I308" s="58" t="s">
        <v>668</v>
      </c>
      <c r="J308" s="59"/>
      <c r="K308" s="53" t="s">
        <v>10</v>
      </c>
      <c r="L308" s="59"/>
      <c r="M308" s="59"/>
      <c r="N308" s="47" t="b">
        <v>0</v>
      </c>
      <c r="O308" s="48">
        <f t="shared" si="1"/>
        <v>46313</v>
      </c>
      <c r="P308" s="60"/>
      <c r="Q308" s="61"/>
      <c r="R308" s="51" t="str">
        <f t="shared" si="2"/>
        <v/>
      </c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</row>
    <row r="309">
      <c r="A309" s="36" t="b">
        <v>1</v>
      </c>
      <c r="B309" s="90">
        <v>46297.0</v>
      </c>
      <c r="C309" s="81" t="s">
        <v>669</v>
      </c>
      <c r="D309" s="79">
        <v>1172.0</v>
      </c>
      <c r="E309" s="40">
        <f>IFERROR(__xludf.DUMMYFUNCTION("IF(C309="""", """", XLOOKUP(TRIM(C309), 'COTRATOS ALBUNS 25.2'!E:E, 'COTRATOS ALBUNS 25.2'!D:D, XLOOKUP(TRIM(C309), IMPORTRANGE(""16smdYggRVyzhu5y9HP2ayvW__ybkjb1nkVsCvZrByLM"", ""'COTRATOS 26.1'!B:B""), IMPORTRANGE(""16smdYggRVyzhu5y9HP2ayvW__ybkjb1nkVsC"&amp;"vZrByLM"", ""'COTRATOS 26.1'!A:A""), """")))"),87123.0)</f>
        <v>87123</v>
      </c>
      <c r="F309" s="41" t="s">
        <v>36</v>
      </c>
      <c r="G309" s="42" t="s">
        <v>52</v>
      </c>
      <c r="H309" s="43"/>
      <c r="I309" s="44" t="s">
        <v>670</v>
      </c>
      <c r="J309" s="7"/>
      <c r="K309" s="8" t="s">
        <v>14</v>
      </c>
      <c r="L309" s="108" t="s">
        <v>132</v>
      </c>
      <c r="M309" s="46" t="s">
        <v>8</v>
      </c>
      <c r="N309" s="47" t="b">
        <v>0</v>
      </c>
      <c r="O309" s="48">
        <f t="shared" si="1"/>
        <v>46314</v>
      </c>
      <c r="P309" s="49">
        <v>46297.0</v>
      </c>
      <c r="Q309" s="132">
        <v>46297.0</v>
      </c>
      <c r="R309" s="76">
        <f t="shared" si="2"/>
        <v>46357</v>
      </c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</row>
    <row r="310">
      <c r="A310" s="36" t="b">
        <v>1</v>
      </c>
      <c r="B310" s="90">
        <v>46239.0</v>
      </c>
      <c r="C310" s="153" t="s">
        <v>671</v>
      </c>
      <c r="D310" s="79">
        <v>970.0</v>
      </c>
      <c r="E310" s="40">
        <f>IFERROR(__xludf.DUMMYFUNCTION("IF(C310="""", """", XLOOKUP(TRIM(C310), 'COTRATOS ALBUNS 25.2'!E:E, 'COTRATOS ALBUNS 25.2'!D:D, XLOOKUP(TRIM(C310), IMPORTRANGE(""16smdYggRVyzhu5y9HP2ayvW__ybkjb1nkVsCvZrByLM"", ""'COTRATOS 26.1'!B:B""), IMPORTRANGE(""16smdYggRVyzhu5y9HP2ayvW__ybkjb1nkVsC"&amp;"vZrByLM"", ""'COTRATOS 26.1'!A:A""), """")))"),94500.0)</f>
        <v>94500</v>
      </c>
      <c r="F310" s="41" t="s">
        <v>40</v>
      </c>
      <c r="G310" s="42" t="s">
        <v>154</v>
      </c>
      <c r="H310" s="43"/>
      <c r="I310" s="44" t="s">
        <v>672</v>
      </c>
      <c r="J310" s="7"/>
      <c r="K310" s="8" t="s">
        <v>6</v>
      </c>
      <c r="L310" s="45"/>
      <c r="M310" s="8" t="s">
        <v>8</v>
      </c>
      <c r="N310" s="47" t="b">
        <v>0</v>
      </c>
      <c r="O310" s="48">
        <f t="shared" si="1"/>
        <v>46256</v>
      </c>
      <c r="P310" s="49">
        <v>46266.0</v>
      </c>
      <c r="Q310" s="50"/>
      <c r="R310" s="51" t="str">
        <f t="shared" si="2"/>
        <v/>
      </c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</row>
    <row r="311">
      <c r="A311" s="67" t="b">
        <v>1</v>
      </c>
      <c r="B311" s="74">
        <v>46118.0</v>
      </c>
      <c r="C311" s="69" t="s">
        <v>673</v>
      </c>
      <c r="D311" s="70">
        <v>706.0</v>
      </c>
      <c r="E311" s="40">
        <f>IFERROR(__xludf.DUMMYFUNCTION("IF(C311="""", """", XLOOKUP(TRIM(C311), 'COTRATOS ALBUNS 25.2'!E:E, 'COTRATOS ALBUNS 25.2'!D:D, XLOOKUP(TRIM(C311), IMPORTRANGE(""16smdYggRVyzhu5y9HP2ayvW__ybkjb1nkVsCvZrByLM"", ""'COTRATOS 26.1'!B:B""), IMPORTRANGE(""16smdYggRVyzhu5y9HP2ayvW__ybkjb1nkVsC"&amp;"vZrByLM"", ""'COTRATOS 26.1'!A:A""), """")))"),86435.0)</f>
        <v>86435</v>
      </c>
      <c r="F311" s="71" t="s">
        <v>36</v>
      </c>
      <c r="G311" s="42" t="s">
        <v>37</v>
      </c>
      <c r="H311" s="43"/>
      <c r="I311" s="44" t="s">
        <v>674</v>
      </c>
      <c r="J311" s="5"/>
      <c r="K311" s="8" t="s">
        <v>6</v>
      </c>
      <c r="L311" s="5"/>
      <c r="M311" s="8" t="s">
        <v>8</v>
      </c>
      <c r="N311" s="63" t="b">
        <v>0</v>
      </c>
      <c r="O311" s="48">
        <f t="shared" si="1"/>
        <v>46135</v>
      </c>
      <c r="P311" s="49">
        <v>46238.0</v>
      </c>
      <c r="Q311" s="82"/>
      <c r="R311" s="51" t="str">
        <f t="shared" si="2"/>
        <v/>
      </c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</row>
    <row r="312">
      <c r="A312" s="36" t="b">
        <v>1</v>
      </c>
      <c r="B312" s="37">
        <v>46297.0</v>
      </c>
      <c r="C312" s="39" t="s">
        <v>675</v>
      </c>
      <c r="D312" s="39">
        <v>1172.0</v>
      </c>
      <c r="E312" s="40">
        <f>IFERROR(__xludf.DUMMYFUNCTION("IF(C312="""", """", XLOOKUP(TRIM(C312), 'COTRATOS ALBUNS 25.2'!E:E, 'COTRATOS ALBUNS 25.2'!D:D, XLOOKUP(TRIM(C312), IMPORTRANGE(""16smdYggRVyzhu5y9HP2ayvW__ybkjb1nkVsCvZrByLM"", ""'COTRATOS 26.1'!B:B""), IMPORTRANGE(""16smdYggRVyzhu5y9HP2ayvW__ybkjb1nkVsC"&amp;"vZrByLM"", ""'COTRATOS 26.1'!A:A""), """")))"),86882.0)</f>
        <v>86882</v>
      </c>
      <c r="F312" s="41" t="s">
        <v>66</v>
      </c>
      <c r="G312" s="42" t="s">
        <v>250</v>
      </c>
      <c r="H312" s="43"/>
      <c r="I312" s="44" t="s">
        <v>676</v>
      </c>
      <c r="J312" s="7"/>
      <c r="K312" s="8" t="s">
        <v>13</v>
      </c>
      <c r="L312" s="103" t="s">
        <v>101</v>
      </c>
      <c r="M312" s="46" t="s">
        <v>8</v>
      </c>
      <c r="N312" s="47" t="b">
        <v>0</v>
      </c>
      <c r="O312" s="48">
        <f t="shared" si="1"/>
        <v>46314</v>
      </c>
      <c r="P312" s="49">
        <v>46297.0</v>
      </c>
      <c r="Q312" s="93">
        <v>46254.0</v>
      </c>
      <c r="R312" s="76">
        <f t="shared" si="2"/>
        <v>46314</v>
      </c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</row>
    <row r="313">
      <c r="A313" s="36" t="b">
        <v>1</v>
      </c>
      <c r="B313" s="62">
        <v>46212.65652777778</v>
      </c>
      <c r="C313" s="38" t="s">
        <v>677</v>
      </c>
      <c r="D313" s="39">
        <v>1172.0</v>
      </c>
      <c r="E313" s="40">
        <f>IFERROR(__xludf.DUMMYFUNCTION("IF(C313="""", """", XLOOKUP(TRIM(C313), 'COTRATOS ALBUNS 25.2'!E:E, 'COTRATOS ALBUNS 25.2'!D:D, XLOOKUP(TRIM(C313), IMPORTRANGE(""16smdYggRVyzhu5y9HP2ayvW__ybkjb1nkVsCvZrByLM"", ""'COTRATOS 26.1'!B:B""), IMPORTRANGE(""16smdYggRVyzhu5y9HP2ayvW__ybkjb1nkVsC"&amp;"vZrByLM"", ""'COTRATOS 26.1'!A:A""), """")))"),86761.0)</f>
        <v>86761</v>
      </c>
      <c r="F313" s="41" t="s">
        <v>66</v>
      </c>
      <c r="G313" s="42" t="s">
        <v>41</v>
      </c>
      <c r="H313" s="43"/>
      <c r="I313" s="44" t="s">
        <v>678</v>
      </c>
      <c r="J313" s="7"/>
      <c r="K313" s="8" t="s">
        <v>13</v>
      </c>
      <c r="L313" s="8" t="s">
        <v>121</v>
      </c>
      <c r="M313" s="5"/>
      <c r="N313" s="63" t="b">
        <v>1</v>
      </c>
      <c r="O313" s="64">
        <f t="shared" si="1"/>
        <v>46229.65653</v>
      </c>
      <c r="P313" s="49">
        <v>46297.0</v>
      </c>
      <c r="Q313" s="85">
        <v>46213.0</v>
      </c>
      <c r="R313" s="86">
        <f t="shared" si="2"/>
        <v>46273</v>
      </c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</row>
    <row r="314">
      <c r="A314" s="53" t="b">
        <v>1</v>
      </c>
      <c r="B314" s="54">
        <v>46296.0</v>
      </c>
      <c r="C314" s="55" t="s">
        <v>679</v>
      </c>
      <c r="D314" s="56">
        <v>1179.0</v>
      </c>
      <c r="E314" s="40">
        <f>IFERROR(__xludf.DUMMYFUNCTION("IF(C314="""", """", XLOOKUP(TRIM(C314), 'COTRATOS ALBUNS 25.2'!E:E, 'COTRATOS ALBUNS 25.2'!D:D, XLOOKUP(TRIM(C314), IMPORTRANGE(""16smdYggRVyzhu5y9HP2ayvW__ybkjb1nkVsCvZrByLM"", ""'COTRATOS 26.1'!B:B""), IMPORTRANGE(""16smdYggRVyzhu5y9HP2ayvW__ybkjb1nkVsC"&amp;"vZrByLM"", ""'COTRATOS 26.1'!A:A""), """")))"),93346.0)</f>
        <v>93346</v>
      </c>
      <c r="F314" s="87" t="s">
        <v>56</v>
      </c>
      <c r="G314" s="42" t="s">
        <v>87</v>
      </c>
      <c r="H314" s="43"/>
      <c r="I314" s="58" t="s">
        <v>680</v>
      </c>
      <c r="J314" s="59"/>
      <c r="K314" s="53" t="s">
        <v>17</v>
      </c>
      <c r="L314" s="59"/>
      <c r="M314" s="59"/>
      <c r="N314" s="47" t="b">
        <v>0</v>
      </c>
      <c r="O314" s="48">
        <f t="shared" si="1"/>
        <v>46313</v>
      </c>
      <c r="P314" s="60"/>
      <c r="Q314" s="61"/>
      <c r="R314" s="51" t="str">
        <f t="shared" si="2"/>
        <v/>
      </c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</row>
    <row r="315">
      <c r="A315" s="36" t="b">
        <v>1</v>
      </c>
      <c r="B315" s="94">
        <v>46225.653090277774</v>
      </c>
      <c r="C315" s="38" t="s">
        <v>681</v>
      </c>
      <c r="D315" s="36">
        <v>1070.0</v>
      </c>
      <c r="E315" s="40">
        <f>IFERROR(__xludf.DUMMYFUNCTION("IF(C315="""", """", XLOOKUP(TRIM(C315), 'COTRATOS ALBUNS 25.2'!E:E, 'COTRATOS ALBUNS 25.2'!D:D, XLOOKUP(TRIM(C315), IMPORTRANGE(""16smdYggRVyzhu5y9HP2ayvW__ybkjb1nkVsCvZrByLM"", ""'COTRATOS 26.1'!B:B""), IMPORTRANGE(""16smdYggRVyzhu5y9HP2ayvW__ybkjb1nkVsC"&amp;"vZrByLM"", ""'COTRATOS 26.1'!A:A""), """")))"),88706.0)</f>
        <v>88706</v>
      </c>
      <c r="F315" s="41" t="s">
        <v>66</v>
      </c>
      <c r="G315" s="42" t="s">
        <v>41</v>
      </c>
      <c r="H315" s="43"/>
      <c r="I315" s="44" t="s">
        <v>682</v>
      </c>
      <c r="J315" s="5"/>
      <c r="K315" s="8" t="s">
        <v>13</v>
      </c>
      <c r="L315" s="103" t="s">
        <v>47</v>
      </c>
      <c r="M315" s="8" t="s">
        <v>8</v>
      </c>
      <c r="N315" s="63" t="b">
        <v>1</v>
      </c>
      <c r="O315" s="64">
        <f t="shared" si="1"/>
        <v>46242.65309</v>
      </c>
      <c r="P315" s="49">
        <v>46297.0</v>
      </c>
      <c r="Q315" s="85">
        <v>46224.0</v>
      </c>
      <c r="R315" s="86">
        <f t="shared" si="2"/>
        <v>46284</v>
      </c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</row>
    <row r="316">
      <c r="A316" s="36" t="b">
        <v>1</v>
      </c>
      <c r="B316" s="130">
        <v>46175.0</v>
      </c>
      <c r="C316" s="38" t="s">
        <v>683</v>
      </c>
      <c r="D316" s="36">
        <v>1084.0</v>
      </c>
      <c r="E316" s="40">
        <f>IFERROR(__xludf.DUMMYFUNCTION("IF(C316="""", """", XLOOKUP(TRIM(C316), 'COTRATOS ALBUNS 25.2'!E:E, 'COTRATOS ALBUNS 25.2'!D:D, XLOOKUP(TRIM(C316), IMPORTRANGE(""16smdYggRVyzhu5y9HP2ayvW__ybkjb1nkVsCvZrByLM"", ""'COTRATOS 26.1'!B:B""), IMPORTRANGE(""16smdYggRVyzhu5y9HP2ayvW__ybkjb1nkVsC"&amp;"vZrByLM"", ""'COTRATOS 26.1'!A:A""), """")))"),87420.0)</f>
        <v>87420</v>
      </c>
      <c r="F316" s="41" t="s">
        <v>36</v>
      </c>
      <c r="G316" s="42" t="s">
        <v>41</v>
      </c>
      <c r="H316" s="43"/>
      <c r="I316" s="44" t="s">
        <v>684</v>
      </c>
      <c r="J316" s="5"/>
      <c r="K316" s="8" t="s">
        <v>13</v>
      </c>
      <c r="L316" s="8" t="s">
        <v>93</v>
      </c>
      <c r="M316" s="8" t="s">
        <v>8</v>
      </c>
      <c r="N316" s="63" t="b">
        <v>1</v>
      </c>
      <c r="O316" s="52">
        <f t="shared" si="1"/>
        <v>46192</v>
      </c>
      <c r="P316" s="60"/>
      <c r="Q316" s="93">
        <v>46205.0</v>
      </c>
      <c r="R316" s="76">
        <f t="shared" si="2"/>
        <v>46265</v>
      </c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</row>
    <row r="317">
      <c r="A317" s="36" t="b">
        <v>1</v>
      </c>
      <c r="B317" s="37">
        <v>46297.0</v>
      </c>
      <c r="C317" s="38" t="s">
        <v>685</v>
      </c>
      <c r="D317" s="39">
        <v>968.0</v>
      </c>
      <c r="E317" s="40">
        <f>IFERROR(__xludf.DUMMYFUNCTION("IF(C317="""", """", XLOOKUP(TRIM(C317), 'COTRATOS ALBUNS 25.2'!E:E, 'COTRATOS ALBUNS 25.2'!D:D, XLOOKUP(TRIM(C317), IMPORTRANGE(""16smdYggRVyzhu5y9HP2ayvW__ybkjb1nkVsCvZrByLM"", ""'COTRATOS 26.1'!B:B""), IMPORTRANGE(""16smdYggRVyzhu5y9HP2ayvW__ybkjb1nkVsC"&amp;"vZrByLM"", ""'COTRATOS 26.1'!A:A""), """")))"),73805.0)</f>
        <v>73805</v>
      </c>
      <c r="F317" s="41" t="s">
        <v>36</v>
      </c>
      <c r="G317" s="42" t="s">
        <v>52</v>
      </c>
      <c r="H317" s="43"/>
      <c r="I317" s="44" t="s">
        <v>686</v>
      </c>
      <c r="J317" s="7"/>
      <c r="K317" s="8" t="s">
        <v>13</v>
      </c>
      <c r="L317" s="108" t="s">
        <v>78</v>
      </c>
      <c r="M317" s="8" t="s">
        <v>8</v>
      </c>
      <c r="N317" s="47" t="b">
        <v>0</v>
      </c>
      <c r="O317" s="48">
        <f t="shared" si="1"/>
        <v>46314</v>
      </c>
      <c r="P317" s="49">
        <v>46297.0</v>
      </c>
      <c r="Q317" s="93">
        <v>46261.0</v>
      </c>
      <c r="R317" s="76">
        <f t="shared" si="2"/>
        <v>46321</v>
      </c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</row>
    <row r="318">
      <c r="A318" s="56" t="b">
        <v>1</v>
      </c>
      <c r="B318" s="110">
        <v>46265.0</v>
      </c>
      <c r="C318" s="106" t="s">
        <v>687</v>
      </c>
      <c r="D318" s="38">
        <v>964.0</v>
      </c>
      <c r="E318" s="40">
        <f>IFERROR(__xludf.DUMMYFUNCTION("IF(C318="""", """", XLOOKUP(TRIM(C318), 'COTRATOS ALBUNS 25.2'!E:E, 'COTRATOS ALBUNS 25.2'!D:D, XLOOKUP(TRIM(C318), IMPORTRANGE(""16smdYggRVyzhu5y9HP2ayvW__ybkjb1nkVsCvZrByLM"", ""'COTRATOS 26.1'!B:B""), IMPORTRANGE(""16smdYggRVyzhu5y9HP2ayvW__ybkjb1nkVsC"&amp;"vZrByLM"", ""'COTRATOS 26.1'!A:A""), """")))"),87987.0)</f>
        <v>87987</v>
      </c>
      <c r="F318" s="57" t="s">
        <v>36</v>
      </c>
      <c r="G318" s="42" t="s">
        <v>52</v>
      </c>
      <c r="H318" s="43"/>
      <c r="I318" s="58" t="s">
        <v>688</v>
      </c>
      <c r="J318" s="59"/>
      <c r="K318" s="8" t="s">
        <v>6</v>
      </c>
      <c r="L318" s="59"/>
      <c r="M318" s="53" t="s">
        <v>8</v>
      </c>
      <c r="N318" s="47" t="b">
        <v>0</v>
      </c>
      <c r="O318" s="48">
        <f t="shared" si="1"/>
        <v>46282</v>
      </c>
      <c r="P318" s="49">
        <v>46294.0</v>
      </c>
      <c r="Q318" s="61"/>
      <c r="R318" s="51" t="str">
        <f t="shared" si="2"/>
        <v/>
      </c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</row>
    <row r="319">
      <c r="A319" s="36" t="b">
        <v>1</v>
      </c>
      <c r="B319" s="100">
        <v>46171.0</v>
      </c>
      <c r="C319" s="38" t="s">
        <v>689</v>
      </c>
      <c r="D319" s="36">
        <v>895.0</v>
      </c>
      <c r="E319" s="40">
        <f>IFERROR(__xludf.DUMMYFUNCTION("IF(C319="""", """", XLOOKUP(TRIM(C319), 'COTRATOS ALBUNS 25.2'!E:E, 'COTRATOS ALBUNS 25.2'!D:D, XLOOKUP(TRIM(C319), IMPORTRANGE(""16smdYggRVyzhu5y9HP2ayvW__ybkjb1nkVsCvZrByLM"", ""'COTRATOS 26.1'!B:B""), IMPORTRANGE(""16smdYggRVyzhu5y9HP2ayvW__ybkjb1nkVsC"&amp;"vZrByLM"", ""'COTRATOS 26.1'!A:A""), """")))"),84874.0)</f>
        <v>84874</v>
      </c>
      <c r="F319" s="41" t="s">
        <v>36</v>
      </c>
      <c r="G319" s="42" t="s">
        <v>41</v>
      </c>
      <c r="H319" s="43"/>
      <c r="I319" s="44" t="s">
        <v>690</v>
      </c>
      <c r="J319" s="5"/>
      <c r="K319" s="8" t="s">
        <v>6</v>
      </c>
      <c r="L319" s="8"/>
      <c r="M319" s="46" t="s">
        <v>8</v>
      </c>
      <c r="N319" s="47" t="b">
        <v>0</v>
      </c>
      <c r="O319" s="48">
        <f t="shared" si="1"/>
        <v>46188</v>
      </c>
      <c r="P319" s="49">
        <v>46205.0</v>
      </c>
      <c r="Q319" s="82"/>
      <c r="R319" s="51" t="str">
        <f t="shared" si="2"/>
        <v/>
      </c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</row>
    <row r="320">
      <c r="A320" s="36" t="b">
        <v>1</v>
      </c>
      <c r="B320" s="37">
        <v>46297.0</v>
      </c>
      <c r="C320" s="38" t="s">
        <v>691</v>
      </c>
      <c r="D320" s="36">
        <v>1172.0</v>
      </c>
      <c r="E320" s="40">
        <f>IFERROR(__xludf.DUMMYFUNCTION("IF(C320="""", """", XLOOKUP(TRIM(C320), 'COTRATOS ALBUNS 25.2'!E:E, 'COTRATOS ALBUNS 25.2'!D:D, XLOOKUP(TRIM(C320), IMPORTRANGE(""16smdYggRVyzhu5y9HP2ayvW__ybkjb1nkVsCvZrByLM"", ""'COTRATOS 26.1'!B:B""), IMPORTRANGE(""16smdYggRVyzhu5y9HP2ayvW__ybkjb1nkVsC"&amp;"vZrByLM"", ""'COTRATOS 26.1'!A:A""), """")))"),85330.0)</f>
        <v>85330</v>
      </c>
      <c r="F320" s="41" t="s">
        <v>66</v>
      </c>
      <c r="G320" s="42" t="s">
        <v>52</v>
      </c>
      <c r="H320" s="43"/>
      <c r="I320" s="44" t="s">
        <v>692</v>
      </c>
      <c r="J320" s="7"/>
      <c r="K320" s="8" t="s">
        <v>13</v>
      </c>
      <c r="L320" s="45" t="s">
        <v>78</v>
      </c>
      <c r="M320" s="46" t="s">
        <v>8</v>
      </c>
      <c r="N320" s="47" t="b">
        <v>0</v>
      </c>
      <c r="O320" s="48">
        <f t="shared" si="1"/>
        <v>46314</v>
      </c>
      <c r="P320" s="49">
        <v>46297.0</v>
      </c>
      <c r="Q320" s="50">
        <v>46245.0</v>
      </c>
      <c r="R320" s="86">
        <f t="shared" si="2"/>
        <v>46305</v>
      </c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</row>
    <row r="321">
      <c r="A321" s="36" t="b">
        <v>1</v>
      </c>
      <c r="B321" s="113">
        <v>46199.0</v>
      </c>
      <c r="C321" s="38" t="s">
        <v>693</v>
      </c>
      <c r="D321" s="39">
        <v>994.0</v>
      </c>
      <c r="E321" s="40">
        <f>IFERROR(__xludf.DUMMYFUNCTION("IF(C321="""", """", XLOOKUP(TRIM(C321), 'COTRATOS ALBUNS 25.2'!E:E, 'COTRATOS ALBUNS 25.2'!D:D, XLOOKUP(TRIM(C321), IMPORTRANGE(""16smdYggRVyzhu5y9HP2ayvW__ybkjb1nkVsCvZrByLM"", ""'COTRATOS 26.1'!B:B""), IMPORTRANGE(""16smdYggRVyzhu5y9HP2ayvW__ybkjb1nkVsC"&amp;"vZrByLM"", ""'COTRATOS 26.1'!A:A""), """")))"),88202.0)</f>
        <v>88202</v>
      </c>
      <c r="F321" s="41" t="s">
        <v>66</v>
      </c>
      <c r="G321" s="42" t="s">
        <v>63</v>
      </c>
      <c r="H321" s="43"/>
      <c r="I321" s="44" t="s">
        <v>694</v>
      </c>
      <c r="J321" s="7"/>
      <c r="K321" s="8" t="s">
        <v>13</v>
      </c>
      <c r="L321" s="8" t="s">
        <v>121</v>
      </c>
      <c r="M321" s="5"/>
      <c r="N321" s="63" t="b">
        <v>1</v>
      </c>
      <c r="O321" s="52">
        <f t="shared" si="1"/>
        <v>46216</v>
      </c>
      <c r="P321" s="60"/>
      <c r="Q321" s="85">
        <v>46216.0</v>
      </c>
      <c r="R321" s="86">
        <f t="shared" si="2"/>
        <v>46276</v>
      </c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</row>
    <row r="322">
      <c r="A322" s="36" t="b">
        <v>1</v>
      </c>
      <c r="B322" s="90">
        <v>46297.0</v>
      </c>
      <c r="C322" s="38" t="s">
        <v>695</v>
      </c>
      <c r="D322" s="39">
        <v>1172.0</v>
      </c>
      <c r="E322" s="40">
        <f>IFERROR(__xludf.DUMMYFUNCTION("IF(C322="""", """", XLOOKUP(TRIM(C322), 'COTRATOS ALBUNS 25.2'!E:E, 'COTRATOS ALBUNS 25.2'!D:D, XLOOKUP(TRIM(C322), IMPORTRANGE(""16smdYggRVyzhu5y9HP2ayvW__ybkjb1nkVsCvZrByLM"", ""'COTRATOS 26.1'!B:B""), IMPORTRANGE(""16smdYggRVyzhu5y9HP2ayvW__ybkjb1nkVsC"&amp;"vZrByLM"", ""'COTRATOS 26.1'!A:A""), """")))"),89337.0)</f>
        <v>89337</v>
      </c>
      <c r="F322" s="41" t="s">
        <v>66</v>
      </c>
      <c r="G322" s="42" t="s">
        <v>45</v>
      </c>
      <c r="H322" s="43"/>
      <c r="I322" s="44" t="s">
        <v>696</v>
      </c>
      <c r="J322" s="7"/>
      <c r="K322" s="8" t="s">
        <v>14</v>
      </c>
      <c r="L322" s="45" t="s">
        <v>89</v>
      </c>
      <c r="M322" s="46" t="s">
        <v>8</v>
      </c>
      <c r="N322" s="47" t="b">
        <v>0</v>
      </c>
      <c r="O322" s="48">
        <f t="shared" si="1"/>
        <v>46314</v>
      </c>
      <c r="P322" s="49">
        <v>46297.0</v>
      </c>
      <c r="Q322" s="50">
        <v>46245.0</v>
      </c>
      <c r="R322" s="86">
        <f t="shared" si="2"/>
        <v>46305</v>
      </c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</row>
    <row r="323">
      <c r="A323" s="53" t="b">
        <v>1</v>
      </c>
      <c r="B323" s="54">
        <v>46297.0</v>
      </c>
      <c r="C323" s="55" t="s">
        <v>697</v>
      </c>
      <c r="D323" s="38">
        <v>1172.0</v>
      </c>
      <c r="E323" s="40">
        <f>IFERROR(__xludf.DUMMYFUNCTION("IF(C323="""", """", XLOOKUP(TRIM(C323), 'COTRATOS ALBUNS 25.2'!E:E, 'COTRATOS ALBUNS 25.2'!D:D, XLOOKUP(TRIM(C323), IMPORTRANGE(""16smdYggRVyzhu5y9HP2ayvW__ybkjb1nkVsCvZrByLM"", ""'COTRATOS 26.1'!B:B""), IMPORTRANGE(""16smdYggRVyzhu5y9HP2ayvW__ybkjb1nkVsC"&amp;"vZrByLM"", ""'COTRATOS 26.1'!A:A""), """")))"),86978.0)</f>
        <v>86978</v>
      </c>
      <c r="F323" s="57" t="s">
        <v>36</v>
      </c>
      <c r="G323" s="42" t="s">
        <v>95</v>
      </c>
      <c r="H323" s="43"/>
      <c r="I323" s="58" t="s">
        <v>698</v>
      </c>
      <c r="J323" s="59"/>
      <c r="K323" s="8" t="s">
        <v>14</v>
      </c>
      <c r="L323" s="53" t="s">
        <v>132</v>
      </c>
      <c r="M323" s="53" t="s">
        <v>8</v>
      </c>
      <c r="N323" s="47" t="b">
        <v>0</v>
      </c>
      <c r="O323" s="48">
        <f t="shared" si="1"/>
        <v>46314</v>
      </c>
      <c r="P323" s="49">
        <v>46297.0</v>
      </c>
      <c r="Q323" s="61">
        <v>46282.0</v>
      </c>
      <c r="R323" s="76">
        <f t="shared" si="2"/>
        <v>46342</v>
      </c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</row>
    <row r="324">
      <c r="A324" s="67" t="b">
        <v>1</v>
      </c>
      <c r="B324" s="68">
        <v>46268.42628472223</v>
      </c>
      <c r="C324" s="69" t="s">
        <v>699</v>
      </c>
      <c r="D324" s="70">
        <v>752.0</v>
      </c>
      <c r="E324" s="40">
        <f>IFERROR(__xludf.DUMMYFUNCTION("IF(C324="""", """", XLOOKUP(TRIM(C324), 'COTRATOS ALBUNS 25.2'!E:E, 'COTRATOS ALBUNS 25.2'!D:D, XLOOKUP(TRIM(C324), IMPORTRANGE(""16smdYggRVyzhu5y9HP2ayvW__ybkjb1nkVsCvZrByLM"", ""'COTRATOS 26.1'!B:B""), IMPORTRANGE(""16smdYggRVyzhu5y9HP2ayvW__ybkjb1nkVsC"&amp;"vZrByLM"", ""'COTRATOS 26.1'!A:A""), """")))"),84995.0)</f>
        <v>84995</v>
      </c>
      <c r="F324" s="71" t="s">
        <v>36</v>
      </c>
      <c r="G324" s="42" t="s">
        <v>45</v>
      </c>
      <c r="H324" s="43"/>
      <c r="I324" s="44" t="s">
        <v>700</v>
      </c>
      <c r="J324" s="5"/>
      <c r="K324" s="8" t="s">
        <v>13</v>
      </c>
      <c r="L324" s="8" t="s">
        <v>54</v>
      </c>
      <c r="M324" s="8" t="s">
        <v>8</v>
      </c>
      <c r="N324" s="63" t="b">
        <v>1</v>
      </c>
      <c r="O324" s="64">
        <f t="shared" si="1"/>
        <v>46285.42628</v>
      </c>
      <c r="P324" s="49">
        <v>46297.0</v>
      </c>
      <c r="Q324" s="72">
        <f>B324</f>
        <v>46268.42628</v>
      </c>
      <c r="R324" s="73">
        <f t="shared" si="2"/>
        <v>46328.42628</v>
      </c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</row>
    <row r="325">
      <c r="A325" s="67" t="b">
        <v>1</v>
      </c>
      <c r="B325" s="68">
        <v>46212.89921296296</v>
      </c>
      <c r="C325" s="38" t="s">
        <v>701</v>
      </c>
      <c r="D325" s="36">
        <v>957.0</v>
      </c>
      <c r="E325" s="40">
        <f>IFERROR(__xludf.DUMMYFUNCTION("IF(C325="""", """", XLOOKUP(TRIM(C325), 'COTRATOS ALBUNS 25.2'!E:E, 'COTRATOS ALBUNS 25.2'!D:D, XLOOKUP(TRIM(C325), IMPORTRANGE(""16smdYggRVyzhu5y9HP2ayvW__ybkjb1nkVsCvZrByLM"", ""'COTRATOS 26.1'!B:B""), IMPORTRANGE(""16smdYggRVyzhu5y9HP2ayvW__ybkjb1nkVsC"&amp;"vZrByLM"", ""'COTRATOS 26.1'!A:A""), """")))"),59249.0)</f>
        <v>59249</v>
      </c>
      <c r="F325" s="41" t="s">
        <v>66</v>
      </c>
      <c r="G325" s="42" t="s">
        <v>45</v>
      </c>
      <c r="H325" s="43"/>
      <c r="I325" s="44" t="s">
        <v>702</v>
      </c>
      <c r="J325" s="5"/>
      <c r="K325" s="8" t="s">
        <v>13</v>
      </c>
      <c r="L325" s="8" t="s">
        <v>121</v>
      </c>
      <c r="M325" s="5"/>
      <c r="N325" s="63" t="b">
        <v>1</v>
      </c>
      <c r="O325" s="64">
        <f t="shared" si="1"/>
        <v>46229.89921</v>
      </c>
      <c r="P325" s="49">
        <v>46297.0</v>
      </c>
      <c r="Q325" s="85">
        <v>46213.0</v>
      </c>
      <c r="R325" s="86">
        <f t="shared" si="2"/>
        <v>46273</v>
      </c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</row>
    <row r="326">
      <c r="A326" s="67" t="b">
        <v>1</v>
      </c>
      <c r="B326" s="74">
        <v>46297.0</v>
      </c>
      <c r="C326" s="38" t="s">
        <v>703</v>
      </c>
      <c r="D326" s="36">
        <v>1172.0</v>
      </c>
      <c r="E326" s="40">
        <f>IFERROR(__xludf.DUMMYFUNCTION("IF(C326="""", """", XLOOKUP(TRIM(C326), 'COTRATOS ALBUNS 25.2'!E:E, 'COTRATOS ALBUNS 25.2'!D:D, XLOOKUP(TRIM(C326), IMPORTRANGE(""16smdYggRVyzhu5y9HP2ayvW__ybkjb1nkVsCvZrByLM"", ""'COTRATOS 26.1'!B:B""), IMPORTRANGE(""16smdYggRVyzhu5y9HP2ayvW__ybkjb1nkVsC"&amp;"vZrByLM"", ""'COTRATOS 26.1'!A:A""), """")))"),87121.0)</f>
        <v>87121</v>
      </c>
      <c r="F326" s="41" t="s">
        <v>66</v>
      </c>
      <c r="G326" s="42" t="s">
        <v>52</v>
      </c>
      <c r="H326" s="43"/>
      <c r="I326" s="44" t="s">
        <v>704</v>
      </c>
      <c r="J326" s="5"/>
      <c r="K326" s="8" t="s">
        <v>13</v>
      </c>
      <c r="L326" s="8" t="s">
        <v>101</v>
      </c>
      <c r="M326" s="46" t="s">
        <v>8</v>
      </c>
      <c r="N326" s="47" t="b">
        <v>0</v>
      </c>
      <c r="O326" s="48">
        <f t="shared" si="1"/>
        <v>46314</v>
      </c>
      <c r="P326" s="49">
        <v>46269.0</v>
      </c>
      <c r="Q326" s="50">
        <v>46247.0</v>
      </c>
      <c r="R326" s="86">
        <f t="shared" si="2"/>
        <v>46307</v>
      </c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</row>
    <row r="327">
      <c r="A327" s="67" t="b">
        <v>1</v>
      </c>
      <c r="B327" s="68">
        <v>46210.504432870366</v>
      </c>
      <c r="C327" s="38" t="s">
        <v>705</v>
      </c>
      <c r="D327" s="36">
        <v>1172.0</v>
      </c>
      <c r="E327" s="40">
        <f>IFERROR(__xludf.DUMMYFUNCTION("IF(C327="""", """", XLOOKUP(TRIM(C327), 'COTRATOS ALBUNS 25.2'!E:E, 'COTRATOS ALBUNS 25.2'!D:D, XLOOKUP(TRIM(C327), IMPORTRANGE(""16smdYggRVyzhu5y9HP2ayvW__ybkjb1nkVsCvZrByLM"", ""'COTRATOS 26.1'!B:B""), IMPORTRANGE(""16smdYggRVyzhu5y9HP2ayvW__ybkjb1nkVsC"&amp;"vZrByLM"", ""'COTRATOS 26.1'!A:A""), """")))"),88828.0)</f>
        <v>88828</v>
      </c>
      <c r="F327" s="41" t="s">
        <v>36</v>
      </c>
      <c r="G327" s="42" t="s">
        <v>37</v>
      </c>
      <c r="H327" s="43"/>
      <c r="I327" s="44" t="s">
        <v>706</v>
      </c>
      <c r="J327" s="5"/>
      <c r="K327" s="8" t="s">
        <v>13</v>
      </c>
      <c r="L327" s="8" t="s">
        <v>121</v>
      </c>
      <c r="M327" s="5"/>
      <c r="N327" s="63" t="b">
        <v>1</v>
      </c>
      <c r="O327" s="64">
        <f t="shared" si="1"/>
        <v>46227.50443</v>
      </c>
      <c r="P327" s="49">
        <v>46297.0</v>
      </c>
      <c r="Q327" s="85">
        <v>46211.0</v>
      </c>
      <c r="R327" s="86">
        <f t="shared" si="2"/>
        <v>46271</v>
      </c>
      <c r="S327" s="7"/>
      <c r="T327" s="7"/>
      <c r="U327" s="7"/>
      <c r="V327" s="7"/>
      <c r="W327" s="7"/>
      <c r="X327" s="7"/>
      <c r="Y327" s="7"/>
      <c r="Z327" s="7"/>
      <c r="AA327" s="141">
        <v>46288.50143769676</v>
      </c>
      <c r="AB327" s="7"/>
      <c r="AC327" s="7"/>
      <c r="AD327" s="7"/>
      <c r="AE327" s="7"/>
      <c r="AF327" s="7"/>
      <c r="AG327" s="7"/>
    </row>
    <row r="328">
      <c r="A328" s="67" t="b">
        <v>1</v>
      </c>
      <c r="B328" s="68">
        <v>46268.42591435185</v>
      </c>
      <c r="C328" s="38" t="s">
        <v>707</v>
      </c>
      <c r="D328" s="36">
        <v>994.0</v>
      </c>
      <c r="E328" s="40">
        <f>IFERROR(__xludf.DUMMYFUNCTION("IF(C328="""", """", XLOOKUP(TRIM(C328), 'COTRATOS ALBUNS 25.2'!E:E, 'COTRATOS ALBUNS 25.2'!D:D, XLOOKUP(TRIM(C328), IMPORTRANGE(""16smdYggRVyzhu5y9HP2ayvW__ybkjb1nkVsCvZrByLM"", ""'COTRATOS 26.1'!B:B""), IMPORTRANGE(""16smdYggRVyzhu5y9HP2ayvW__ybkjb1nkVsC"&amp;"vZrByLM"", ""'COTRATOS 26.1'!A:A""), """")))"),87467.0)</f>
        <v>87467</v>
      </c>
      <c r="F328" s="41" t="s">
        <v>36</v>
      </c>
      <c r="G328" s="42" t="s">
        <v>63</v>
      </c>
      <c r="H328" s="43"/>
      <c r="I328" s="44" t="s">
        <v>708</v>
      </c>
      <c r="J328" s="5"/>
      <c r="K328" s="8" t="s">
        <v>13</v>
      </c>
      <c r="L328" s="8" t="s">
        <v>93</v>
      </c>
      <c r="M328" s="8" t="s">
        <v>8</v>
      </c>
      <c r="N328" s="63" t="b">
        <v>1</v>
      </c>
      <c r="O328" s="64">
        <f t="shared" si="1"/>
        <v>46285.42591</v>
      </c>
      <c r="P328" s="49">
        <v>46297.0</v>
      </c>
      <c r="Q328" s="65">
        <v>46196.0</v>
      </c>
      <c r="R328" s="66">
        <f t="shared" si="2"/>
        <v>46256</v>
      </c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</row>
    <row r="329">
      <c r="A329" s="115" t="b">
        <v>1</v>
      </c>
      <c r="B329" s="154">
        <v>46253.0</v>
      </c>
      <c r="C329" s="147" t="s">
        <v>709</v>
      </c>
      <c r="D329" s="148">
        <v>971.0</v>
      </c>
      <c r="E329" s="40">
        <f>IFERROR(__xludf.DUMMYFUNCTION("IF(C329="""", """", XLOOKUP(TRIM(C329), 'COTRATOS ALBUNS 25.2'!E:E, 'COTRATOS ALBUNS 25.2'!D:D, XLOOKUP(TRIM(C329), IMPORTRANGE(""16smdYggRVyzhu5y9HP2ayvW__ybkjb1nkVsCvZrByLM"", ""'COTRATOS 26.1'!B:B""), IMPORTRANGE(""16smdYggRVyzhu5y9HP2ayvW__ybkjb1nkVsC"&amp;"vZrByLM"", ""'COTRATOS 26.1'!A:A""), """")))"),88587.0)</f>
        <v>88587</v>
      </c>
      <c r="F329" s="87" t="s">
        <v>74</v>
      </c>
      <c r="G329" s="42" t="s">
        <v>274</v>
      </c>
      <c r="H329" s="43"/>
      <c r="I329" s="119" t="s">
        <v>710</v>
      </c>
      <c r="J329" s="120"/>
      <c r="K329" s="8" t="s">
        <v>6</v>
      </c>
      <c r="L329" s="121"/>
      <c r="M329" s="53" t="s">
        <v>8</v>
      </c>
      <c r="N329" s="122" t="b">
        <v>0</v>
      </c>
      <c r="O329" s="127">
        <f t="shared" si="1"/>
        <v>46270</v>
      </c>
      <c r="P329" s="123">
        <v>46309.0</v>
      </c>
      <c r="Q329" s="124"/>
      <c r="R329" s="51" t="str">
        <f t="shared" si="2"/>
        <v/>
      </c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</row>
    <row r="330">
      <c r="A330" s="67" t="b">
        <v>1</v>
      </c>
      <c r="B330" s="68">
        <v>46230.40203703704</v>
      </c>
      <c r="C330" s="38" t="s">
        <v>711</v>
      </c>
      <c r="D330" s="36">
        <v>957.0</v>
      </c>
      <c r="E330" s="40">
        <f>IFERROR(__xludf.DUMMYFUNCTION("IF(C330="""", """", XLOOKUP(TRIM(C330), 'COTRATOS ALBUNS 25.2'!E:E, 'COTRATOS ALBUNS 25.2'!D:D, XLOOKUP(TRIM(C330), IMPORTRANGE(""16smdYggRVyzhu5y9HP2ayvW__ybkjb1nkVsCvZrByLM"", ""'COTRATOS 26.1'!B:B""), IMPORTRANGE(""16smdYggRVyzhu5y9HP2ayvW__ybkjb1nkVsC"&amp;"vZrByLM"", ""'COTRATOS 26.1'!A:A""), """")))"),80692.0)</f>
        <v>80692</v>
      </c>
      <c r="F330" s="41" t="s">
        <v>36</v>
      </c>
      <c r="G330" s="42" t="s">
        <v>45</v>
      </c>
      <c r="H330" s="43"/>
      <c r="I330" s="44" t="s">
        <v>712</v>
      </c>
      <c r="J330" s="5"/>
      <c r="K330" s="8" t="s">
        <v>13</v>
      </c>
      <c r="L330" s="8" t="s">
        <v>193</v>
      </c>
      <c r="M330" s="8" t="s">
        <v>8</v>
      </c>
      <c r="N330" s="63" t="b">
        <v>1</v>
      </c>
      <c r="O330" s="64">
        <f t="shared" si="1"/>
        <v>46247.40204</v>
      </c>
      <c r="P330" s="49">
        <v>46297.0</v>
      </c>
      <c r="Q330" s="50">
        <v>46230.0</v>
      </c>
      <c r="R330" s="86">
        <f t="shared" si="2"/>
        <v>46290</v>
      </c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</row>
    <row r="331">
      <c r="A331" s="36" t="b">
        <v>1</v>
      </c>
      <c r="B331" s="37">
        <v>46297.0</v>
      </c>
      <c r="C331" s="38" t="s">
        <v>713</v>
      </c>
      <c r="D331" s="39">
        <v>1103.0</v>
      </c>
      <c r="E331" s="40">
        <f>IFERROR(__xludf.DUMMYFUNCTION("IF(C331="""", """", XLOOKUP(TRIM(C331), 'COTRATOS ALBUNS 25.2'!E:E, 'COTRATOS ALBUNS 25.2'!D:D, XLOOKUP(TRIM(C331), IMPORTRANGE(""16smdYggRVyzhu5y9HP2ayvW__ybkjb1nkVsCvZrByLM"", ""'COTRATOS 26.1'!B:B""), IMPORTRANGE(""16smdYggRVyzhu5y9HP2ayvW__ybkjb1nkVsC"&amp;"vZrByLM"", ""'COTRATOS 26.1'!A:A""), """")))"),89989.0)</f>
        <v>89989</v>
      </c>
      <c r="F331" s="41" t="s">
        <v>66</v>
      </c>
      <c r="G331" s="42" t="s">
        <v>45</v>
      </c>
      <c r="H331" s="43"/>
      <c r="I331" s="44" t="s">
        <v>714</v>
      </c>
      <c r="J331" s="7"/>
      <c r="K331" s="53" t="s">
        <v>14</v>
      </c>
      <c r="L331" s="45" t="s">
        <v>156</v>
      </c>
      <c r="M331" s="46" t="s">
        <v>8</v>
      </c>
      <c r="N331" s="47" t="b">
        <v>0</v>
      </c>
      <c r="O331" s="48">
        <f t="shared" si="1"/>
        <v>46314</v>
      </c>
      <c r="P331" s="49">
        <v>46265.0</v>
      </c>
      <c r="Q331" s="50">
        <v>46244.0</v>
      </c>
      <c r="R331" s="86">
        <f t="shared" si="2"/>
        <v>46304</v>
      </c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</row>
    <row r="332">
      <c r="A332" s="56" t="b">
        <v>1</v>
      </c>
      <c r="B332" s="77">
        <v>46243.0</v>
      </c>
      <c r="C332" s="98" t="s">
        <v>715</v>
      </c>
      <c r="D332" s="56">
        <v>1179.0</v>
      </c>
      <c r="E332" s="40">
        <f>IFERROR(__xludf.DUMMYFUNCTION("IF(C332="""", """", XLOOKUP(TRIM(C332), 'COTRATOS ALBUNS 25.2'!E:E, 'COTRATOS ALBUNS 25.2'!D:D, XLOOKUP(TRIM(C332), IMPORTRANGE(""16smdYggRVyzhu5y9HP2ayvW__ybkjb1nkVsCvZrByLM"", ""'COTRATOS 26.1'!B:B""), IMPORTRANGE(""16smdYggRVyzhu5y9HP2ayvW__ybkjb1nkVsC"&amp;"vZrByLM"", ""'COTRATOS 26.1'!A:A""), """")))"),95457.0)</f>
        <v>95457</v>
      </c>
      <c r="F332" s="57" t="s">
        <v>44</v>
      </c>
      <c r="G332" s="42" t="s">
        <v>57</v>
      </c>
      <c r="H332" s="43"/>
      <c r="I332" s="58" t="s">
        <v>716</v>
      </c>
      <c r="J332" s="59"/>
      <c r="K332" s="8" t="s">
        <v>144</v>
      </c>
      <c r="L332" s="45"/>
      <c r="M332" s="53" t="s">
        <v>8</v>
      </c>
      <c r="N332" s="47" t="b">
        <v>0</v>
      </c>
      <c r="O332" s="48">
        <f t="shared" si="1"/>
        <v>46260</v>
      </c>
      <c r="P332" s="49">
        <v>46269.0</v>
      </c>
      <c r="Q332" s="61">
        <v>46312.0</v>
      </c>
      <c r="R332" s="76">
        <f t="shared" si="2"/>
        <v>46372</v>
      </c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</row>
    <row r="333">
      <c r="A333" s="53" t="b">
        <v>1</v>
      </c>
      <c r="B333" s="54">
        <v>46300.0</v>
      </c>
      <c r="C333" s="55" t="s">
        <v>717</v>
      </c>
      <c r="D333" s="56">
        <v>1172.0</v>
      </c>
      <c r="E333" s="40">
        <f>IFERROR(__xludf.DUMMYFUNCTION("IF(C333="""", """", XLOOKUP(TRIM(C333), 'COTRATOS ALBUNS 25.2'!E:E, 'COTRATOS ALBUNS 25.2'!D:D, XLOOKUP(TRIM(C333), IMPORTRANGE(""16smdYggRVyzhu5y9HP2ayvW__ybkjb1nkVsCvZrByLM"", ""'COTRATOS 26.1'!B:B""), IMPORTRANGE(""16smdYggRVyzhu5y9HP2ayvW__ybkjb1nkVsC"&amp;"vZrByLM"", ""'COTRATOS 26.1'!A:A""), """")))"),87699.0)</f>
        <v>87699</v>
      </c>
      <c r="F333" s="57" t="s">
        <v>36</v>
      </c>
      <c r="G333" s="42" t="s">
        <v>117</v>
      </c>
      <c r="H333" s="43"/>
      <c r="I333" s="58" t="s">
        <v>718</v>
      </c>
      <c r="J333" s="59"/>
      <c r="K333" s="53" t="s">
        <v>14</v>
      </c>
      <c r="L333" s="53" t="s">
        <v>156</v>
      </c>
      <c r="M333" s="8" t="s">
        <v>8</v>
      </c>
      <c r="N333" s="47" t="b">
        <v>0</v>
      </c>
      <c r="O333" s="48">
        <f t="shared" si="1"/>
        <v>46317</v>
      </c>
      <c r="P333" s="60"/>
      <c r="Q333" s="61">
        <v>46300.0</v>
      </c>
      <c r="R333" s="76">
        <f t="shared" si="2"/>
        <v>46360</v>
      </c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</row>
    <row r="334">
      <c r="A334" s="36" t="b">
        <v>1</v>
      </c>
      <c r="B334" s="37">
        <v>46295.0</v>
      </c>
      <c r="C334" s="38" t="s">
        <v>719</v>
      </c>
      <c r="D334" s="39">
        <v>957.0</v>
      </c>
      <c r="E334" s="40">
        <f>IFERROR(__xludf.DUMMYFUNCTION("IF(C334="""", """", XLOOKUP(TRIM(C334), 'COTRATOS ALBUNS 25.2'!E:E, 'COTRATOS ALBUNS 25.2'!D:D, XLOOKUP(TRIM(C334), IMPORTRANGE(""16smdYggRVyzhu5y9HP2ayvW__ybkjb1nkVsCvZrByLM"", ""'COTRATOS 26.1'!B:B""), IMPORTRANGE(""16smdYggRVyzhu5y9HP2ayvW__ybkjb1nkVsC"&amp;"vZrByLM"", ""'COTRATOS 26.1'!A:A""), """")))"),75589.0)</f>
        <v>75589</v>
      </c>
      <c r="F334" s="41" t="s">
        <v>36</v>
      </c>
      <c r="G334" s="42" t="s">
        <v>71</v>
      </c>
      <c r="H334" s="43"/>
      <c r="I334" s="44" t="s">
        <v>720</v>
      </c>
      <c r="J334" s="7"/>
      <c r="K334" s="8" t="s">
        <v>6</v>
      </c>
      <c r="L334" s="8"/>
      <c r="M334" s="46" t="s">
        <v>8</v>
      </c>
      <c r="N334" s="47" t="b">
        <v>0</v>
      </c>
      <c r="O334" s="48">
        <f t="shared" si="1"/>
        <v>46312</v>
      </c>
      <c r="P334" s="49">
        <v>46297.0</v>
      </c>
      <c r="Q334" s="93"/>
      <c r="R334" s="51" t="str">
        <f t="shared" si="2"/>
        <v/>
      </c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</row>
    <row r="335">
      <c r="A335" s="36" t="b">
        <v>1</v>
      </c>
      <c r="B335" s="94">
        <v>46220.553564814814</v>
      </c>
      <c r="C335" s="38" t="s">
        <v>721</v>
      </c>
      <c r="D335" s="36">
        <v>988.0</v>
      </c>
      <c r="E335" s="40">
        <f>IFERROR(__xludf.DUMMYFUNCTION("IF(C335="""", """", XLOOKUP(TRIM(C335), 'COTRATOS ALBUNS 25.2'!E:E, 'COTRATOS ALBUNS 25.2'!D:D, XLOOKUP(TRIM(C335), IMPORTRANGE(""16smdYggRVyzhu5y9HP2ayvW__ybkjb1nkVsCvZrByLM"", ""'COTRATOS 26.1'!B:B""), IMPORTRANGE(""16smdYggRVyzhu5y9HP2ayvW__ybkjb1nkVsC"&amp;"vZrByLM"", ""'COTRATOS 26.1'!A:A""), """")))"),77867.0)</f>
        <v>77867</v>
      </c>
      <c r="F335" s="41" t="s">
        <v>36</v>
      </c>
      <c r="G335" s="42" t="s">
        <v>41</v>
      </c>
      <c r="H335" s="43"/>
      <c r="I335" s="44" t="s">
        <v>722</v>
      </c>
      <c r="J335" s="5"/>
      <c r="K335" s="8" t="s">
        <v>13</v>
      </c>
      <c r="L335" s="8" t="s">
        <v>47</v>
      </c>
      <c r="M335" s="8" t="s">
        <v>8</v>
      </c>
      <c r="N335" s="63" t="b">
        <v>1</v>
      </c>
      <c r="O335" s="64">
        <f t="shared" si="1"/>
        <v>46237.55356</v>
      </c>
      <c r="P335" s="49">
        <v>46297.0</v>
      </c>
      <c r="Q335" s="85">
        <v>46224.0</v>
      </c>
      <c r="R335" s="86">
        <f t="shared" si="2"/>
        <v>46284</v>
      </c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</row>
    <row r="336">
      <c r="A336" s="67" t="b">
        <v>1</v>
      </c>
      <c r="B336" s="68">
        <v>46221.930856481486</v>
      </c>
      <c r="C336" s="38" t="s">
        <v>723</v>
      </c>
      <c r="D336" s="36">
        <v>1172.0</v>
      </c>
      <c r="E336" s="40">
        <f>IFERROR(__xludf.DUMMYFUNCTION("IF(C336="""", """", XLOOKUP(TRIM(C336), 'COTRATOS ALBUNS 25.2'!E:E, 'COTRATOS ALBUNS 25.2'!D:D, XLOOKUP(TRIM(C336), IMPORTRANGE(""16smdYggRVyzhu5y9HP2ayvW__ybkjb1nkVsCvZrByLM"", ""'COTRATOS 26.1'!B:B""), IMPORTRANGE(""16smdYggRVyzhu5y9HP2ayvW__ybkjb1nkVsC"&amp;"vZrByLM"", ""'COTRATOS 26.1'!A:A""), """")))"),85707.0)</f>
        <v>85707</v>
      </c>
      <c r="F336" s="41" t="s">
        <v>36</v>
      </c>
      <c r="G336" s="42" t="s">
        <v>52</v>
      </c>
      <c r="H336" s="43"/>
      <c r="I336" s="44" t="s">
        <v>724</v>
      </c>
      <c r="J336" s="5"/>
      <c r="K336" s="8" t="s">
        <v>13</v>
      </c>
      <c r="L336" s="8" t="s">
        <v>47</v>
      </c>
      <c r="M336" s="5"/>
      <c r="N336" s="63" t="b">
        <v>1</v>
      </c>
      <c r="O336" s="64">
        <f t="shared" si="1"/>
        <v>46238.93086</v>
      </c>
      <c r="P336" s="49">
        <v>46297.0</v>
      </c>
      <c r="Q336" s="85">
        <v>46224.0</v>
      </c>
      <c r="R336" s="86">
        <f t="shared" si="2"/>
        <v>46284</v>
      </c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</row>
    <row r="337">
      <c r="A337" s="36" t="b">
        <v>1</v>
      </c>
      <c r="B337" s="62">
        <v>46246.63763888889</v>
      </c>
      <c r="C337" s="98" t="s">
        <v>725</v>
      </c>
      <c r="D337" s="79">
        <v>953.0</v>
      </c>
      <c r="E337" s="40">
        <f>IFERROR(__xludf.DUMMYFUNCTION("IF(C337="""", """", XLOOKUP(TRIM(C337), 'COTRATOS ALBUNS 25.2'!E:E, 'COTRATOS ALBUNS 25.2'!D:D, XLOOKUP(TRIM(C337), IMPORTRANGE(""16smdYggRVyzhu5y9HP2ayvW__ybkjb1nkVsCvZrByLM"", ""'COTRATOS 26.1'!B:B""), IMPORTRANGE(""16smdYggRVyzhu5y9HP2ayvW__ybkjb1nkVsC"&amp;"vZrByLM"", ""'COTRATOS 26.1'!A:A""), """")))"),83881.0)</f>
        <v>83881</v>
      </c>
      <c r="F337" s="41" t="s">
        <v>36</v>
      </c>
      <c r="G337" s="42" t="s">
        <v>87</v>
      </c>
      <c r="H337" s="43"/>
      <c r="I337" s="44" t="s">
        <v>726</v>
      </c>
      <c r="J337" s="7"/>
      <c r="K337" s="8" t="s">
        <v>13</v>
      </c>
      <c r="L337" s="108" t="s">
        <v>218</v>
      </c>
      <c r="M337" s="8" t="s">
        <v>8</v>
      </c>
      <c r="N337" s="63" t="b">
        <v>1</v>
      </c>
      <c r="O337" s="64">
        <f t="shared" si="1"/>
        <v>46263.63764</v>
      </c>
      <c r="P337" s="49">
        <v>46297.0</v>
      </c>
      <c r="Q337" s="50">
        <v>46246.0</v>
      </c>
      <c r="R337" s="86">
        <f t="shared" si="2"/>
        <v>46306</v>
      </c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</row>
    <row r="338">
      <c r="A338" s="36" t="b">
        <v>1</v>
      </c>
      <c r="B338" s="94">
        <v>46230.87945601852</v>
      </c>
      <c r="C338" s="38" t="s">
        <v>727</v>
      </c>
      <c r="D338" s="36">
        <v>968.0</v>
      </c>
      <c r="E338" s="40">
        <f>IFERROR(__xludf.DUMMYFUNCTION("IF(C338="""", """", XLOOKUP(TRIM(C338), 'COTRATOS ALBUNS 25.2'!E:E, 'COTRATOS ALBUNS 25.2'!D:D, XLOOKUP(TRIM(C338), IMPORTRANGE(""16smdYggRVyzhu5y9HP2ayvW__ybkjb1nkVsCvZrByLM"", ""'COTRATOS 26.1'!B:B""), IMPORTRANGE(""16smdYggRVyzhu5y9HP2ayvW__ybkjb1nkVsC"&amp;"vZrByLM"", ""'COTRATOS 26.1'!A:A""), """")))"),88299.0)</f>
        <v>88299</v>
      </c>
      <c r="F338" s="41" t="s">
        <v>66</v>
      </c>
      <c r="G338" s="42" t="s">
        <v>214</v>
      </c>
      <c r="H338" s="43"/>
      <c r="I338" s="44" t="s">
        <v>728</v>
      </c>
      <c r="J338" s="5"/>
      <c r="K338" s="8" t="s">
        <v>13</v>
      </c>
      <c r="L338" s="103" t="s">
        <v>193</v>
      </c>
      <c r="M338" s="8" t="s">
        <v>8</v>
      </c>
      <c r="N338" s="63" t="b">
        <v>1</v>
      </c>
      <c r="O338" s="64">
        <f t="shared" si="1"/>
        <v>46247.87946</v>
      </c>
      <c r="P338" s="49">
        <v>46297.0</v>
      </c>
      <c r="Q338" s="50">
        <v>46238.0</v>
      </c>
      <c r="R338" s="86">
        <f t="shared" si="2"/>
        <v>46298</v>
      </c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</row>
    <row r="339">
      <c r="A339" s="36" t="b">
        <v>1</v>
      </c>
      <c r="B339" s="62">
        <v>46245.55857638889</v>
      </c>
      <c r="C339" s="38" t="s">
        <v>729</v>
      </c>
      <c r="D339" s="39">
        <v>968.0</v>
      </c>
      <c r="E339" s="40">
        <f>IFERROR(__xludf.DUMMYFUNCTION("IF(C339="""", """", XLOOKUP(TRIM(C339), 'COTRATOS ALBUNS 25.2'!E:E, 'COTRATOS ALBUNS 25.2'!D:D, XLOOKUP(TRIM(C339), IMPORTRANGE(""16smdYggRVyzhu5y9HP2ayvW__ybkjb1nkVsCvZrByLM"", ""'COTRATOS 26.1'!B:B""), IMPORTRANGE(""16smdYggRVyzhu5y9HP2ayvW__ybkjb1nkVsC"&amp;"vZrByLM"", ""'COTRATOS 26.1'!A:A""), """")))"),87623.0)</f>
        <v>87623</v>
      </c>
      <c r="F339" s="41" t="s">
        <v>36</v>
      </c>
      <c r="G339" s="42" t="s">
        <v>168</v>
      </c>
      <c r="H339" s="43"/>
      <c r="I339" s="44" t="s">
        <v>730</v>
      </c>
      <c r="J339" s="7"/>
      <c r="K339" s="8" t="s">
        <v>13</v>
      </c>
      <c r="L339" s="8" t="s">
        <v>218</v>
      </c>
      <c r="M339" s="46" t="s">
        <v>8</v>
      </c>
      <c r="N339" s="63" t="b">
        <v>1</v>
      </c>
      <c r="O339" s="64">
        <f t="shared" si="1"/>
        <v>46262.55858</v>
      </c>
      <c r="P339" s="49">
        <v>46297.0</v>
      </c>
      <c r="Q339" s="50">
        <v>46246.0</v>
      </c>
      <c r="R339" s="86">
        <f t="shared" si="2"/>
        <v>46306</v>
      </c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</row>
    <row r="340">
      <c r="A340" s="36" t="b">
        <v>1</v>
      </c>
      <c r="B340" s="94">
        <v>46236.66804398148</v>
      </c>
      <c r="C340" s="38" t="s">
        <v>731</v>
      </c>
      <c r="D340" s="36">
        <v>1177.0</v>
      </c>
      <c r="E340" s="40">
        <f>IFERROR(__xludf.DUMMYFUNCTION("IF(C340="""", """", XLOOKUP(TRIM(C340), 'COTRATOS ALBUNS 25.2'!E:E, 'COTRATOS ALBUNS 25.2'!D:D, XLOOKUP(TRIM(C340), IMPORTRANGE(""16smdYggRVyzhu5y9HP2ayvW__ybkjb1nkVsCvZrByLM"", ""'COTRATOS 26.1'!B:B""), IMPORTRANGE(""16smdYggRVyzhu5y9HP2ayvW__ybkjb1nkVsC"&amp;"vZrByLM"", ""'COTRATOS 26.1'!A:A""), """")))"),88359.0)</f>
        <v>88359</v>
      </c>
      <c r="F340" s="41" t="s">
        <v>66</v>
      </c>
      <c r="G340" s="42" t="s">
        <v>134</v>
      </c>
      <c r="H340" s="43"/>
      <c r="I340" s="44" t="s">
        <v>732</v>
      </c>
      <c r="J340" s="5"/>
      <c r="K340" s="8" t="s">
        <v>13</v>
      </c>
      <c r="L340" s="103" t="s">
        <v>193</v>
      </c>
      <c r="M340" s="8" t="s">
        <v>8</v>
      </c>
      <c r="N340" s="63" t="b">
        <v>1</v>
      </c>
      <c r="O340" s="64">
        <f t="shared" si="1"/>
        <v>46253.66804</v>
      </c>
      <c r="P340" s="49">
        <v>46297.0</v>
      </c>
      <c r="Q340" s="85">
        <v>46238.0</v>
      </c>
      <c r="R340" s="86">
        <f t="shared" si="2"/>
        <v>46298</v>
      </c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</row>
    <row r="341">
      <c r="A341" s="56" t="b">
        <v>1</v>
      </c>
      <c r="B341" s="77">
        <v>46255.0</v>
      </c>
      <c r="C341" s="98" t="s">
        <v>733</v>
      </c>
      <c r="D341" s="38">
        <v>1172.0</v>
      </c>
      <c r="E341" s="40">
        <f>IFERROR(__xludf.DUMMYFUNCTION("IF(C341="""", """", XLOOKUP(TRIM(C341), 'COTRATOS ALBUNS 25.2'!E:E, 'COTRATOS ALBUNS 25.2'!D:D, XLOOKUP(TRIM(C341), IMPORTRANGE(""16smdYggRVyzhu5y9HP2ayvW__ybkjb1nkVsCvZrByLM"", ""'COTRATOS 26.1'!B:B""), IMPORTRANGE(""16smdYggRVyzhu5y9HP2ayvW__ybkjb1nkVsC"&amp;"vZrByLM"", ""'COTRATOS 26.1'!A:A""), """")))"),86518.0)</f>
        <v>86518</v>
      </c>
      <c r="F341" s="57" t="s">
        <v>66</v>
      </c>
      <c r="G341" s="42" t="s">
        <v>41</v>
      </c>
      <c r="H341" s="43"/>
      <c r="I341" s="58" t="s">
        <v>734</v>
      </c>
      <c r="J341" s="59"/>
      <c r="K341" s="8" t="s">
        <v>6</v>
      </c>
      <c r="L341" s="59"/>
      <c r="M341" s="53" t="s">
        <v>8</v>
      </c>
      <c r="N341" s="47" t="b">
        <v>0</v>
      </c>
      <c r="O341" s="48">
        <f t="shared" si="1"/>
        <v>46272</v>
      </c>
      <c r="P341" s="49">
        <v>46300.0</v>
      </c>
      <c r="Q341" s="61"/>
      <c r="R341" s="51" t="str">
        <f t="shared" si="2"/>
        <v/>
      </c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</row>
    <row r="342">
      <c r="A342" s="36" t="b">
        <v>1</v>
      </c>
      <c r="B342" s="37">
        <v>46299.0</v>
      </c>
      <c r="C342" s="38" t="s">
        <v>735</v>
      </c>
      <c r="D342" s="39">
        <v>970.0</v>
      </c>
      <c r="E342" s="40">
        <f>IFERROR(__xludf.DUMMYFUNCTION("IF(C342="""", """", XLOOKUP(TRIM(C342), 'COTRATOS ALBUNS 25.2'!E:E, 'COTRATOS ALBUNS 25.2'!D:D, XLOOKUP(TRIM(C342), IMPORTRANGE(""16smdYggRVyzhu5y9HP2ayvW__ybkjb1nkVsCvZrByLM"", ""'COTRATOS 26.1'!B:B""), IMPORTRANGE(""16smdYggRVyzhu5y9HP2ayvW__ybkjb1nkVsC"&amp;"vZrByLM"", ""'COTRATOS 26.1'!A:A""), """")))"),94369.0)</f>
        <v>94369</v>
      </c>
      <c r="F342" s="41" t="s">
        <v>40</v>
      </c>
      <c r="G342" s="42" t="s">
        <v>168</v>
      </c>
      <c r="H342" s="43"/>
      <c r="I342" s="44" t="s">
        <v>736</v>
      </c>
      <c r="J342" s="7"/>
      <c r="K342" s="53" t="s">
        <v>14</v>
      </c>
      <c r="L342" s="8" t="s">
        <v>156</v>
      </c>
      <c r="M342" s="8" t="s">
        <v>8</v>
      </c>
      <c r="N342" s="47" t="b">
        <v>0</v>
      </c>
      <c r="O342" s="48">
        <f t="shared" si="1"/>
        <v>46316</v>
      </c>
      <c r="P342" s="49">
        <v>46294.0</v>
      </c>
      <c r="Q342" s="93">
        <v>46299.0</v>
      </c>
      <c r="R342" s="76">
        <f t="shared" si="2"/>
        <v>46359</v>
      </c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</row>
    <row r="343">
      <c r="A343" s="67" t="b">
        <v>1</v>
      </c>
      <c r="B343" s="74">
        <v>46268.42547453704</v>
      </c>
      <c r="C343" s="69" t="s">
        <v>737</v>
      </c>
      <c r="D343" s="70">
        <v>968.0</v>
      </c>
      <c r="E343" s="40">
        <f>IFERROR(__xludf.DUMMYFUNCTION("IF(C343="""", """", XLOOKUP(TRIM(C343), 'COTRATOS ALBUNS 25.2'!E:E, 'COTRATOS ALBUNS 25.2'!D:D, XLOOKUP(TRIM(C343), IMPORTRANGE(""16smdYggRVyzhu5y9HP2ayvW__ybkjb1nkVsCvZrByLM"", ""'COTRATOS 26.1'!B:B""), IMPORTRANGE(""16smdYggRVyzhu5y9HP2ayvW__ybkjb1nkVsC"&amp;"vZrByLM"", ""'COTRATOS 26.1'!A:A""), """")))"),84378.0)</f>
        <v>84378</v>
      </c>
      <c r="F343" s="71" t="s">
        <v>36</v>
      </c>
      <c r="G343" s="42" t="s">
        <v>57</v>
      </c>
      <c r="H343" s="43"/>
      <c r="I343" s="44" t="s">
        <v>738</v>
      </c>
      <c r="J343" s="5"/>
      <c r="K343" s="8" t="s">
        <v>13</v>
      </c>
      <c r="L343" s="8" t="s">
        <v>108</v>
      </c>
      <c r="M343" s="8" t="s">
        <v>8</v>
      </c>
      <c r="N343" s="63" t="b">
        <v>1</v>
      </c>
      <c r="O343" s="48">
        <f t="shared" si="1"/>
        <v>46285.42547</v>
      </c>
      <c r="P343" s="49">
        <v>46247.65788194444</v>
      </c>
      <c r="Q343" s="75">
        <f>B343</f>
        <v>46268.42547</v>
      </c>
      <c r="R343" s="76">
        <f t="shared" si="2"/>
        <v>46328.42547</v>
      </c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</row>
    <row r="344">
      <c r="A344" s="67" t="b">
        <v>1</v>
      </c>
      <c r="B344" s="68">
        <v>46216.56505787037</v>
      </c>
      <c r="C344" s="38" t="s">
        <v>739</v>
      </c>
      <c r="D344" s="36">
        <v>1172.0</v>
      </c>
      <c r="E344" s="40">
        <f>IFERROR(__xludf.DUMMYFUNCTION("IF(C344="""", """", XLOOKUP(TRIM(C344), 'COTRATOS ALBUNS 25.2'!E:E, 'COTRATOS ALBUNS 25.2'!D:D, XLOOKUP(TRIM(C344), IMPORTRANGE(""16smdYggRVyzhu5y9HP2ayvW__ybkjb1nkVsCvZrByLM"", ""'COTRATOS 26.1'!B:B""), IMPORTRANGE(""16smdYggRVyzhu5y9HP2ayvW__ybkjb1nkVsC"&amp;"vZrByLM"", ""'COTRATOS 26.1'!A:A""), """")))"),85312.0)</f>
        <v>85312</v>
      </c>
      <c r="F344" s="41" t="s">
        <v>36</v>
      </c>
      <c r="G344" s="42" t="s">
        <v>52</v>
      </c>
      <c r="H344" s="43"/>
      <c r="I344" s="44" t="s">
        <v>740</v>
      </c>
      <c r="J344" s="5"/>
      <c r="K344" s="8" t="s">
        <v>13</v>
      </c>
      <c r="L344" s="8" t="s">
        <v>121</v>
      </c>
      <c r="M344" s="5"/>
      <c r="N344" s="63" t="b">
        <v>1</v>
      </c>
      <c r="O344" s="64">
        <f t="shared" si="1"/>
        <v>46233.56506</v>
      </c>
      <c r="P344" s="49">
        <v>46297.0</v>
      </c>
      <c r="Q344" s="85">
        <v>46216.0</v>
      </c>
      <c r="R344" s="86">
        <f t="shared" si="2"/>
        <v>46276</v>
      </c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</row>
    <row r="345">
      <c r="A345" s="67" t="b">
        <v>1</v>
      </c>
      <c r="B345" s="74">
        <v>46297.0</v>
      </c>
      <c r="C345" s="69" t="s">
        <v>741</v>
      </c>
      <c r="D345" s="70">
        <v>1084.0</v>
      </c>
      <c r="E345" s="40">
        <f>IFERROR(__xludf.DUMMYFUNCTION("IF(C345="""", """", XLOOKUP(TRIM(C345), 'COTRATOS ALBUNS 25.2'!E:E, 'COTRATOS ALBUNS 25.2'!D:D, XLOOKUP(TRIM(C345), IMPORTRANGE(""16smdYggRVyzhu5y9HP2ayvW__ybkjb1nkVsCvZrByLM"", ""'COTRATOS 26.1'!B:B""), IMPORTRANGE(""16smdYggRVyzhu5y9HP2ayvW__ybkjb1nkVsC"&amp;"vZrByLM"", ""'COTRATOS 26.1'!A:A""), """")))"),86768.0)</f>
        <v>86768</v>
      </c>
      <c r="F345" s="71" t="s">
        <v>36</v>
      </c>
      <c r="G345" s="42" t="s">
        <v>52</v>
      </c>
      <c r="H345" s="43"/>
      <c r="I345" s="44" t="s">
        <v>742</v>
      </c>
      <c r="J345" s="5"/>
      <c r="K345" s="8" t="s">
        <v>13</v>
      </c>
      <c r="L345" s="8" t="s">
        <v>78</v>
      </c>
      <c r="M345" s="8" t="s">
        <v>8</v>
      </c>
      <c r="N345" s="47" t="b">
        <v>0</v>
      </c>
      <c r="O345" s="48">
        <f t="shared" si="1"/>
        <v>46314</v>
      </c>
      <c r="P345" s="49">
        <v>46297.0</v>
      </c>
      <c r="Q345" s="93">
        <v>46266.0</v>
      </c>
      <c r="R345" s="76">
        <f t="shared" si="2"/>
        <v>46326</v>
      </c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</row>
    <row r="346">
      <c r="A346" s="56" t="b">
        <v>1</v>
      </c>
      <c r="B346" s="54">
        <v>46301.0</v>
      </c>
      <c r="C346" s="106" t="s">
        <v>743</v>
      </c>
      <c r="D346" s="56">
        <v>752.0</v>
      </c>
      <c r="E346" s="40">
        <f>IFERROR(__xludf.DUMMYFUNCTION("IF(C346="""", """", XLOOKUP(TRIM(C346), 'COTRATOS ALBUNS 25.2'!E:E, 'COTRATOS ALBUNS 25.2'!D:D, XLOOKUP(TRIM(C346), IMPORTRANGE(""16smdYggRVyzhu5y9HP2ayvW__ybkjb1nkVsCvZrByLM"", ""'COTRATOS 26.1'!B:B""), IMPORTRANGE(""16smdYggRVyzhu5y9HP2ayvW__ybkjb1nkVsC"&amp;"vZrByLM"", ""'COTRATOS 26.1'!A:A""), """")))"),88419.0)</f>
        <v>88419</v>
      </c>
      <c r="F346" s="57" t="s">
        <v>36</v>
      </c>
      <c r="G346" s="42" t="s">
        <v>91</v>
      </c>
      <c r="H346" s="43"/>
      <c r="I346" s="58" t="s">
        <v>744</v>
      </c>
      <c r="J346" s="59"/>
      <c r="K346" s="53" t="s">
        <v>14</v>
      </c>
      <c r="L346" s="53" t="s">
        <v>156</v>
      </c>
      <c r="M346" s="8" t="s">
        <v>8</v>
      </c>
      <c r="N346" s="47" t="b">
        <v>0</v>
      </c>
      <c r="O346" s="48">
        <f t="shared" si="1"/>
        <v>46318</v>
      </c>
      <c r="P346" s="49">
        <v>46300.0</v>
      </c>
      <c r="Q346" s="61">
        <v>46301.0</v>
      </c>
      <c r="R346" s="76">
        <f t="shared" si="2"/>
        <v>46361</v>
      </c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</row>
    <row r="347">
      <c r="A347" s="36" t="b">
        <v>1</v>
      </c>
      <c r="B347" s="37">
        <v>46297.0</v>
      </c>
      <c r="C347" s="38" t="s">
        <v>745</v>
      </c>
      <c r="D347" s="39">
        <v>968.0</v>
      </c>
      <c r="E347" s="40">
        <f>IFERROR(__xludf.DUMMYFUNCTION("IF(C347="""", """", XLOOKUP(TRIM(C347), 'COTRATOS ALBUNS 25.2'!E:E, 'COTRATOS ALBUNS 25.2'!D:D, XLOOKUP(TRIM(C347), IMPORTRANGE(""16smdYggRVyzhu5y9HP2ayvW__ybkjb1nkVsCvZrByLM"", ""'COTRATOS 26.1'!B:B""), IMPORTRANGE(""16smdYggRVyzhu5y9HP2ayvW__ybkjb1nkVsC"&amp;"vZrByLM"", ""'COTRATOS 26.1'!A:A""), """")))"),78465.0)</f>
        <v>78465</v>
      </c>
      <c r="F347" s="41" t="s">
        <v>36</v>
      </c>
      <c r="G347" s="42" t="s">
        <v>63</v>
      </c>
      <c r="H347" s="43"/>
      <c r="I347" s="44" t="s">
        <v>746</v>
      </c>
      <c r="J347" s="7"/>
      <c r="K347" s="8" t="s">
        <v>13</v>
      </c>
      <c r="L347" s="103" t="s">
        <v>101</v>
      </c>
      <c r="M347" s="46" t="s">
        <v>8</v>
      </c>
      <c r="N347" s="47" t="b">
        <v>0</v>
      </c>
      <c r="O347" s="48">
        <f t="shared" si="1"/>
        <v>46314</v>
      </c>
      <c r="P347" s="49">
        <v>46297.0</v>
      </c>
      <c r="Q347" s="93">
        <v>46251.0</v>
      </c>
      <c r="R347" s="76">
        <f t="shared" si="2"/>
        <v>46311</v>
      </c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</row>
    <row r="348">
      <c r="A348" s="67" t="b">
        <v>1</v>
      </c>
      <c r="B348" s="74">
        <v>46146.0</v>
      </c>
      <c r="C348" s="38" t="s">
        <v>747</v>
      </c>
      <c r="D348" s="36">
        <v>824.0</v>
      </c>
      <c r="E348" s="40">
        <f>IFERROR(__xludf.DUMMYFUNCTION("IF(C348="""", """", XLOOKUP(TRIM(C348), 'COTRATOS ALBUNS 25.2'!E:E, 'COTRATOS ALBUNS 25.2'!D:D, XLOOKUP(TRIM(C348), IMPORTRANGE(""16smdYggRVyzhu5y9HP2ayvW__ybkjb1nkVsCvZrByLM"", ""'COTRATOS 26.1'!B:B""), IMPORTRANGE(""16smdYggRVyzhu5y9HP2ayvW__ybkjb1nkVsC"&amp;"vZrByLM"", ""'COTRATOS 26.1'!A:A""), """")))"),85793.0)</f>
        <v>85793</v>
      </c>
      <c r="F348" s="41" t="s">
        <v>36</v>
      </c>
      <c r="G348" s="42" t="s">
        <v>154</v>
      </c>
      <c r="H348" s="43"/>
      <c r="I348" s="44" t="s">
        <v>748</v>
      </c>
      <c r="J348" s="5"/>
      <c r="K348" s="8" t="s">
        <v>6</v>
      </c>
      <c r="L348" s="5"/>
      <c r="M348" s="46" t="s">
        <v>8</v>
      </c>
      <c r="N348" s="47" t="b">
        <v>0</v>
      </c>
      <c r="O348" s="48">
        <f t="shared" si="1"/>
        <v>46163</v>
      </c>
      <c r="P348" s="49">
        <v>46297.0</v>
      </c>
      <c r="Q348" s="82"/>
      <c r="R348" s="51" t="str">
        <f t="shared" si="2"/>
        <v/>
      </c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</row>
    <row r="349">
      <c r="A349" s="36" t="b">
        <v>1</v>
      </c>
      <c r="B349" s="100">
        <v>46165.0</v>
      </c>
      <c r="C349" s="38" t="s">
        <v>749</v>
      </c>
      <c r="D349" s="36">
        <v>968.0</v>
      </c>
      <c r="E349" s="40">
        <f>IFERROR(__xludf.DUMMYFUNCTION("IF(C349="""", """", XLOOKUP(TRIM(C349), 'COTRATOS ALBUNS 25.2'!E:E, 'COTRATOS ALBUNS 25.2'!D:D, XLOOKUP(TRIM(C349), IMPORTRANGE(""16smdYggRVyzhu5y9HP2ayvW__ybkjb1nkVsCvZrByLM"", ""'COTRATOS 26.1'!B:B""), IMPORTRANGE(""16smdYggRVyzhu5y9HP2ayvW__ybkjb1nkVsC"&amp;"vZrByLM"", ""'COTRATOS 26.1'!A:A""), """")))"),89060.0)</f>
        <v>89060</v>
      </c>
      <c r="F349" s="41" t="s">
        <v>40</v>
      </c>
      <c r="G349" s="42" t="s">
        <v>57</v>
      </c>
      <c r="H349" s="43"/>
      <c r="I349" s="44" t="s">
        <v>750</v>
      </c>
      <c r="J349" s="5"/>
      <c r="K349" s="8" t="s">
        <v>6</v>
      </c>
      <c r="L349" s="8"/>
      <c r="M349" s="46" t="s">
        <v>8</v>
      </c>
      <c r="N349" s="47" t="b">
        <v>0</v>
      </c>
      <c r="O349" s="48">
        <f t="shared" si="1"/>
        <v>46182</v>
      </c>
      <c r="P349" s="49">
        <v>46224.0</v>
      </c>
      <c r="Q349" s="82"/>
      <c r="R349" s="51" t="str">
        <f t="shared" si="2"/>
        <v/>
      </c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</row>
    <row r="350">
      <c r="A350" s="36" t="b">
        <v>1</v>
      </c>
      <c r="B350" s="37">
        <v>46297.0</v>
      </c>
      <c r="C350" s="38" t="s">
        <v>751</v>
      </c>
      <c r="D350" s="39">
        <v>1103.0</v>
      </c>
      <c r="E350" s="40">
        <f>IFERROR(__xludf.DUMMYFUNCTION("IF(C350="""", """", XLOOKUP(TRIM(C350), 'COTRATOS ALBUNS 25.2'!E:E, 'COTRATOS ALBUNS 25.2'!D:D, XLOOKUP(TRIM(C350), IMPORTRANGE(""16smdYggRVyzhu5y9HP2ayvW__ybkjb1nkVsCvZrByLM"", ""'COTRATOS 26.1'!B:B""), IMPORTRANGE(""16smdYggRVyzhu5y9HP2ayvW__ybkjb1nkVsC"&amp;"vZrByLM"", ""'COTRATOS 26.1'!A:A""), """")))"),77820.0)</f>
        <v>77820</v>
      </c>
      <c r="F350" s="41" t="s">
        <v>66</v>
      </c>
      <c r="G350" s="42" t="s">
        <v>45</v>
      </c>
      <c r="H350" s="43"/>
      <c r="I350" s="44" t="s">
        <v>752</v>
      </c>
      <c r="J350" s="7"/>
      <c r="K350" s="8" t="s">
        <v>13</v>
      </c>
      <c r="L350" s="8" t="s">
        <v>101</v>
      </c>
      <c r="M350" s="8" t="s">
        <v>8</v>
      </c>
      <c r="N350" s="47" t="b">
        <v>0</v>
      </c>
      <c r="O350" s="48">
        <f t="shared" si="1"/>
        <v>46314</v>
      </c>
      <c r="P350" s="49">
        <v>46297.0</v>
      </c>
      <c r="Q350" s="93">
        <v>46254.0</v>
      </c>
      <c r="R350" s="76">
        <f t="shared" si="2"/>
        <v>46314</v>
      </c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</row>
    <row r="351">
      <c r="A351" s="67" t="b">
        <v>1</v>
      </c>
      <c r="B351" s="68">
        <v>46268.42609953704</v>
      </c>
      <c r="C351" s="38" t="s">
        <v>753</v>
      </c>
      <c r="D351" s="36">
        <v>971.0</v>
      </c>
      <c r="E351" s="40">
        <f>IFERROR(__xludf.DUMMYFUNCTION("IF(C351="""", """", XLOOKUP(TRIM(C351), 'COTRATOS ALBUNS 25.2'!E:E, 'COTRATOS ALBUNS 25.2'!D:D, XLOOKUP(TRIM(C351), IMPORTRANGE(""16smdYggRVyzhu5y9HP2ayvW__ybkjb1nkVsCvZrByLM"", ""'COTRATOS 26.1'!B:B""), IMPORTRANGE(""16smdYggRVyzhu5y9HP2ayvW__ybkjb1nkVsC"&amp;"vZrByLM"", ""'COTRATOS 26.1'!A:A""), """")))"),84947.0)</f>
        <v>84947</v>
      </c>
      <c r="F351" s="41" t="s">
        <v>74</v>
      </c>
      <c r="G351" s="42" t="s">
        <v>754</v>
      </c>
      <c r="H351" s="43"/>
      <c r="I351" s="44" t="s">
        <v>755</v>
      </c>
      <c r="J351" s="5"/>
      <c r="K351" s="8" t="s">
        <v>13</v>
      </c>
      <c r="L351" s="8" t="s">
        <v>50</v>
      </c>
      <c r="M351" s="8" t="s">
        <v>8</v>
      </c>
      <c r="N351" s="63" t="b">
        <v>1</v>
      </c>
      <c r="O351" s="64">
        <f t="shared" si="1"/>
        <v>46285.4261</v>
      </c>
      <c r="P351" s="49">
        <v>46297.0</v>
      </c>
      <c r="Q351" s="72">
        <f>B351</f>
        <v>46268.4261</v>
      </c>
      <c r="R351" s="73">
        <f t="shared" si="2"/>
        <v>46328.4261</v>
      </c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</row>
    <row r="352">
      <c r="A352" s="53" t="b">
        <v>1</v>
      </c>
      <c r="B352" s="54">
        <v>46301.0</v>
      </c>
      <c r="C352" s="55" t="s">
        <v>756</v>
      </c>
      <c r="D352" s="56">
        <v>1172.0</v>
      </c>
      <c r="E352" s="40">
        <f>IFERROR(__xludf.DUMMYFUNCTION("IF(C352="""", """", XLOOKUP(TRIM(C352), 'COTRATOS ALBUNS 25.2'!E:E, 'COTRATOS ALBUNS 25.2'!D:D, XLOOKUP(TRIM(C352), IMPORTRANGE(""16smdYggRVyzhu5y9HP2ayvW__ybkjb1nkVsCvZrByLM"", ""'COTRATOS 26.1'!B:B""), IMPORTRANGE(""16smdYggRVyzhu5y9HP2ayvW__ybkjb1nkVsC"&amp;"vZrByLM"", ""'COTRATOS 26.1'!A:A""), """")))"),85261.0)</f>
        <v>85261</v>
      </c>
      <c r="F352" s="57" t="s">
        <v>36</v>
      </c>
      <c r="G352" s="42" t="s">
        <v>37</v>
      </c>
      <c r="H352" s="43"/>
      <c r="I352" s="58" t="s">
        <v>757</v>
      </c>
      <c r="J352" s="59"/>
      <c r="K352" s="53" t="s">
        <v>14</v>
      </c>
      <c r="L352" s="53" t="s">
        <v>156</v>
      </c>
      <c r="M352" s="8" t="s">
        <v>8</v>
      </c>
      <c r="N352" s="47" t="b">
        <v>0</v>
      </c>
      <c r="O352" s="48">
        <f t="shared" si="1"/>
        <v>46318</v>
      </c>
      <c r="P352" s="49">
        <v>46300.0</v>
      </c>
      <c r="Q352" s="61">
        <v>46301.0</v>
      </c>
      <c r="R352" s="76">
        <f t="shared" si="2"/>
        <v>46361</v>
      </c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</row>
    <row r="353">
      <c r="A353" s="53" t="b">
        <v>1</v>
      </c>
      <c r="B353" s="54">
        <v>46298.0</v>
      </c>
      <c r="C353" s="55" t="s">
        <v>758</v>
      </c>
      <c r="D353" s="56">
        <v>972.0</v>
      </c>
      <c r="E353" s="40">
        <f>IFERROR(__xludf.DUMMYFUNCTION("IF(C353="""", """", XLOOKUP(TRIM(C353), 'COTRATOS ALBUNS 25.2'!E:E, 'COTRATOS ALBUNS 25.2'!D:D, XLOOKUP(TRIM(C353), IMPORTRANGE(""16smdYggRVyzhu5y9HP2ayvW__ybkjb1nkVsCvZrByLM"", ""'COTRATOS 26.1'!B:B""), IMPORTRANGE(""16smdYggRVyzhu5y9HP2ayvW__ybkjb1nkVsC"&amp;"vZrByLM"", ""'COTRATOS 26.1'!A:A""), """")))"),95120.0)</f>
        <v>95120</v>
      </c>
      <c r="F353" s="87" t="s">
        <v>40</v>
      </c>
      <c r="G353" s="42" t="s">
        <v>214</v>
      </c>
      <c r="H353" s="43"/>
      <c r="I353" s="58" t="s">
        <v>759</v>
      </c>
      <c r="J353" s="59"/>
      <c r="K353" s="53" t="s">
        <v>10</v>
      </c>
      <c r="L353" s="59"/>
      <c r="M353" s="59"/>
      <c r="N353" s="47" t="b">
        <v>0</v>
      </c>
      <c r="O353" s="48">
        <f t="shared" si="1"/>
        <v>46315</v>
      </c>
      <c r="P353" s="60"/>
      <c r="Q353" s="61"/>
      <c r="R353" s="51" t="str">
        <f t="shared" si="2"/>
        <v/>
      </c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</row>
    <row r="354">
      <c r="A354" s="53" t="b">
        <v>1</v>
      </c>
      <c r="B354" s="54">
        <v>46276.0</v>
      </c>
      <c r="C354" s="55" t="s">
        <v>760</v>
      </c>
      <c r="D354" s="56">
        <v>1172.0</v>
      </c>
      <c r="E354" s="40">
        <f>IFERROR(__xludf.DUMMYFUNCTION("IF(C354="""", """", XLOOKUP(TRIM(C354), 'COTRATOS ALBUNS 25.2'!E:E, 'COTRATOS ALBUNS 25.2'!D:D, XLOOKUP(TRIM(C354), IMPORTRANGE(""16smdYggRVyzhu5y9HP2ayvW__ybkjb1nkVsCvZrByLM"", ""'COTRATOS 26.1'!B:B""), IMPORTRANGE(""16smdYggRVyzhu5y9HP2ayvW__ybkjb1nkVsC"&amp;"vZrByLM"", ""'COTRATOS 26.1'!A:A""), """")))"),87029.0)</f>
        <v>87029</v>
      </c>
      <c r="F354" s="57" t="s">
        <v>66</v>
      </c>
      <c r="G354" s="42" t="s">
        <v>45</v>
      </c>
      <c r="H354" s="43"/>
      <c r="I354" s="58" t="s">
        <v>761</v>
      </c>
      <c r="J354" s="59"/>
      <c r="K354" s="8" t="s">
        <v>6</v>
      </c>
      <c r="L354" s="59"/>
      <c r="M354" s="53" t="s">
        <v>8</v>
      </c>
      <c r="N354" s="47" t="b">
        <v>0</v>
      </c>
      <c r="O354" s="48">
        <f t="shared" si="1"/>
        <v>46293</v>
      </c>
      <c r="P354" s="49">
        <v>46309.0</v>
      </c>
      <c r="Q354" s="61"/>
      <c r="R354" s="51" t="str">
        <f t="shared" si="2"/>
        <v/>
      </c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</row>
    <row r="355">
      <c r="A355" s="53" t="b">
        <v>1</v>
      </c>
      <c r="B355" s="54">
        <v>46280.0</v>
      </c>
      <c r="C355" s="83" t="s">
        <v>762</v>
      </c>
      <c r="D355" s="84">
        <v>1172.0</v>
      </c>
      <c r="E355" s="40">
        <f>IFERROR(__xludf.DUMMYFUNCTION("IF(C355="""", """", XLOOKUP(TRIM(C355), 'COTRATOS ALBUNS 25.2'!E:E, 'COTRATOS ALBUNS 25.2'!D:D, XLOOKUP(TRIM(C355), IMPORTRANGE(""16smdYggRVyzhu5y9HP2ayvW__ybkjb1nkVsCvZrByLM"", ""'COTRATOS 26.1'!B:B""), IMPORTRANGE(""16smdYggRVyzhu5y9HP2ayvW__ybkjb1nkVsC"&amp;"vZrByLM"", ""'COTRATOS 26.1'!A:A""), """")))"),86344.0)</f>
        <v>86344</v>
      </c>
      <c r="F355" s="109" t="s">
        <v>36</v>
      </c>
      <c r="G355" s="42" t="s">
        <v>123</v>
      </c>
      <c r="H355" s="43"/>
      <c r="I355" s="58" t="s">
        <v>763</v>
      </c>
      <c r="J355" s="59"/>
      <c r="K355" s="8" t="s">
        <v>6</v>
      </c>
      <c r="L355" s="59"/>
      <c r="M355" s="53" t="s">
        <v>8</v>
      </c>
      <c r="N355" s="47" t="b">
        <v>0</v>
      </c>
      <c r="O355" s="48">
        <f t="shared" si="1"/>
        <v>46297</v>
      </c>
      <c r="P355" s="49">
        <v>46309.0</v>
      </c>
      <c r="Q355" s="61"/>
      <c r="R355" s="51" t="str">
        <f t="shared" si="2"/>
        <v/>
      </c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</row>
    <row r="356">
      <c r="A356" s="56" t="b">
        <v>1</v>
      </c>
      <c r="B356" s="77">
        <v>46297.0</v>
      </c>
      <c r="C356" s="98" t="s">
        <v>764</v>
      </c>
      <c r="D356" s="56">
        <v>970.0</v>
      </c>
      <c r="E356" s="40">
        <f>IFERROR(__xludf.DUMMYFUNCTION("IF(C356="""", """", XLOOKUP(TRIM(C356), 'COTRATOS ALBUNS 25.2'!E:E, 'COTRATOS ALBUNS 25.2'!D:D, XLOOKUP(TRIM(C356), IMPORTRANGE(""16smdYggRVyzhu5y9HP2ayvW__ybkjb1nkVsCvZrByLM"", ""'COTRATOS 26.1'!B:B""), IMPORTRANGE(""16smdYggRVyzhu5y9HP2ayvW__ybkjb1nkVsC"&amp;"vZrByLM"", ""'COTRATOS 26.1'!A:A""), """")))"),94413.0)</f>
        <v>94413</v>
      </c>
      <c r="F356" s="57" t="s">
        <v>56</v>
      </c>
      <c r="G356" s="42" t="s">
        <v>52</v>
      </c>
      <c r="H356" s="43"/>
      <c r="I356" s="58" t="s">
        <v>765</v>
      </c>
      <c r="J356" s="59"/>
      <c r="K356" s="8" t="s">
        <v>14</v>
      </c>
      <c r="L356" s="8" t="s">
        <v>89</v>
      </c>
      <c r="M356" s="53" t="s">
        <v>8</v>
      </c>
      <c r="N356" s="47" t="b">
        <v>0</v>
      </c>
      <c r="O356" s="48">
        <f t="shared" si="1"/>
        <v>46314</v>
      </c>
      <c r="P356" s="49">
        <v>46297.0</v>
      </c>
      <c r="Q356" s="61">
        <v>46289.0</v>
      </c>
      <c r="R356" s="76">
        <f t="shared" si="2"/>
        <v>46349</v>
      </c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</row>
    <row r="357">
      <c r="A357" s="53" t="b">
        <v>1</v>
      </c>
      <c r="B357" s="54">
        <v>46297.0</v>
      </c>
      <c r="C357" s="55" t="s">
        <v>766</v>
      </c>
      <c r="D357" s="38">
        <v>1172.0</v>
      </c>
      <c r="E357" s="40">
        <f>IFERROR(__xludf.DUMMYFUNCTION("IF(C357="""", """", XLOOKUP(TRIM(C357), 'COTRATOS ALBUNS 25.2'!E:E, 'COTRATOS ALBUNS 25.2'!D:D, XLOOKUP(TRIM(C357), IMPORTRANGE(""16smdYggRVyzhu5y9HP2ayvW__ybkjb1nkVsCvZrByLM"", ""'COTRATOS 26.1'!B:B""), IMPORTRANGE(""16smdYggRVyzhu5y9HP2ayvW__ybkjb1nkVsC"&amp;"vZrByLM"", ""'COTRATOS 26.1'!A:A""), """")))"),86616.0)</f>
        <v>86616</v>
      </c>
      <c r="F357" s="57" t="s">
        <v>36</v>
      </c>
      <c r="G357" s="42" t="s">
        <v>91</v>
      </c>
      <c r="H357" s="43"/>
      <c r="I357" s="58" t="s">
        <v>767</v>
      </c>
      <c r="J357" s="59"/>
      <c r="K357" s="8" t="s">
        <v>14</v>
      </c>
      <c r="L357" s="8" t="s">
        <v>89</v>
      </c>
      <c r="M357" s="53" t="s">
        <v>8</v>
      </c>
      <c r="N357" s="47" t="b">
        <v>0</v>
      </c>
      <c r="O357" s="48">
        <f t="shared" si="1"/>
        <v>46314</v>
      </c>
      <c r="P357" s="49">
        <v>46297.0</v>
      </c>
      <c r="Q357" s="61">
        <v>46290.0</v>
      </c>
      <c r="R357" s="76">
        <f t="shared" si="2"/>
        <v>46350</v>
      </c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</row>
    <row r="358">
      <c r="A358" s="56" t="b">
        <v>1</v>
      </c>
      <c r="B358" s="97">
        <v>46297.0</v>
      </c>
      <c r="C358" s="98" t="s">
        <v>768</v>
      </c>
      <c r="D358" s="56">
        <v>994.0</v>
      </c>
      <c r="E358" s="40">
        <f>IFERROR(__xludf.DUMMYFUNCTION("IF(C358="""", """", XLOOKUP(TRIM(C358), 'COTRATOS ALBUNS 25.2'!E:E, 'COTRATOS ALBUNS 25.2'!D:D, XLOOKUP(TRIM(C358), IMPORTRANGE(""16smdYggRVyzhu5y9HP2ayvW__ybkjb1nkVsCvZrByLM"", ""'COTRATOS 26.1'!B:B""), IMPORTRANGE(""16smdYggRVyzhu5y9HP2ayvW__ybkjb1nkVsC"&amp;"vZrByLM"", ""'COTRATOS 26.1'!A:A""), """")))"),88795.0)</f>
        <v>88795</v>
      </c>
      <c r="F358" s="57" t="s">
        <v>36</v>
      </c>
      <c r="G358" s="42" t="s">
        <v>37</v>
      </c>
      <c r="H358" s="43"/>
      <c r="I358" s="58" t="s">
        <v>769</v>
      </c>
      <c r="J358" s="59"/>
      <c r="K358" s="8" t="s">
        <v>14</v>
      </c>
      <c r="L358" s="45" t="s">
        <v>132</v>
      </c>
      <c r="M358" s="53" t="s">
        <v>8</v>
      </c>
      <c r="N358" s="47" t="b">
        <v>0</v>
      </c>
      <c r="O358" s="48">
        <f t="shared" si="1"/>
        <v>46314</v>
      </c>
      <c r="P358" s="49">
        <v>46297.0</v>
      </c>
      <c r="Q358" s="61">
        <v>46273.0</v>
      </c>
      <c r="R358" s="76">
        <f t="shared" si="2"/>
        <v>46333</v>
      </c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</row>
    <row r="359">
      <c r="A359" s="67" t="b">
        <v>1</v>
      </c>
      <c r="B359" s="68">
        <v>46239.654340277775</v>
      </c>
      <c r="C359" s="69" t="s">
        <v>770</v>
      </c>
      <c r="D359" s="70">
        <v>968.0</v>
      </c>
      <c r="E359" s="40">
        <f>IFERROR(__xludf.DUMMYFUNCTION("IF(C359="""", """", XLOOKUP(TRIM(C359), 'COTRATOS ALBUNS 25.2'!E:E, 'COTRATOS ALBUNS 25.2'!D:D, XLOOKUP(TRIM(C359), IMPORTRANGE(""16smdYggRVyzhu5y9HP2ayvW__ybkjb1nkVsCvZrByLM"", ""'COTRATOS 26.1'!B:B""), IMPORTRANGE(""16smdYggRVyzhu5y9HP2ayvW__ybkjb1nkVsC"&amp;"vZrByLM"", ""'COTRATOS 26.1'!A:A""), """")))"),75200.0)</f>
        <v>75200</v>
      </c>
      <c r="F359" s="71" t="s">
        <v>36</v>
      </c>
      <c r="G359" s="42" t="s">
        <v>154</v>
      </c>
      <c r="H359" s="43"/>
      <c r="I359" s="44" t="s">
        <v>771</v>
      </c>
      <c r="J359" s="5"/>
      <c r="K359" s="8" t="s">
        <v>13</v>
      </c>
      <c r="L359" s="8" t="s">
        <v>218</v>
      </c>
      <c r="M359" s="46" t="s">
        <v>8</v>
      </c>
      <c r="N359" s="63" t="b">
        <v>1</v>
      </c>
      <c r="O359" s="64">
        <f t="shared" si="1"/>
        <v>46256.65434</v>
      </c>
      <c r="P359" s="49">
        <v>46274.0</v>
      </c>
      <c r="Q359" s="85">
        <v>46239.0</v>
      </c>
      <c r="R359" s="86">
        <f t="shared" si="2"/>
        <v>46299</v>
      </c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</row>
    <row r="360">
      <c r="A360" s="36" t="b">
        <v>1</v>
      </c>
      <c r="B360" s="94">
        <v>46224.62225694444</v>
      </c>
      <c r="C360" s="38" t="s">
        <v>772</v>
      </c>
      <c r="D360" s="36">
        <v>1172.0</v>
      </c>
      <c r="E360" s="40">
        <f>IFERROR(__xludf.DUMMYFUNCTION("IF(C360="""", """", XLOOKUP(TRIM(C360), 'COTRATOS ALBUNS 25.2'!E:E, 'COTRATOS ALBUNS 25.2'!D:D, XLOOKUP(TRIM(C360), IMPORTRANGE(""16smdYggRVyzhu5y9HP2ayvW__ybkjb1nkVsCvZrByLM"", ""'COTRATOS 26.1'!B:B""), IMPORTRANGE(""16smdYggRVyzhu5y9HP2ayvW__ybkjb1nkVsC"&amp;"vZrByLM"", ""'COTRATOS 26.1'!A:A""), """")))"),88569.0)</f>
        <v>88569</v>
      </c>
      <c r="F360" s="41" t="s">
        <v>36</v>
      </c>
      <c r="G360" s="42" t="s">
        <v>37</v>
      </c>
      <c r="H360" s="43"/>
      <c r="I360" s="44" t="s">
        <v>773</v>
      </c>
      <c r="J360" s="5"/>
      <c r="K360" s="8" t="s">
        <v>13</v>
      </c>
      <c r="L360" s="103" t="s">
        <v>47</v>
      </c>
      <c r="M360" s="5"/>
      <c r="N360" s="63" t="b">
        <v>1</v>
      </c>
      <c r="O360" s="64">
        <f t="shared" si="1"/>
        <v>46241.62226</v>
      </c>
      <c r="P360" s="49">
        <v>46297.0</v>
      </c>
      <c r="Q360" s="85">
        <v>46224.0</v>
      </c>
      <c r="R360" s="86">
        <f t="shared" si="2"/>
        <v>46284</v>
      </c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</row>
    <row r="361">
      <c r="A361" s="67" t="b">
        <v>1</v>
      </c>
      <c r="B361" s="74">
        <v>46297.0</v>
      </c>
      <c r="C361" s="38" t="s">
        <v>774</v>
      </c>
      <c r="D361" s="36">
        <v>957.0</v>
      </c>
      <c r="E361" s="40">
        <f>IFERROR(__xludf.DUMMYFUNCTION("IF(C361="""", """", XLOOKUP(TRIM(C361), 'COTRATOS ALBUNS 25.2'!E:E, 'COTRATOS ALBUNS 25.2'!D:D, XLOOKUP(TRIM(C361), IMPORTRANGE(""16smdYggRVyzhu5y9HP2ayvW__ybkjb1nkVsCvZrByLM"", ""'COTRATOS 26.1'!B:B""), IMPORTRANGE(""16smdYggRVyzhu5y9HP2ayvW__ybkjb1nkVsC"&amp;"vZrByLM"", ""'COTRATOS 26.1'!A:A""), """")))"),59224.0)</f>
        <v>59224</v>
      </c>
      <c r="F361" s="41" t="s">
        <v>36</v>
      </c>
      <c r="G361" s="42" t="s">
        <v>67</v>
      </c>
      <c r="H361" s="43"/>
      <c r="I361" s="44" t="s">
        <v>775</v>
      </c>
      <c r="J361" s="5"/>
      <c r="K361" s="8" t="s">
        <v>13</v>
      </c>
      <c r="L361" s="8" t="s">
        <v>101</v>
      </c>
      <c r="M361" s="46" t="s">
        <v>8</v>
      </c>
      <c r="N361" s="47" t="b">
        <v>0</v>
      </c>
      <c r="O361" s="48">
        <f t="shared" si="1"/>
        <v>46314</v>
      </c>
      <c r="P361" s="49">
        <v>46297.0</v>
      </c>
      <c r="Q361" s="93">
        <v>46253.0</v>
      </c>
      <c r="R361" s="76">
        <f t="shared" si="2"/>
        <v>46313</v>
      </c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</row>
    <row r="362">
      <c r="A362" s="67" t="b">
        <v>1</v>
      </c>
      <c r="B362" s="68">
        <v>46268.425879629634</v>
      </c>
      <c r="C362" s="38" t="s">
        <v>776</v>
      </c>
      <c r="D362" s="36">
        <v>994.0</v>
      </c>
      <c r="E362" s="40">
        <f>IFERROR(__xludf.DUMMYFUNCTION("IF(C362="""", """", XLOOKUP(TRIM(C362), 'COTRATOS ALBUNS 25.2'!E:E, 'COTRATOS ALBUNS 25.2'!D:D, XLOOKUP(TRIM(C362), IMPORTRANGE(""16smdYggRVyzhu5y9HP2ayvW__ybkjb1nkVsCvZrByLM"", ""'COTRATOS 26.1'!B:B""), IMPORTRANGE(""16smdYggRVyzhu5y9HP2ayvW__ybkjb1nkVsC"&amp;"vZrByLM"", ""'COTRATOS 26.1'!A:A""), """")))"),87376.0)</f>
        <v>87376</v>
      </c>
      <c r="F362" s="41" t="s">
        <v>66</v>
      </c>
      <c r="G362" s="42" t="s">
        <v>37</v>
      </c>
      <c r="H362" s="43"/>
      <c r="I362" s="44" t="s">
        <v>777</v>
      </c>
      <c r="J362" s="5"/>
      <c r="K362" s="8" t="s">
        <v>13</v>
      </c>
      <c r="L362" s="8" t="s">
        <v>93</v>
      </c>
      <c r="M362" s="8" t="s">
        <v>8</v>
      </c>
      <c r="N362" s="63" t="b">
        <v>1</v>
      </c>
      <c r="O362" s="64">
        <f t="shared" si="1"/>
        <v>46285.42588</v>
      </c>
      <c r="P362" s="49">
        <v>46297.0</v>
      </c>
      <c r="Q362" s="93">
        <v>46204.0</v>
      </c>
      <c r="R362" s="76">
        <f t="shared" si="2"/>
        <v>46264</v>
      </c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</row>
    <row r="363">
      <c r="A363" s="56" t="b">
        <v>1</v>
      </c>
      <c r="B363" s="110">
        <v>46264.0</v>
      </c>
      <c r="C363" s="106" t="s">
        <v>778</v>
      </c>
      <c r="D363" s="38">
        <v>968.0</v>
      </c>
      <c r="E363" s="40">
        <f>IFERROR(__xludf.DUMMYFUNCTION("IF(C363="""", """", XLOOKUP(TRIM(C363), 'COTRATOS ALBUNS 25.2'!E:E, 'COTRATOS ALBUNS 25.2'!D:D, XLOOKUP(TRIM(C363), IMPORTRANGE(""16smdYggRVyzhu5y9HP2ayvW__ybkjb1nkVsCvZrByLM"", ""'COTRATOS 26.1'!B:B""), IMPORTRANGE(""16smdYggRVyzhu5y9HP2ayvW__ybkjb1nkVsC"&amp;"vZrByLM"", ""'COTRATOS 26.1'!A:A""), """")))"),87729.0)</f>
        <v>87729</v>
      </c>
      <c r="F363" s="57" t="s">
        <v>36</v>
      </c>
      <c r="G363" s="42" t="s">
        <v>110</v>
      </c>
      <c r="H363" s="43"/>
      <c r="I363" s="58" t="s">
        <v>779</v>
      </c>
      <c r="J363" s="59"/>
      <c r="K363" s="8" t="s">
        <v>6</v>
      </c>
      <c r="L363" s="59"/>
      <c r="M363" s="59"/>
      <c r="N363" s="47" t="b">
        <v>0</v>
      </c>
      <c r="O363" s="48">
        <f t="shared" si="1"/>
        <v>46281</v>
      </c>
      <c r="P363" s="49">
        <v>46294.0</v>
      </c>
      <c r="Q363" s="61"/>
      <c r="R363" s="51" t="str">
        <f t="shared" si="2"/>
        <v/>
      </c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</row>
    <row r="364">
      <c r="A364" s="53" t="b">
        <v>1</v>
      </c>
      <c r="B364" s="54">
        <v>46281.0</v>
      </c>
      <c r="C364" s="55" t="s">
        <v>780</v>
      </c>
      <c r="D364" s="56">
        <v>1172.0</v>
      </c>
      <c r="E364" s="40">
        <f>IFERROR(__xludf.DUMMYFUNCTION("IF(C364="""", """", XLOOKUP(TRIM(C364), 'COTRATOS ALBUNS 25.2'!E:E, 'COTRATOS ALBUNS 25.2'!D:D, XLOOKUP(TRIM(C364), IMPORTRANGE(""16smdYggRVyzhu5y9HP2ayvW__ybkjb1nkVsCvZrByLM"", ""'COTRATOS 26.1'!B:B""), IMPORTRANGE(""16smdYggRVyzhu5y9HP2ayvW__ybkjb1nkVsC"&amp;"vZrByLM"", ""'COTRATOS 26.1'!A:A""), """")))"),88396.0)</f>
        <v>88396</v>
      </c>
      <c r="F364" s="57" t="s">
        <v>36</v>
      </c>
      <c r="G364" s="42" t="s">
        <v>168</v>
      </c>
      <c r="H364" s="43"/>
      <c r="I364" s="58" t="s">
        <v>781</v>
      </c>
      <c r="J364" s="59"/>
      <c r="K364" s="8" t="s">
        <v>6</v>
      </c>
      <c r="L364" s="59"/>
      <c r="M364" s="53" t="s">
        <v>8</v>
      </c>
      <c r="N364" s="47" t="b">
        <v>0</v>
      </c>
      <c r="O364" s="48">
        <f t="shared" si="1"/>
        <v>46298</v>
      </c>
      <c r="P364" s="49">
        <v>46309.0</v>
      </c>
      <c r="Q364" s="61"/>
      <c r="R364" s="51" t="str">
        <f t="shared" si="2"/>
        <v/>
      </c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</row>
    <row r="365">
      <c r="A365" s="56" t="b">
        <v>1</v>
      </c>
      <c r="B365" s="77">
        <v>46246.72070975695</v>
      </c>
      <c r="C365" s="98" t="s">
        <v>782</v>
      </c>
      <c r="D365" s="56">
        <v>823.0</v>
      </c>
      <c r="E365" s="40">
        <f>IFERROR(__xludf.DUMMYFUNCTION("IF(C365="""", """", XLOOKUP(TRIM(C365), 'COTRATOS ALBUNS 25.2'!E:E, 'COTRATOS ALBUNS 25.2'!D:D, XLOOKUP(TRIM(C365), IMPORTRANGE(""16smdYggRVyzhu5y9HP2ayvW__ybkjb1nkVsCvZrByLM"", ""'COTRATOS 26.1'!B:B""), IMPORTRANGE(""16smdYggRVyzhu5y9HP2ayvW__ybkjb1nkVsC"&amp;"vZrByLM"", ""'COTRATOS 26.1'!A:A""), """")))"),92323.0)</f>
        <v>92323</v>
      </c>
      <c r="F365" s="57" t="s">
        <v>44</v>
      </c>
      <c r="G365" s="42" t="s">
        <v>91</v>
      </c>
      <c r="H365" s="43"/>
      <c r="I365" s="58" t="s">
        <v>783</v>
      </c>
      <c r="J365" s="59"/>
      <c r="K365" s="8" t="s">
        <v>14</v>
      </c>
      <c r="L365" s="45" t="s">
        <v>132</v>
      </c>
      <c r="M365" s="53" t="s">
        <v>8</v>
      </c>
      <c r="N365" s="47" t="b">
        <v>0</v>
      </c>
      <c r="O365" s="48">
        <f t="shared" si="1"/>
        <v>46263.72071</v>
      </c>
      <c r="P365" s="60"/>
      <c r="Q365" s="61">
        <v>46281.0</v>
      </c>
      <c r="R365" s="76">
        <f t="shared" si="2"/>
        <v>46341</v>
      </c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</row>
    <row r="366">
      <c r="A366" s="56" t="b">
        <v>1</v>
      </c>
      <c r="B366" s="54">
        <v>46274.0</v>
      </c>
      <c r="C366" s="106" t="s">
        <v>784</v>
      </c>
      <c r="D366" s="56">
        <v>1172.0</v>
      </c>
      <c r="E366" s="40">
        <f>IFERROR(__xludf.DUMMYFUNCTION("IF(C366="""", """", XLOOKUP(TRIM(C366), 'COTRATOS ALBUNS 25.2'!E:E, 'COTRATOS ALBUNS 25.2'!D:D, XLOOKUP(TRIM(C366), IMPORTRANGE(""16smdYggRVyzhu5y9HP2ayvW__ybkjb1nkVsCvZrByLM"", ""'COTRATOS 26.1'!B:B""), IMPORTRANGE(""16smdYggRVyzhu5y9HP2ayvW__ybkjb1nkVsC"&amp;"vZrByLM"", ""'COTRATOS 26.1'!A:A""), """")))"),90358.0)</f>
        <v>90358</v>
      </c>
      <c r="F366" s="57" t="s">
        <v>44</v>
      </c>
      <c r="G366" s="42" t="s">
        <v>45</v>
      </c>
      <c r="H366" s="43"/>
      <c r="I366" s="58" t="s">
        <v>785</v>
      </c>
      <c r="J366" s="59"/>
      <c r="K366" s="53" t="s">
        <v>17</v>
      </c>
      <c r="L366" s="59"/>
      <c r="M366" s="59"/>
      <c r="N366" s="47" t="b">
        <v>0</v>
      </c>
      <c r="O366" s="48">
        <f t="shared" si="1"/>
        <v>46291</v>
      </c>
      <c r="P366" s="60"/>
      <c r="Q366" s="61"/>
      <c r="R366" s="51" t="str">
        <f t="shared" si="2"/>
        <v/>
      </c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</row>
    <row r="367">
      <c r="A367" s="53" t="b">
        <v>1</v>
      </c>
      <c r="B367" s="54">
        <v>46283.0</v>
      </c>
      <c r="C367" s="83" t="s">
        <v>786</v>
      </c>
      <c r="D367" s="92">
        <v>860.0</v>
      </c>
      <c r="E367" s="40">
        <f>IFERROR(__xludf.DUMMYFUNCTION("IF(C367="""", """", XLOOKUP(TRIM(C367), 'COTRATOS ALBUNS 25.2'!E:E, 'COTRATOS ALBUNS 25.2'!D:D, XLOOKUP(TRIM(C367), IMPORTRANGE(""16smdYggRVyzhu5y9HP2ayvW__ybkjb1nkVsCvZrByLM"", ""'COTRATOS 26.1'!B:B""), IMPORTRANGE(""16smdYggRVyzhu5y9HP2ayvW__ybkjb1nkVsC"&amp;"vZrByLM"", ""'COTRATOS 26.1'!A:A""), """")))"),86626.0)</f>
        <v>86626</v>
      </c>
      <c r="F367" s="57" t="s">
        <v>74</v>
      </c>
      <c r="G367" s="42" t="s">
        <v>57</v>
      </c>
      <c r="H367" s="43"/>
      <c r="I367" s="58" t="s">
        <v>787</v>
      </c>
      <c r="J367" s="53" t="s">
        <v>17</v>
      </c>
      <c r="K367" s="53" t="s">
        <v>17</v>
      </c>
      <c r="L367" s="59"/>
      <c r="M367" s="59"/>
      <c r="N367" s="47" t="b">
        <v>0</v>
      </c>
      <c r="O367" s="48">
        <f t="shared" si="1"/>
        <v>46300</v>
      </c>
      <c r="P367" s="60"/>
      <c r="Q367" s="61"/>
      <c r="R367" s="51" t="str">
        <f t="shared" si="2"/>
        <v/>
      </c>
      <c r="S367" s="7"/>
      <c r="T367" s="7"/>
      <c r="U367" s="7"/>
      <c r="V367" s="7"/>
      <c r="W367" s="7"/>
      <c r="X367" s="7"/>
      <c r="Y367" s="7"/>
      <c r="Z367" s="7"/>
      <c r="AA367" s="141">
        <v>46288.59470457176</v>
      </c>
      <c r="AB367" s="7"/>
      <c r="AC367" s="7"/>
      <c r="AD367" s="7"/>
      <c r="AE367" s="7"/>
      <c r="AF367" s="7"/>
      <c r="AG367" s="7"/>
    </row>
    <row r="368">
      <c r="A368" s="67" t="b">
        <v>1</v>
      </c>
      <c r="B368" s="68">
        <v>46223.06538194444</v>
      </c>
      <c r="C368" s="38" t="s">
        <v>788</v>
      </c>
      <c r="D368" s="36">
        <v>957.0</v>
      </c>
      <c r="E368" s="40">
        <f>IFERROR(__xludf.DUMMYFUNCTION("IF(C368="""", """", XLOOKUP(TRIM(C368), 'COTRATOS ALBUNS 25.2'!E:E, 'COTRATOS ALBUNS 25.2'!D:D, XLOOKUP(TRIM(C368), IMPORTRANGE(""16smdYggRVyzhu5y9HP2ayvW__ybkjb1nkVsCvZrByLM"", ""'COTRATOS 26.1'!B:B""), IMPORTRANGE(""16smdYggRVyzhu5y9HP2ayvW__ybkjb1nkVsC"&amp;"vZrByLM"", ""'COTRATOS 26.1'!A:A""), """")))"),88610.0)</f>
        <v>88610</v>
      </c>
      <c r="F368" s="41" t="s">
        <v>36</v>
      </c>
      <c r="G368" s="42" t="s">
        <v>57</v>
      </c>
      <c r="H368" s="43"/>
      <c r="I368" s="44" t="s">
        <v>789</v>
      </c>
      <c r="J368" s="5"/>
      <c r="K368" s="8" t="s">
        <v>13</v>
      </c>
      <c r="L368" s="8" t="s">
        <v>47</v>
      </c>
      <c r="M368" s="5"/>
      <c r="N368" s="63" t="b">
        <v>1</v>
      </c>
      <c r="O368" s="64">
        <f t="shared" si="1"/>
        <v>46240.06538</v>
      </c>
      <c r="P368" s="49">
        <v>46297.0</v>
      </c>
      <c r="Q368" s="85">
        <v>46224.0</v>
      </c>
      <c r="R368" s="86">
        <f t="shared" si="2"/>
        <v>46284</v>
      </c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</row>
    <row r="369">
      <c r="A369" s="53" t="b">
        <v>1</v>
      </c>
      <c r="B369" s="54">
        <v>46299.0</v>
      </c>
      <c r="C369" s="55" t="s">
        <v>790</v>
      </c>
      <c r="D369" s="56">
        <v>1179.0</v>
      </c>
      <c r="E369" s="40">
        <f>IFERROR(__xludf.DUMMYFUNCTION("IF(C369="""", """", XLOOKUP(TRIM(C369), 'COTRATOS ALBUNS 25.2'!E:E, 'COTRATOS ALBUNS 25.2'!D:D, XLOOKUP(TRIM(C369), IMPORTRANGE(""16smdYggRVyzhu5y9HP2ayvW__ybkjb1nkVsCvZrByLM"", ""'COTRATOS 26.1'!B:B""), IMPORTRANGE(""16smdYggRVyzhu5y9HP2ayvW__ybkjb1nkVsC"&amp;"vZrByLM"", ""'COTRATOS 26.1'!A:A""), """")))"),94473.0)</f>
        <v>94473</v>
      </c>
      <c r="F369" s="87" t="s">
        <v>44</v>
      </c>
      <c r="G369" s="42" t="s">
        <v>57</v>
      </c>
      <c r="H369" s="43"/>
      <c r="I369" s="58" t="s">
        <v>791</v>
      </c>
      <c r="J369" s="59"/>
      <c r="K369" s="53" t="s">
        <v>17</v>
      </c>
      <c r="L369" s="59"/>
      <c r="M369" s="59"/>
      <c r="N369" s="47" t="b">
        <v>0</v>
      </c>
      <c r="O369" s="48">
        <f t="shared" si="1"/>
        <v>46316</v>
      </c>
      <c r="P369" s="60"/>
      <c r="Q369" s="61"/>
      <c r="R369" s="51" t="str">
        <f t="shared" si="2"/>
        <v/>
      </c>
      <c r="S369" s="7"/>
      <c r="T369" s="7"/>
      <c r="U369" s="7"/>
      <c r="V369" s="7"/>
      <c r="W369" s="7"/>
      <c r="X369" s="7"/>
      <c r="Y369" s="7"/>
      <c r="Z369" s="7"/>
      <c r="AA369" s="141">
        <v>46294.398681516206</v>
      </c>
      <c r="AB369" s="7"/>
      <c r="AC369" s="7"/>
      <c r="AD369" s="7"/>
      <c r="AE369" s="7"/>
      <c r="AF369" s="7"/>
      <c r="AG369" s="7"/>
    </row>
    <row r="370">
      <c r="A370" s="67" t="b">
        <v>1</v>
      </c>
      <c r="B370" s="68">
        <v>46268.42565972223</v>
      </c>
      <c r="C370" s="69" t="s">
        <v>792</v>
      </c>
      <c r="D370" s="36">
        <v>957.0</v>
      </c>
      <c r="E370" s="40">
        <f>IFERROR(__xludf.DUMMYFUNCTION("IF(C370="""", """", XLOOKUP(TRIM(C370), 'COTRATOS ALBUNS 25.2'!E:E, 'COTRATOS ALBUNS 25.2'!D:D, XLOOKUP(TRIM(C370), IMPORTRANGE(""16smdYggRVyzhu5y9HP2ayvW__ybkjb1nkVsCvZrByLM"", ""'COTRATOS 26.1'!B:B""), IMPORTRANGE(""16smdYggRVyzhu5y9HP2ayvW__ybkjb1nkVsC"&amp;"vZrByLM"", ""'COTRATOS 26.1'!A:A""), """")))"),89227.0)</f>
        <v>89227</v>
      </c>
      <c r="F370" s="41" t="s">
        <v>36</v>
      </c>
      <c r="G370" s="42" t="s">
        <v>63</v>
      </c>
      <c r="H370" s="43"/>
      <c r="I370" s="44" t="s">
        <v>793</v>
      </c>
      <c r="J370" s="5"/>
      <c r="K370" s="8" t="s">
        <v>13</v>
      </c>
      <c r="L370" s="8" t="s">
        <v>50</v>
      </c>
      <c r="M370" s="8" t="s">
        <v>8</v>
      </c>
      <c r="N370" s="63" t="b">
        <v>1</v>
      </c>
      <c r="O370" s="64">
        <f t="shared" si="1"/>
        <v>46285.42566</v>
      </c>
      <c r="P370" s="49">
        <v>46297.0</v>
      </c>
      <c r="Q370" s="72">
        <f>B370</f>
        <v>46268.42566</v>
      </c>
      <c r="R370" s="73">
        <f t="shared" si="2"/>
        <v>46328.42566</v>
      </c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</row>
    <row r="371">
      <c r="A371" s="67" t="b">
        <v>1</v>
      </c>
      <c r="B371" s="74">
        <v>46297.0</v>
      </c>
      <c r="C371" s="38" t="s">
        <v>794</v>
      </c>
      <c r="D371" s="36">
        <v>977.0</v>
      </c>
      <c r="E371" s="40">
        <f>IFERROR(__xludf.DUMMYFUNCTION("IF(C371="""", """", XLOOKUP(TRIM(C371), 'COTRATOS ALBUNS 25.2'!E:E, 'COTRATOS ALBUNS 25.2'!D:D, XLOOKUP(TRIM(C371), IMPORTRANGE(""16smdYggRVyzhu5y9HP2ayvW__ybkjb1nkVsCvZrByLM"", ""'COTRATOS 26.1'!B:B""), IMPORTRANGE(""16smdYggRVyzhu5y9HP2ayvW__ybkjb1nkVsC"&amp;"vZrByLM"", ""'COTRATOS 26.1'!A:A""), """")))"),89079.0)</f>
        <v>89079</v>
      </c>
      <c r="F371" s="41" t="s">
        <v>36</v>
      </c>
      <c r="G371" s="42" t="s">
        <v>274</v>
      </c>
      <c r="H371" s="43"/>
      <c r="I371" s="44" t="s">
        <v>795</v>
      </c>
      <c r="J371" s="5"/>
      <c r="K371" s="8" t="s">
        <v>13</v>
      </c>
      <c r="L371" s="8" t="s">
        <v>78</v>
      </c>
      <c r="M371" s="8" t="s">
        <v>8</v>
      </c>
      <c r="N371" s="47" t="b">
        <v>0</v>
      </c>
      <c r="O371" s="48">
        <f t="shared" si="1"/>
        <v>46314</v>
      </c>
      <c r="P371" s="49">
        <v>46297.0</v>
      </c>
      <c r="Q371" s="93">
        <v>46262.0</v>
      </c>
      <c r="R371" s="76">
        <f t="shared" si="2"/>
        <v>46322</v>
      </c>
      <c r="S371" s="7"/>
      <c r="T371" s="7"/>
      <c r="U371" s="7"/>
      <c r="V371" s="7"/>
      <c r="W371" s="7"/>
      <c r="X371" s="7"/>
      <c r="Y371" s="7"/>
      <c r="Z371" s="7"/>
      <c r="AA371" s="141">
        <v>46288.66014173611</v>
      </c>
      <c r="AB371" s="7"/>
      <c r="AC371" s="7"/>
      <c r="AD371" s="7"/>
      <c r="AE371" s="7"/>
      <c r="AF371" s="7"/>
      <c r="AG371" s="7"/>
    </row>
    <row r="372">
      <c r="A372" s="56" t="b">
        <v>1</v>
      </c>
      <c r="B372" s="110">
        <v>46260.0</v>
      </c>
      <c r="C372" s="106" t="s">
        <v>796</v>
      </c>
      <c r="D372" s="38">
        <v>1084.0</v>
      </c>
      <c r="E372" s="40">
        <f>IFERROR(__xludf.DUMMYFUNCTION("IF(C372="""", """", XLOOKUP(TRIM(C372), 'COTRATOS ALBUNS 25.2'!E:E, 'COTRATOS ALBUNS 25.2'!D:D, XLOOKUP(TRIM(C372), IMPORTRANGE(""16smdYggRVyzhu5y9HP2ayvW__ybkjb1nkVsCvZrByLM"", ""'COTRATOS 26.1'!B:B""), IMPORTRANGE(""16smdYggRVyzhu5y9HP2ayvW__ybkjb1nkVsC"&amp;"vZrByLM"", ""'COTRATOS 26.1'!A:A""), """")))"),77463.0)</f>
        <v>77463</v>
      </c>
      <c r="F372" s="57" t="s">
        <v>44</v>
      </c>
      <c r="G372" s="42" t="s">
        <v>52</v>
      </c>
      <c r="H372" s="43"/>
      <c r="I372" s="58" t="s">
        <v>797</v>
      </c>
      <c r="J372" s="59"/>
      <c r="K372" s="8" t="s">
        <v>6</v>
      </c>
      <c r="L372" s="59"/>
      <c r="M372" s="53" t="s">
        <v>8</v>
      </c>
      <c r="N372" s="47" t="b">
        <v>0</v>
      </c>
      <c r="O372" s="48">
        <f t="shared" si="1"/>
        <v>46277</v>
      </c>
      <c r="P372" s="49">
        <v>46294.0</v>
      </c>
      <c r="Q372" s="61"/>
      <c r="R372" s="51" t="str">
        <f t="shared" si="2"/>
        <v/>
      </c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</row>
    <row r="373">
      <c r="A373" s="67" t="b">
        <v>1</v>
      </c>
      <c r="B373" s="68">
        <v>46268.42546296296</v>
      </c>
      <c r="C373" s="69" t="s">
        <v>798</v>
      </c>
      <c r="D373" s="70">
        <v>968.0</v>
      </c>
      <c r="E373" s="40">
        <f>IFERROR(__xludf.DUMMYFUNCTION("IF(C373="""", """", XLOOKUP(TRIM(C373), 'COTRATOS ALBUNS 25.2'!E:E, 'COTRATOS ALBUNS 25.2'!D:D, XLOOKUP(TRIM(C373), IMPORTRANGE(""16smdYggRVyzhu5y9HP2ayvW__ybkjb1nkVsCvZrByLM"", ""'COTRATOS 26.1'!B:B""), IMPORTRANGE(""16smdYggRVyzhu5y9HP2ayvW__ybkjb1nkVsC"&amp;"vZrByLM"", ""'COTRATOS 26.1'!A:A""), """")))"),80915.0)</f>
        <v>80915</v>
      </c>
      <c r="F373" s="71" t="s">
        <v>36</v>
      </c>
      <c r="G373" s="42" t="s">
        <v>52</v>
      </c>
      <c r="H373" s="43"/>
      <c r="I373" s="44" t="s">
        <v>799</v>
      </c>
      <c r="J373" s="5"/>
      <c r="K373" s="8" t="s">
        <v>13</v>
      </c>
      <c r="L373" s="8" t="s">
        <v>108</v>
      </c>
      <c r="M373" s="8" t="s">
        <v>8</v>
      </c>
      <c r="N373" s="63" t="b">
        <v>1</v>
      </c>
      <c r="O373" s="64">
        <f t="shared" si="1"/>
        <v>46285.42546</v>
      </c>
      <c r="P373" s="49">
        <v>46297.0</v>
      </c>
      <c r="Q373" s="72">
        <f>B373</f>
        <v>46268.42546</v>
      </c>
      <c r="R373" s="73">
        <f t="shared" si="2"/>
        <v>46328.42546</v>
      </c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</row>
    <row r="374">
      <c r="A374" s="53" t="b">
        <v>1</v>
      </c>
      <c r="B374" s="54">
        <v>46276.0</v>
      </c>
      <c r="C374" s="55" t="s">
        <v>800</v>
      </c>
      <c r="D374" s="56">
        <v>1172.0</v>
      </c>
      <c r="E374" s="40">
        <f>IFERROR(__xludf.DUMMYFUNCTION("IF(C374="""", """", XLOOKUP(TRIM(C374), 'COTRATOS ALBUNS 25.2'!E:E, 'COTRATOS ALBUNS 25.2'!D:D, XLOOKUP(TRIM(C374), IMPORTRANGE(""16smdYggRVyzhu5y9HP2ayvW__ybkjb1nkVsCvZrByLM"", ""'COTRATOS 26.1'!B:B""), IMPORTRANGE(""16smdYggRVyzhu5y9HP2ayvW__ybkjb1nkVsC"&amp;"vZrByLM"", ""'COTRATOS 26.1'!A:A""), """")))"),87405.0)</f>
        <v>87405</v>
      </c>
      <c r="F374" s="57" t="s">
        <v>36</v>
      </c>
      <c r="G374" s="42" t="s">
        <v>117</v>
      </c>
      <c r="H374" s="43"/>
      <c r="I374" s="58" t="s">
        <v>801</v>
      </c>
      <c r="J374" s="59"/>
      <c r="K374" s="8" t="s">
        <v>6</v>
      </c>
      <c r="L374" s="59"/>
      <c r="M374" s="8" t="s">
        <v>8</v>
      </c>
      <c r="N374" s="47" t="b">
        <v>0</v>
      </c>
      <c r="O374" s="48">
        <f t="shared" si="1"/>
        <v>46293</v>
      </c>
      <c r="P374" s="49">
        <v>46300.0</v>
      </c>
      <c r="Q374" s="61"/>
      <c r="R374" s="51" t="str">
        <f t="shared" si="2"/>
        <v/>
      </c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</row>
    <row r="375">
      <c r="A375" s="67" t="b">
        <v>1</v>
      </c>
      <c r="B375" s="68">
        <v>46268.42524305556</v>
      </c>
      <c r="C375" s="38" t="s">
        <v>802</v>
      </c>
      <c r="D375" s="36">
        <v>1172.0</v>
      </c>
      <c r="E375" s="40">
        <f>IFERROR(__xludf.DUMMYFUNCTION("IF(C375="""", """", XLOOKUP(TRIM(C375), 'COTRATOS ALBUNS 25.2'!E:E, 'COTRATOS ALBUNS 25.2'!D:D, XLOOKUP(TRIM(C375), IMPORTRANGE(""16smdYggRVyzhu5y9HP2ayvW__ybkjb1nkVsCvZrByLM"", ""'COTRATOS 26.1'!B:B""), IMPORTRANGE(""16smdYggRVyzhu5y9HP2ayvW__ybkjb1nkVsC"&amp;"vZrByLM"", ""'COTRATOS 26.1'!A:A""), """")))"),87179.0)</f>
        <v>87179</v>
      </c>
      <c r="F375" s="41" t="s">
        <v>66</v>
      </c>
      <c r="G375" s="42" t="s">
        <v>63</v>
      </c>
      <c r="H375" s="43"/>
      <c r="I375" s="44" t="s">
        <v>803</v>
      </c>
      <c r="J375" s="5"/>
      <c r="K375" s="8" t="s">
        <v>13</v>
      </c>
      <c r="L375" s="8" t="s">
        <v>93</v>
      </c>
      <c r="M375" s="8" t="s">
        <v>8</v>
      </c>
      <c r="N375" s="63" t="b">
        <v>1</v>
      </c>
      <c r="O375" s="64">
        <f t="shared" si="1"/>
        <v>46285.42524</v>
      </c>
      <c r="P375" s="49">
        <v>46297.0</v>
      </c>
      <c r="Q375" s="93">
        <v>46205.0</v>
      </c>
      <c r="R375" s="76">
        <f t="shared" si="2"/>
        <v>46265</v>
      </c>
      <c r="S375" s="7"/>
      <c r="T375" s="7"/>
      <c r="U375" s="7"/>
      <c r="V375" s="7"/>
      <c r="W375" s="7"/>
      <c r="X375" s="7"/>
      <c r="Y375" s="7"/>
      <c r="Z375" s="7"/>
      <c r="AA375" s="141">
        <v>46288.50587541667</v>
      </c>
      <c r="AB375" s="7"/>
      <c r="AC375" s="7"/>
      <c r="AD375" s="7"/>
      <c r="AE375" s="7"/>
      <c r="AF375" s="7"/>
      <c r="AG375" s="7"/>
    </row>
    <row r="376">
      <c r="A376" s="53" t="b">
        <v>1</v>
      </c>
      <c r="B376" s="54">
        <v>46289.0</v>
      </c>
      <c r="C376" s="55" t="s">
        <v>804</v>
      </c>
      <c r="D376" s="56">
        <v>995.0</v>
      </c>
      <c r="E376" s="40">
        <f>IFERROR(__xludf.DUMMYFUNCTION("IF(C376="""", """", XLOOKUP(TRIM(C376), 'COTRATOS ALBUNS 25.2'!E:E, 'COTRATOS ALBUNS 25.2'!D:D, XLOOKUP(TRIM(C376), IMPORTRANGE(""16smdYggRVyzhu5y9HP2ayvW__ybkjb1nkVsCvZrByLM"", ""'COTRATOS 26.1'!B:B""), IMPORTRANGE(""16smdYggRVyzhu5y9HP2ayvW__ybkjb1nkVsC"&amp;"vZrByLM"", ""'COTRATOS 26.1'!A:A""), """")))"),95498.0)</f>
        <v>95498</v>
      </c>
      <c r="F376" s="57" t="s">
        <v>56</v>
      </c>
      <c r="G376" s="42" t="s">
        <v>91</v>
      </c>
      <c r="H376" s="43"/>
      <c r="I376" s="58" t="s">
        <v>805</v>
      </c>
      <c r="J376" s="59"/>
      <c r="K376" s="53" t="s">
        <v>17</v>
      </c>
      <c r="L376" s="59"/>
      <c r="M376" s="59"/>
      <c r="N376" s="47" t="b">
        <v>0</v>
      </c>
      <c r="O376" s="48">
        <f t="shared" si="1"/>
        <v>46306</v>
      </c>
      <c r="P376" s="60"/>
      <c r="Q376" s="61"/>
      <c r="R376" s="51" t="str">
        <f t="shared" si="2"/>
        <v/>
      </c>
      <c r="S376" s="7"/>
      <c r="T376" s="7"/>
      <c r="U376" s="7"/>
      <c r="V376" s="7"/>
      <c r="W376" s="7"/>
      <c r="X376" s="7"/>
      <c r="Y376" s="7"/>
      <c r="Z376" s="7"/>
      <c r="AA376" s="141">
        <v>46288.571446608796</v>
      </c>
      <c r="AB376" s="7"/>
      <c r="AC376" s="7"/>
      <c r="AD376" s="7"/>
      <c r="AE376" s="7"/>
      <c r="AF376" s="7"/>
      <c r="AG376" s="7"/>
    </row>
    <row r="377">
      <c r="A377" s="36" t="b">
        <v>1</v>
      </c>
      <c r="B377" s="94">
        <v>46233.7334375</v>
      </c>
      <c r="C377" s="38" t="s">
        <v>806</v>
      </c>
      <c r="D377" s="36">
        <v>971.0</v>
      </c>
      <c r="E377" s="40">
        <f>IFERROR(__xludf.DUMMYFUNCTION("IF(C377="""", """", XLOOKUP(TRIM(C377), 'COTRATOS ALBUNS 25.2'!E:E, 'COTRATOS ALBUNS 25.2'!D:D, XLOOKUP(TRIM(C377), IMPORTRANGE(""16smdYggRVyzhu5y9HP2ayvW__ybkjb1nkVsCvZrByLM"", ""'COTRATOS 26.1'!B:B""), IMPORTRANGE(""16smdYggRVyzhu5y9HP2ayvW__ybkjb1nkVsC"&amp;"vZrByLM"", ""'COTRATOS 26.1'!A:A""), """")))"),85728.0)</f>
        <v>85728</v>
      </c>
      <c r="F377" s="41" t="s">
        <v>44</v>
      </c>
      <c r="G377" s="42" t="s">
        <v>154</v>
      </c>
      <c r="H377" s="43"/>
      <c r="I377" s="44" t="s">
        <v>807</v>
      </c>
      <c r="J377" s="5"/>
      <c r="K377" s="8" t="s">
        <v>13</v>
      </c>
      <c r="L377" s="8" t="s">
        <v>193</v>
      </c>
      <c r="M377" s="8" t="s">
        <v>8</v>
      </c>
      <c r="N377" s="63" t="b">
        <v>1</v>
      </c>
      <c r="O377" s="64">
        <f t="shared" si="1"/>
        <v>46250.73344</v>
      </c>
      <c r="P377" s="49">
        <v>46297.0</v>
      </c>
      <c r="Q377" s="50">
        <v>46245.0</v>
      </c>
      <c r="R377" s="86">
        <f t="shared" si="2"/>
        <v>46305</v>
      </c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</row>
    <row r="378">
      <c r="A378" s="36" t="b">
        <v>1</v>
      </c>
      <c r="B378" s="155">
        <v>46183.0</v>
      </c>
      <c r="C378" s="38" t="s">
        <v>808</v>
      </c>
      <c r="D378" s="39">
        <v>994.0</v>
      </c>
      <c r="E378" s="40">
        <f>IFERROR(__xludf.DUMMYFUNCTION("IF(C378="""", """", XLOOKUP(TRIM(C378), 'COTRATOS ALBUNS 25.2'!E:E, 'COTRATOS ALBUNS 25.2'!D:D, XLOOKUP(TRIM(C378), IMPORTRANGE(""16smdYggRVyzhu5y9HP2ayvW__ybkjb1nkVsCvZrByLM"", ""'COTRATOS 26.1'!B:B""), IMPORTRANGE(""16smdYggRVyzhu5y9HP2ayvW__ybkjb1nkVsC"&amp;"vZrByLM"", ""'COTRATOS 26.1'!A:A""), """")))"),87380.0)</f>
        <v>87380</v>
      </c>
      <c r="F378" s="41" t="s">
        <v>36</v>
      </c>
      <c r="G378" s="42" t="s">
        <v>37</v>
      </c>
      <c r="H378" s="43"/>
      <c r="I378" s="44" t="s">
        <v>809</v>
      </c>
      <c r="J378" s="7"/>
      <c r="K378" s="8" t="s">
        <v>13</v>
      </c>
      <c r="L378" s="103" t="s">
        <v>47</v>
      </c>
      <c r="M378" s="5"/>
      <c r="N378" s="63" t="b">
        <v>1</v>
      </c>
      <c r="O378" s="127">
        <f t="shared" si="1"/>
        <v>46200</v>
      </c>
      <c r="P378" s="60"/>
      <c r="Q378" s="85">
        <v>46224.0</v>
      </c>
      <c r="R378" s="86">
        <f t="shared" si="2"/>
        <v>46284</v>
      </c>
      <c r="S378" s="7"/>
      <c r="T378" s="7"/>
      <c r="U378" s="7"/>
      <c r="V378" s="7"/>
      <c r="W378" s="7"/>
      <c r="X378" s="7"/>
      <c r="Y378" s="7"/>
      <c r="Z378" s="7"/>
      <c r="AA378" s="141">
        <v>46294.41590114583</v>
      </c>
      <c r="AB378" s="7"/>
      <c r="AC378" s="7"/>
      <c r="AD378" s="7"/>
      <c r="AE378" s="7"/>
      <c r="AF378" s="7"/>
      <c r="AG378" s="7"/>
    </row>
    <row r="379">
      <c r="A379" s="36" t="b">
        <v>1</v>
      </c>
      <c r="B379" s="62">
        <v>46213.686747685184</v>
      </c>
      <c r="C379" s="38" t="s">
        <v>810</v>
      </c>
      <c r="D379" s="39">
        <v>1019.0</v>
      </c>
      <c r="E379" s="40">
        <f>IFERROR(__xludf.DUMMYFUNCTION("IF(C379="""", """", XLOOKUP(TRIM(C379), 'COTRATOS ALBUNS 25.2'!E:E, 'COTRATOS ALBUNS 25.2'!D:D, XLOOKUP(TRIM(C379), IMPORTRANGE(""16smdYggRVyzhu5y9HP2ayvW__ybkjb1nkVsCvZrByLM"", ""'COTRATOS 26.1'!B:B""), IMPORTRANGE(""16smdYggRVyzhu5y9HP2ayvW__ybkjb1nkVsC"&amp;"vZrByLM"", ""'COTRATOS 26.1'!A:A""), """")))"),87550.0)</f>
        <v>87550</v>
      </c>
      <c r="F379" s="41" t="s">
        <v>66</v>
      </c>
      <c r="G379" s="42" t="s">
        <v>811</v>
      </c>
      <c r="H379" s="43"/>
      <c r="I379" s="44" t="s">
        <v>812</v>
      </c>
      <c r="J379" s="7"/>
      <c r="K379" s="8" t="s">
        <v>13</v>
      </c>
      <c r="L379" s="8" t="s">
        <v>121</v>
      </c>
      <c r="M379" s="5"/>
      <c r="N379" s="63" t="b">
        <v>1</v>
      </c>
      <c r="O379" s="64">
        <f t="shared" si="1"/>
        <v>46230.68675</v>
      </c>
      <c r="P379" s="49">
        <v>46297.0</v>
      </c>
      <c r="Q379" s="85">
        <v>46213.0</v>
      </c>
      <c r="R379" s="86">
        <f t="shared" si="2"/>
        <v>46273</v>
      </c>
      <c r="S379" s="7"/>
      <c r="T379" s="7"/>
      <c r="U379" s="7"/>
      <c r="V379" s="7"/>
      <c r="W379" s="7"/>
      <c r="X379" s="7"/>
      <c r="Y379" s="7"/>
      <c r="Z379" s="7"/>
      <c r="AA379" s="141">
        <v>46293.76782248843</v>
      </c>
      <c r="AB379" s="7"/>
      <c r="AC379" s="7"/>
      <c r="AD379" s="7"/>
      <c r="AE379" s="7"/>
      <c r="AF379" s="7"/>
      <c r="AG379" s="7"/>
    </row>
    <row r="380">
      <c r="A380" s="36" t="b">
        <v>1</v>
      </c>
      <c r="B380" s="90">
        <v>46297.0</v>
      </c>
      <c r="C380" s="81" t="s">
        <v>813</v>
      </c>
      <c r="D380" s="39">
        <v>1172.0</v>
      </c>
      <c r="E380" s="40">
        <f>IFERROR(__xludf.DUMMYFUNCTION("IF(C380="""", """", XLOOKUP(TRIM(C380), 'COTRATOS ALBUNS 25.2'!E:E, 'COTRATOS ALBUNS 25.2'!D:D, XLOOKUP(TRIM(C380), IMPORTRANGE(""16smdYggRVyzhu5y9HP2ayvW__ybkjb1nkVsCvZrByLM"", ""'COTRATOS 26.1'!B:B""), IMPORTRANGE(""16smdYggRVyzhu5y9HP2ayvW__ybkjb1nkVsC"&amp;"vZrByLM"", ""'COTRATOS 26.1'!A:A""), """")))"),86689.0)</f>
        <v>86689</v>
      </c>
      <c r="F380" s="41" t="s">
        <v>66</v>
      </c>
      <c r="G380" s="42" t="s">
        <v>123</v>
      </c>
      <c r="H380" s="43"/>
      <c r="I380" s="44" t="s">
        <v>814</v>
      </c>
      <c r="J380" s="7"/>
      <c r="K380" s="8" t="s">
        <v>14</v>
      </c>
      <c r="L380" s="8" t="s">
        <v>89</v>
      </c>
      <c r="M380" s="46" t="s">
        <v>8</v>
      </c>
      <c r="N380" s="47" t="b">
        <v>0</v>
      </c>
      <c r="O380" s="48">
        <f t="shared" si="1"/>
        <v>46314</v>
      </c>
      <c r="P380" s="49">
        <v>46297.0</v>
      </c>
      <c r="Q380" s="93">
        <v>46288.0</v>
      </c>
      <c r="R380" s="76">
        <f t="shared" si="2"/>
        <v>46348</v>
      </c>
      <c r="S380" s="7"/>
      <c r="T380" s="7"/>
      <c r="U380" s="7"/>
      <c r="V380" s="7"/>
      <c r="W380" s="7"/>
      <c r="X380" s="7"/>
      <c r="Y380" s="7"/>
      <c r="Z380" s="7"/>
      <c r="AA380" s="141">
        <v>46293.76597516204</v>
      </c>
      <c r="AB380" s="7"/>
      <c r="AC380" s="7"/>
      <c r="AD380" s="7"/>
      <c r="AE380" s="7"/>
      <c r="AF380" s="7"/>
      <c r="AG380" s="7"/>
    </row>
    <row r="381">
      <c r="A381" s="67" t="b">
        <v>1</v>
      </c>
      <c r="B381" s="74">
        <v>46297.0</v>
      </c>
      <c r="C381" s="38" t="s">
        <v>815</v>
      </c>
      <c r="D381" s="36">
        <v>971.0</v>
      </c>
      <c r="E381" s="40">
        <f>IFERROR(__xludf.DUMMYFUNCTION("IF(C381="""", """", XLOOKUP(TRIM(C381), 'COTRATOS ALBUNS 25.2'!E:E, 'COTRATOS ALBUNS 25.2'!D:D, XLOOKUP(TRIM(C381), IMPORTRANGE(""16smdYggRVyzhu5y9HP2ayvW__ybkjb1nkVsCvZrByLM"", ""'COTRATOS 26.1'!B:B""), IMPORTRANGE(""16smdYggRVyzhu5y9HP2ayvW__ybkjb1nkVsC"&amp;"vZrByLM"", ""'COTRATOS 26.1'!A:A""), """")))"),87415.0)</f>
        <v>87415</v>
      </c>
      <c r="F381" s="41" t="s">
        <v>36</v>
      </c>
      <c r="G381" s="42" t="s">
        <v>168</v>
      </c>
      <c r="H381" s="43"/>
      <c r="I381" s="44" t="s">
        <v>816</v>
      </c>
      <c r="J381" s="5"/>
      <c r="K381" s="8" t="s">
        <v>13</v>
      </c>
      <c r="L381" s="8" t="s">
        <v>78</v>
      </c>
      <c r="M381" s="46" t="s">
        <v>8</v>
      </c>
      <c r="N381" s="47" t="b">
        <v>0</v>
      </c>
      <c r="O381" s="48">
        <f t="shared" si="1"/>
        <v>46314</v>
      </c>
      <c r="P381" s="49">
        <v>46297.0</v>
      </c>
      <c r="Q381" s="93">
        <v>46265.0</v>
      </c>
      <c r="R381" s="76">
        <f t="shared" si="2"/>
        <v>46325</v>
      </c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</row>
    <row r="382">
      <c r="A382" s="67" t="b">
        <v>1</v>
      </c>
      <c r="B382" s="68">
        <v>46216.510300925926</v>
      </c>
      <c r="C382" s="38" t="s">
        <v>817</v>
      </c>
      <c r="D382" s="36">
        <v>988.0</v>
      </c>
      <c r="E382" s="40">
        <f>IFERROR(__xludf.DUMMYFUNCTION("IF(C382="""", """", XLOOKUP(TRIM(C382), 'COTRATOS ALBUNS 25.2'!E:E, 'COTRATOS ALBUNS 25.2'!D:D, XLOOKUP(TRIM(C382), IMPORTRANGE(""16smdYggRVyzhu5y9HP2ayvW__ybkjb1nkVsCvZrByLM"", ""'COTRATOS 26.1'!B:B""), IMPORTRANGE(""16smdYggRVyzhu5y9HP2ayvW__ybkjb1nkVsC"&amp;"vZrByLM"", ""'COTRATOS 26.1'!A:A""), """")))"),88663.0)</f>
        <v>88663</v>
      </c>
      <c r="F382" s="41" t="s">
        <v>40</v>
      </c>
      <c r="G382" s="42" t="s">
        <v>57</v>
      </c>
      <c r="H382" s="43"/>
      <c r="I382" s="44" t="s">
        <v>818</v>
      </c>
      <c r="J382" s="5"/>
      <c r="K382" s="8" t="s">
        <v>13</v>
      </c>
      <c r="L382" s="8" t="s">
        <v>121</v>
      </c>
      <c r="M382" s="5"/>
      <c r="N382" s="63" t="b">
        <v>1</v>
      </c>
      <c r="O382" s="64">
        <f t="shared" si="1"/>
        <v>46233.5103</v>
      </c>
      <c r="P382" s="49">
        <v>46297.0</v>
      </c>
      <c r="Q382" s="85">
        <v>46216.0</v>
      </c>
      <c r="R382" s="86">
        <f t="shared" si="2"/>
        <v>46276</v>
      </c>
      <c r="S382" s="7"/>
      <c r="T382" s="7"/>
      <c r="U382" s="7"/>
      <c r="V382" s="7"/>
      <c r="W382" s="7"/>
      <c r="X382" s="7"/>
      <c r="Y382" s="7"/>
      <c r="Z382" s="7"/>
      <c r="AA382" s="141">
        <v>46294.41388541667</v>
      </c>
      <c r="AB382" s="7"/>
      <c r="AC382" s="7"/>
      <c r="AD382" s="7"/>
      <c r="AE382" s="7"/>
      <c r="AF382" s="7"/>
      <c r="AG382" s="7"/>
    </row>
    <row r="383">
      <c r="A383" s="36" t="b">
        <v>1</v>
      </c>
      <c r="B383" s="62">
        <v>46230.67244212963</v>
      </c>
      <c r="C383" s="38" t="s">
        <v>819</v>
      </c>
      <c r="D383" s="39">
        <v>988.0</v>
      </c>
      <c r="E383" s="40">
        <f>IFERROR(__xludf.DUMMYFUNCTION("IF(C383="""", """", XLOOKUP(TRIM(C383), 'COTRATOS ALBUNS 25.2'!E:E, 'COTRATOS ALBUNS 25.2'!D:D, XLOOKUP(TRIM(C383), IMPORTRANGE(""16smdYggRVyzhu5y9HP2ayvW__ybkjb1nkVsCvZrByLM"", ""'COTRATOS 26.1'!B:B""), IMPORTRANGE(""16smdYggRVyzhu5y9HP2ayvW__ybkjb1nkVsC"&amp;"vZrByLM"", ""'COTRATOS 26.1'!A:A""), """")))"),88363.0)</f>
        <v>88363</v>
      </c>
      <c r="F383" s="41" t="s">
        <v>66</v>
      </c>
      <c r="G383" s="42" t="s">
        <v>52</v>
      </c>
      <c r="H383" s="43"/>
      <c r="I383" s="44" t="s">
        <v>820</v>
      </c>
      <c r="J383" s="7"/>
      <c r="K383" s="8" t="s">
        <v>13</v>
      </c>
      <c r="L383" s="8" t="s">
        <v>193</v>
      </c>
      <c r="M383" s="8" t="s">
        <v>8</v>
      </c>
      <c r="N383" s="63" t="b">
        <v>1</v>
      </c>
      <c r="O383" s="64">
        <f t="shared" si="1"/>
        <v>46247.67244</v>
      </c>
      <c r="P383" s="49">
        <v>46297.0</v>
      </c>
      <c r="Q383" s="50">
        <v>46245.0</v>
      </c>
      <c r="R383" s="86">
        <f t="shared" si="2"/>
        <v>46305</v>
      </c>
      <c r="S383" s="7"/>
      <c r="T383" s="7"/>
      <c r="U383" s="7"/>
      <c r="V383" s="7"/>
      <c r="W383" s="7"/>
      <c r="X383" s="7"/>
      <c r="Y383" s="7"/>
      <c r="Z383" s="7"/>
      <c r="AA383" s="141">
        <v>46289.63084384259</v>
      </c>
      <c r="AB383" s="7"/>
      <c r="AC383" s="7"/>
      <c r="AD383" s="7"/>
      <c r="AE383" s="7"/>
      <c r="AF383" s="7"/>
      <c r="AG383" s="7"/>
    </row>
    <row r="384">
      <c r="A384" s="53" t="b">
        <v>1</v>
      </c>
      <c r="B384" s="54">
        <v>46291.0</v>
      </c>
      <c r="C384" s="55" t="s">
        <v>821</v>
      </c>
      <c r="D384" s="56">
        <v>970.0</v>
      </c>
      <c r="E384" s="40">
        <f>IFERROR(__xludf.DUMMYFUNCTION("IF(C384="""", """", XLOOKUP(TRIM(C384), 'COTRATOS ALBUNS 25.2'!E:E, 'COTRATOS ALBUNS 25.2'!D:D, XLOOKUP(TRIM(C384), IMPORTRANGE(""16smdYggRVyzhu5y9HP2ayvW__ybkjb1nkVsCvZrByLM"", ""'COTRATOS 26.1'!B:B""), IMPORTRANGE(""16smdYggRVyzhu5y9HP2ayvW__ybkjb1nkVsC"&amp;"vZrByLM"", ""'COTRATOS 26.1'!A:A""), """")))"),94625.0)</f>
        <v>94625</v>
      </c>
      <c r="F384" s="57" t="s">
        <v>44</v>
      </c>
      <c r="G384" s="42" t="s">
        <v>134</v>
      </c>
      <c r="H384" s="43"/>
      <c r="I384" s="58" t="s">
        <v>822</v>
      </c>
      <c r="J384" s="59"/>
      <c r="K384" s="53" t="s">
        <v>10</v>
      </c>
      <c r="L384" s="59"/>
      <c r="M384" s="59"/>
      <c r="N384" s="47" t="b">
        <v>0</v>
      </c>
      <c r="O384" s="48">
        <f t="shared" si="1"/>
        <v>46308</v>
      </c>
      <c r="P384" s="60"/>
      <c r="Q384" s="61"/>
      <c r="R384" s="51" t="str">
        <f t="shared" si="2"/>
        <v/>
      </c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</row>
    <row r="385">
      <c r="A385" s="67" t="b">
        <v>1</v>
      </c>
      <c r="B385" s="68">
        <v>46209.884733796294</v>
      </c>
      <c r="C385" s="38" t="s">
        <v>823</v>
      </c>
      <c r="D385" s="36">
        <v>1084.0</v>
      </c>
      <c r="E385" s="40">
        <f>IFERROR(__xludf.DUMMYFUNCTION("IF(C385="""", """", XLOOKUP(TRIM(C385), 'COTRATOS ALBUNS 25.2'!E:E, 'COTRATOS ALBUNS 25.2'!D:D, XLOOKUP(TRIM(C385), IMPORTRANGE(""16smdYggRVyzhu5y9HP2ayvW__ybkjb1nkVsCvZrByLM"", ""'COTRATOS 26.1'!B:B""), IMPORTRANGE(""16smdYggRVyzhu5y9HP2ayvW__ybkjb1nkVsC"&amp;"vZrByLM"", ""'COTRATOS 26.1'!A:A""), """")))"),88694.0)</f>
        <v>88694</v>
      </c>
      <c r="F385" s="41" t="s">
        <v>36</v>
      </c>
      <c r="G385" s="42" t="s">
        <v>57</v>
      </c>
      <c r="H385" s="43"/>
      <c r="I385" s="44" t="s">
        <v>824</v>
      </c>
      <c r="J385" s="5"/>
      <c r="K385" s="8" t="s">
        <v>13</v>
      </c>
      <c r="L385" s="8" t="s">
        <v>121</v>
      </c>
      <c r="M385" s="5"/>
      <c r="N385" s="63" t="b">
        <v>1</v>
      </c>
      <c r="O385" s="64">
        <f t="shared" si="1"/>
        <v>46226.88473</v>
      </c>
      <c r="P385" s="49">
        <v>46297.0</v>
      </c>
      <c r="Q385" s="85">
        <v>46211.0</v>
      </c>
      <c r="R385" s="86">
        <f t="shared" si="2"/>
        <v>46271</v>
      </c>
      <c r="S385" s="7"/>
      <c r="T385" s="7"/>
      <c r="U385" s="7"/>
      <c r="V385" s="7"/>
      <c r="W385" s="7"/>
      <c r="X385" s="7"/>
      <c r="Y385" s="7"/>
      <c r="Z385" s="7"/>
      <c r="AA385" s="141">
        <v>46294.42639690972</v>
      </c>
      <c r="AB385" s="7"/>
      <c r="AC385" s="7"/>
      <c r="AD385" s="7"/>
      <c r="AE385" s="7"/>
      <c r="AF385" s="7"/>
      <c r="AG385" s="7"/>
    </row>
    <row r="386">
      <c r="A386" s="36" t="b">
        <v>1</v>
      </c>
      <c r="B386" s="37">
        <v>46297.0</v>
      </c>
      <c r="C386" s="38" t="s">
        <v>825</v>
      </c>
      <c r="D386" s="39">
        <v>1177.0</v>
      </c>
      <c r="E386" s="40">
        <f>IFERROR(__xludf.DUMMYFUNCTION("IF(C386="""", """", XLOOKUP(TRIM(C386), 'COTRATOS ALBUNS 25.2'!E:E, 'COTRATOS ALBUNS 25.2'!D:D, XLOOKUP(TRIM(C386), IMPORTRANGE(""16smdYggRVyzhu5y9HP2ayvW__ybkjb1nkVsCvZrByLM"", ""'COTRATOS 26.1'!B:B""), IMPORTRANGE(""16smdYggRVyzhu5y9HP2ayvW__ybkjb1nkVsC"&amp;"vZrByLM"", ""'COTRATOS 26.1'!A:A""), """")))"),87759.0)</f>
        <v>87759</v>
      </c>
      <c r="F386" s="41" t="s">
        <v>36</v>
      </c>
      <c r="G386" s="42" t="s">
        <v>52</v>
      </c>
      <c r="H386" s="43"/>
      <c r="I386" s="44" t="s">
        <v>826</v>
      </c>
      <c r="J386" s="7"/>
      <c r="K386" s="8" t="s">
        <v>13</v>
      </c>
      <c r="L386" s="8" t="s">
        <v>78</v>
      </c>
      <c r="M386" s="8" t="s">
        <v>8</v>
      </c>
      <c r="N386" s="47" t="b">
        <v>0</v>
      </c>
      <c r="O386" s="48">
        <f t="shared" si="1"/>
        <v>46314</v>
      </c>
      <c r="P386" s="49">
        <v>46297.0</v>
      </c>
      <c r="Q386" s="50">
        <v>46246.0</v>
      </c>
      <c r="R386" s="86">
        <f t="shared" si="2"/>
        <v>46306</v>
      </c>
      <c r="S386" s="7"/>
      <c r="T386" s="7"/>
      <c r="U386" s="7"/>
      <c r="V386" s="7"/>
      <c r="W386" s="7"/>
      <c r="X386" s="7"/>
      <c r="Y386" s="7"/>
      <c r="Z386" s="7"/>
      <c r="AA386" s="141">
        <v>46294.397997569446</v>
      </c>
      <c r="AB386" s="7"/>
      <c r="AC386" s="7"/>
      <c r="AD386" s="7"/>
      <c r="AE386" s="7"/>
      <c r="AF386" s="7"/>
      <c r="AG386" s="7"/>
    </row>
    <row r="387">
      <c r="A387" s="67" t="b">
        <v>1</v>
      </c>
      <c r="B387" s="68">
        <v>46233.553402777776</v>
      </c>
      <c r="C387" s="38" t="s">
        <v>827</v>
      </c>
      <c r="D387" s="36">
        <v>1172.0</v>
      </c>
      <c r="E387" s="40">
        <f>IFERROR(__xludf.DUMMYFUNCTION("IF(C387="""", """", XLOOKUP(TRIM(C387), 'COTRATOS ALBUNS 25.2'!E:E, 'COTRATOS ALBUNS 25.2'!D:D, XLOOKUP(TRIM(C387), IMPORTRANGE(""16smdYggRVyzhu5y9HP2ayvW__ybkjb1nkVsCvZrByLM"", ""'COTRATOS 26.1'!B:B""), IMPORTRANGE(""16smdYggRVyzhu5y9HP2ayvW__ybkjb1nkVsC"&amp;"vZrByLM"", ""'COTRATOS 26.1'!A:A""), """")))"),85268.0)</f>
        <v>85268</v>
      </c>
      <c r="F387" s="41" t="s">
        <v>66</v>
      </c>
      <c r="G387" s="42" t="s">
        <v>37</v>
      </c>
      <c r="H387" s="43"/>
      <c r="I387" s="44" t="s">
        <v>828</v>
      </c>
      <c r="J387" s="5"/>
      <c r="K387" s="8" t="s">
        <v>13</v>
      </c>
      <c r="L387" s="8" t="s">
        <v>193</v>
      </c>
      <c r="M387" s="8" t="s">
        <v>8</v>
      </c>
      <c r="N387" s="63" t="b">
        <v>1</v>
      </c>
      <c r="O387" s="64">
        <f t="shared" si="1"/>
        <v>46250.5534</v>
      </c>
      <c r="P387" s="49">
        <v>46297.0</v>
      </c>
      <c r="Q387" s="50">
        <v>46245.0</v>
      </c>
      <c r="R387" s="86">
        <f t="shared" si="2"/>
        <v>46305</v>
      </c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</row>
    <row r="388">
      <c r="A388" s="36" t="b">
        <v>1</v>
      </c>
      <c r="B388" s="100">
        <v>46297.0</v>
      </c>
      <c r="C388" s="38" t="s">
        <v>829</v>
      </c>
      <c r="D388" s="36">
        <v>968.0</v>
      </c>
      <c r="E388" s="40">
        <f>IFERROR(__xludf.DUMMYFUNCTION("IF(C388="""", """", XLOOKUP(TRIM(C388), 'COTRATOS ALBUNS 25.2'!E:E, 'COTRATOS ALBUNS 25.2'!D:D, XLOOKUP(TRIM(C388), IMPORTRANGE(""16smdYggRVyzhu5y9HP2ayvW__ybkjb1nkVsCvZrByLM"", ""'COTRATOS 26.1'!B:B""), IMPORTRANGE(""16smdYggRVyzhu5y9HP2ayvW__ybkjb1nkVsC"&amp;"vZrByLM"", ""'COTRATOS 26.1'!A:A""), """")))"),83008.0)</f>
        <v>83008</v>
      </c>
      <c r="F388" s="41" t="s">
        <v>36</v>
      </c>
      <c r="G388" s="42" t="s">
        <v>456</v>
      </c>
      <c r="H388" s="43"/>
      <c r="I388" s="44" t="s">
        <v>830</v>
      </c>
      <c r="J388" s="5"/>
      <c r="K388" s="8" t="s">
        <v>13</v>
      </c>
      <c r="L388" s="103" t="s">
        <v>101</v>
      </c>
      <c r="M388" s="46" t="s">
        <v>8</v>
      </c>
      <c r="N388" s="47" t="b">
        <v>0</v>
      </c>
      <c r="O388" s="48">
        <f t="shared" si="1"/>
        <v>46314</v>
      </c>
      <c r="P388" s="49">
        <v>46297.0</v>
      </c>
      <c r="Q388" s="93">
        <v>46251.0</v>
      </c>
      <c r="R388" s="76">
        <f t="shared" si="2"/>
        <v>46311</v>
      </c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</row>
    <row r="389">
      <c r="A389" s="67" t="b">
        <v>1</v>
      </c>
      <c r="B389" s="74">
        <v>46297.0</v>
      </c>
      <c r="C389" s="38" t="s">
        <v>831</v>
      </c>
      <c r="D389" s="36">
        <v>988.0</v>
      </c>
      <c r="E389" s="40">
        <f>IFERROR(__xludf.DUMMYFUNCTION("IF(C389="""", """", XLOOKUP(TRIM(C389), 'COTRATOS ALBUNS 25.2'!E:E, 'COTRATOS ALBUNS 25.2'!D:D, XLOOKUP(TRIM(C389), IMPORTRANGE(""16smdYggRVyzhu5y9HP2ayvW__ybkjb1nkVsCvZrByLM"", ""'COTRATOS 26.1'!B:B""), IMPORTRANGE(""16smdYggRVyzhu5y9HP2ayvW__ybkjb1nkVsC"&amp;"vZrByLM"", ""'COTRATOS 26.1'!A:A""), """")))"),86671.0)</f>
        <v>86671</v>
      </c>
      <c r="F389" s="41" t="s">
        <v>36</v>
      </c>
      <c r="G389" s="42" t="s">
        <v>41</v>
      </c>
      <c r="H389" s="43"/>
      <c r="I389" s="44" t="s">
        <v>832</v>
      </c>
      <c r="J389" s="5"/>
      <c r="K389" s="8" t="s">
        <v>13</v>
      </c>
      <c r="L389" s="8" t="s">
        <v>78</v>
      </c>
      <c r="M389" s="8" t="s">
        <v>8</v>
      </c>
      <c r="N389" s="47" t="b">
        <v>0</v>
      </c>
      <c r="O389" s="48">
        <f t="shared" si="1"/>
        <v>46314</v>
      </c>
      <c r="P389" s="49">
        <v>46297.0</v>
      </c>
      <c r="Q389" s="93">
        <v>46255.0</v>
      </c>
      <c r="R389" s="76">
        <f t="shared" si="2"/>
        <v>46315</v>
      </c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</row>
    <row r="390">
      <c r="A390" s="53" t="b">
        <v>1</v>
      </c>
      <c r="B390" s="54">
        <v>46284.0</v>
      </c>
      <c r="C390" s="55" t="s">
        <v>833</v>
      </c>
      <c r="D390" s="56">
        <v>995.0</v>
      </c>
      <c r="E390" s="40">
        <f>IFERROR(__xludf.DUMMYFUNCTION("IF(C390="""", """", XLOOKUP(TRIM(C390), 'COTRATOS ALBUNS 25.2'!E:E, 'COTRATOS ALBUNS 25.2'!D:D, XLOOKUP(TRIM(C390), IMPORTRANGE(""16smdYggRVyzhu5y9HP2ayvW__ybkjb1nkVsCvZrByLM"", ""'COTRATOS 26.1'!B:B""), IMPORTRANGE(""16smdYggRVyzhu5y9HP2ayvW__ybkjb1nkVsC"&amp;"vZrByLM"", ""'COTRATOS 26.1'!A:A""), """")))"),93011.0)</f>
        <v>93011</v>
      </c>
      <c r="F390" s="57" t="s">
        <v>40</v>
      </c>
      <c r="G390" s="42" t="s">
        <v>67</v>
      </c>
      <c r="H390" s="43"/>
      <c r="I390" s="58" t="s">
        <v>834</v>
      </c>
      <c r="J390" s="59"/>
      <c r="K390" s="8" t="s">
        <v>6</v>
      </c>
      <c r="L390" s="59"/>
      <c r="M390" s="59"/>
      <c r="N390" s="47" t="b">
        <v>0</v>
      </c>
      <c r="O390" s="48">
        <f t="shared" si="1"/>
        <v>46301</v>
      </c>
      <c r="P390" s="49">
        <v>46286.0</v>
      </c>
      <c r="Q390" s="61"/>
      <c r="R390" s="51" t="str">
        <f t="shared" si="2"/>
        <v/>
      </c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</row>
    <row r="391">
      <c r="A391" s="67" t="b">
        <v>1</v>
      </c>
      <c r="B391" s="68">
        <v>46268.425312499996</v>
      </c>
      <c r="C391" s="38" t="s">
        <v>835</v>
      </c>
      <c r="D391" s="36">
        <v>977.0</v>
      </c>
      <c r="E391" s="40">
        <f>IFERROR(__xludf.DUMMYFUNCTION("IF(C391="""", """", XLOOKUP(TRIM(C391), 'COTRATOS ALBUNS 25.2'!E:E, 'COTRATOS ALBUNS 25.2'!D:D, XLOOKUP(TRIM(C391), IMPORTRANGE(""16smdYggRVyzhu5y9HP2ayvW__ybkjb1nkVsCvZrByLM"", ""'COTRATOS 26.1'!B:B""), IMPORTRANGE(""16smdYggRVyzhu5y9HP2ayvW__ybkjb1nkVsC"&amp;"vZrByLM"", ""'COTRATOS 26.1'!A:A""), """")))"),88658.0)</f>
        <v>88658</v>
      </c>
      <c r="F391" s="41" t="s">
        <v>44</v>
      </c>
      <c r="G391" s="42" t="s">
        <v>274</v>
      </c>
      <c r="H391" s="43"/>
      <c r="I391" s="44" t="s">
        <v>836</v>
      </c>
      <c r="J391" s="5"/>
      <c r="K391" s="8" t="s">
        <v>13</v>
      </c>
      <c r="L391" s="8" t="s">
        <v>93</v>
      </c>
      <c r="M391" s="8" t="s">
        <v>8</v>
      </c>
      <c r="N391" s="63" t="b">
        <v>1</v>
      </c>
      <c r="O391" s="64">
        <f t="shared" si="1"/>
        <v>46285.42531</v>
      </c>
      <c r="P391" s="49">
        <v>46297.0</v>
      </c>
      <c r="Q391" s="72">
        <f>B391</f>
        <v>46268.42531</v>
      </c>
      <c r="R391" s="73">
        <f t="shared" si="2"/>
        <v>46328.42531</v>
      </c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</row>
    <row r="392">
      <c r="A392" s="67" t="b">
        <v>1</v>
      </c>
      <c r="B392" s="74">
        <v>46297.0</v>
      </c>
      <c r="C392" s="38" t="s">
        <v>837</v>
      </c>
      <c r="D392" s="36">
        <v>957.0</v>
      </c>
      <c r="E392" s="40">
        <f>IFERROR(__xludf.DUMMYFUNCTION("IF(C392="""", """", XLOOKUP(TRIM(C392), 'COTRATOS ALBUNS 25.2'!E:E, 'COTRATOS ALBUNS 25.2'!D:D, XLOOKUP(TRIM(C392), IMPORTRANGE(""16smdYggRVyzhu5y9HP2ayvW__ybkjb1nkVsCvZrByLM"", ""'COTRATOS 26.1'!B:B""), IMPORTRANGE(""16smdYggRVyzhu5y9HP2ayvW__ybkjb1nkVsC"&amp;"vZrByLM"", ""'COTRATOS 26.1'!A:A""), """")))"),83151.0)</f>
        <v>83151</v>
      </c>
      <c r="F392" s="41" t="s">
        <v>36</v>
      </c>
      <c r="G392" s="42" t="s">
        <v>57</v>
      </c>
      <c r="H392" s="43"/>
      <c r="I392" s="44" t="s">
        <v>838</v>
      </c>
      <c r="J392" s="5"/>
      <c r="K392" s="8" t="s">
        <v>13</v>
      </c>
      <c r="L392" s="108" t="s">
        <v>101</v>
      </c>
      <c r="M392" s="46" t="s">
        <v>8</v>
      </c>
      <c r="N392" s="47" t="b">
        <v>0</v>
      </c>
      <c r="O392" s="48">
        <f t="shared" si="1"/>
        <v>46314</v>
      </c>
      <c r="P392" s="49">
        <v>46297.0</v>
      </c>
      <c r="Q392" s="50">
        <v>46251.0</v>
      </c>
      <c r="R392" s="86">
        <f t="shared" si="2"/>
        <v>46311</v>
      </c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</row>
    <row r="393">
      <c r="A393" s="36" t="b">
        <v>1</v>
      </c>
      <c r="B393" s="100">
        <v>46174.0</v>
      </c>
      <c r="C393" s="38" t="s">
        <v>839</v>
      </c>
      <c r="D393" s="36">
        <v>968.0</v>
      </c>
      <c r="E393" s="40">
        <f>IFERROR(__xludf.DUMMYFUNCTION("IF(C393="""", """", XLOOKUP(TRIM(C393), 'COTRATOS ALBUNS 25.2'!E:E, 'COTRATOS ALBUNS 25.2'!D:D, XLOOKUP(TRIM(C393), IMPORTRANGE(""16smdYggRVyzhu5y9HP2ayvW__ybkjb1nkVsCvZrByLM"", ""'COTRATOS 26.1'!B:B""), IMPORTRANGE(""16smdYggRVyzhu5y9HP2ayvW__ybkjb1nkVsC"&amp;"vZrByLM"", ""'COTRATOS 26.1'!A:A""), """")))"),85650.0)</f>
        <v>85650</v>
      </c>
      <c r="F393" s="41" t="s">
        <v>36</v>
      </c>
      <c r="G393" s="42" t="s">
        <v>57</v>
      </c>
      <c r="H393" s="43"/>
      <c r="I393" s="44" t="s">
        <v>840</v>
      </c>
      <c r="J393" s="5"/>
      <c r="K393" s="8" t="s">
        <v>6</v>
      </c>
      <c r="L393" s="8"/>
      <c r="M393" s="46" t="s">
        <v>8</v>
      </c>
      <c r="N393" s="47" t="b">
        <v>0</v>
      </c>
      <c r="O393" s="48">
        <f t="shared" si="1"/>
        <v>46191</v>
      </c>
      <c r="P393" s="49">
        <v>46246.0</v>
      </c>
      <c r="Q393" s="132">
        <v>46300.0</v>
      </c>
      <c r="R393" s="76">
        <f t="shared" si="2"/>
        <v>46360</v>
      </c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</row>
    <row r="394">
      <c r="A394" s="36" t="b">
        <v>1</v>
      </c>
      <c r="B394" s="94">
        <v>46224.752187499995</v>
      </c>
      <c r="C394" s="38" t="s">
        <v>841</v>
      </c>
      <c r="D394" s="36">
        <v>953.0</v>
      </c>
      <c r="E394" s="40">
        <f>IFERROR(__xludf.DUMMYFUNCTION("IF(C394="""", """", XLOOKUP(TRIM(C394), 'COTRATOS ALBUNS 25.2'!E:E, 'COTRATOS ALBUNS 25.2'!D:D, XLOOKUP(TRIM(C394), IMPORTRANGE(""16smdYggRVyzhu5y9HP2ayvW__ybkjb1nkVsCvZrByLM"", ""'COTRATOS 26.1'!B:B""), IMPORTRANGE(""16smdYggRVyzhu5y9HP2ayvW__ybkjb1nkVsC"&amp;"vZrByLM"", ""'COTRATOS 26.1'!A:A""), """")))"),88835.0)</f>
        <v>88835</v>
      </c>
      <c r="F394" s="41" t="s">
        <v>66</v>
      </c>
      <c r="G394" s="42" t="s">
        <v>71</v>
      </c>
      <c r="H394" s="43"/>
      <c r="I394" s="44" t="s">
        <v>842</v>
      </c>
      <c r="J394" s="5"/>
      <c r="K394" s="8" t="s">
        <v>13</v>
      </c>
      <c r="L394" s="103" t="s">
        <v>47</v>
      </c>
      <c r="M394" s="8" t="s">
        <v>8</v>
      </c>
      <c r="N394" s="63" t="b">
        <v>1</v>
      </c>
      <c r="O394" s="64">
        <f t="shared" si="1"/>
        <v>46241.75219</v>
      </c>
      <c r="P394" s="49">
        <v>46297.0</v>
      </c>
      <c r="Q394" s="85">
        <v>46224.0</v>
      </c>
      <c r="R394" s="86">
        <f t="shared" si="2"/>
        <v>46284</v>
      </c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</row>
    <row r="395">
      <c r="A395" s="36" t="b">
        <v>1</v>
      </c>
      <c r="B395" s="94">
        <v>46246.728009259255</v>
      </c>
      <c r="C395" s="38" t="s">
        <v>843</v>
      </c>
      <c r="D395" s="36">
        <v>1103.0</v>
      </c>
      <c r="E395" s="40">
        <f>IFERROR(__xludf.DUMMYFUNCTION("IF(C395="""", """", XLOOKUP(TRIM(C395), 'COTRATOS ALBUNS 25.2'!E:E, 'COTRATOS ALBUNS 25.2'!D:D, XLOOKUP(TRIM(C395), IMPORTRANGE(""16smdYggRVyzhu5y9HP2ayvW__ybkjb1nkVsCvZrByLM"", ""'COTRATOS 26.1'!B:B""), IMPORTRANGE(""16smdYggRVyzhu5y9HP2ayvW__ybkjb1nkVsC"&amp;"vZrByLM"", ""'COTRATOS 26.1'!A:A""), """")))"),88551.0)</f>
        <v>88551</v>
      </c>
      <c r="F395" s="41" t="s">
        <v>36</v>
      </c>
      <c r="G395" s="42" t="s">
        <v>45</v>
      </c>
      <c r="H395" s="43"/>
      <c r="I395" s="44" t="s">
        <v>844</v>
      </c>
      <c r="J395" s="5"/>
      <c r="K395" s="8" t="s">
        <v>13</v>
      </c>
      <c r="L395" s="8" t="s">
        <v>218</v>
      </c>
      <c r="M395" s="8" t="s">
        <v>8</v>
      </c>
      <c r="N395" s="63" t="b">
        <v>1</v>
      </c>
      <c r="O395" s="64">
        <f t="shared" si="1"/>
        <v>46263.72801</v>
      </c>
      <c r="P395" s="49">
        <v>46297.0</v>
      </c>
      <c r="Q395" s="50">
        <v>46246.0</v>
      </c>
      <c r="R395" s="86">
        <f t="shared" si="2"/>
        <v>46306</v>
      </c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</row>
    <row r="396">
      <c r="A396" s="67" t="b">
        <v>1</v>
      </c>
      <c r="B396" s="126">
        <v>46162.0</v>
      </c>
      <c r="C396" s="38" t="s">
        <v>845</v>
      </c>
      <c r="D396" s="36">
        <v>1177.0</v>
      </c>
      <c r="E396" s="40">
        <f>IFERROR(__xludf.DUMMYFUNCTION("IF(C396="""", """", XLOOKUP(TRIM(C396), 'COTRATOS ALBUNS 25.2'!E:E, 'COTRATOS ALBUNS 25.2'!D:D, XLOOKUP(TRIM(C396), IMPORTRANGE(""16smdYggRVyzhu5y9HP2ayvW__ybkjb1nkVsCvZrByLM"", ""'COTRATOS 26.1'!B:B""), IMPORTRANGE(""16smdYggRVyzhu5y9HP2ayvW__ybkjb1nkVsC"&amp;"vZrByLM"", ""'COTRATOS 26.1'!A:A""), """")))"),88260.0)</f>
        <v>88260</v>
      </c>
      <c r="F396" s="41" t="s">
        <v>36</v>
      </c>
      <c r="G396" s="42" t="s">
        <v>123</v>
      </c>
      <c r="H396" s="43"/>
      <c r="I396" s="44" t="s">
        <v>846</v>
      </c>
      <c r="J396" s="5"/>
      <c r="K396" s="8" t="s">
        <v>6</v>
      </c>
      <c r="L396" s="46"/>
      <c r="M396" s="46" t="s">
        <v>8</v>
      </c>
      <c r="N396" s="47" t="b">
        <v>0</v>
      </c>
      <c r="O396" s="127">
        <f t="shared" si="1"/>
        <v>46179</v>
      </c>
      <c r="P396" s="49">
        <v>46205.0</v>
      </c>
      <c r="Q396" s="82"/>
      <c r="R396" s="51" t="str">
        <f t="shared" si="2"/>
        <v/>
      </c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</row>
    <row r="397">
      <c r="A397" s="36" t="b">
        <v>1</v>
      </c>
      <c r="B397" s="113">
        <v>46190.0</v>
      </c>
      <c r="C397" s="38" t="s">
        <v>847</v>
      </c>
      <c r="D397" s="39">
        <v>994.0</v>
      </c>
      <c r="E397" s="40">
        <f>IFERROR(__xludf.DUMMYFUNCTION("IF(C397="""", """", XLOOKUP(TRIM(C397), 'COTRATOS ALBUNS 25.2'!E:E, 'COTRATOS ALBUNS 25.2'!D:D, XLOOKUP(TRIM(C397), IMPORTRANGE(""16smdYggRVyzhu5y9HP2ayvW__ybkjb1nkVsCvZrByLM"", ""'COTRATOS 26.1'!B:B""), IMPORTRANGE(""16smdYggRVyzhu5y9HP2ayvW__ybkjb1nkVsC"&amp;"vZrByLM"", ""'COTRATOS 26.1'!A:A""), """")))"),82761.0)</f>
        <v>82761</v>
      </c>
      <c r="F397" s="41" t="s">
        <v>66</v>
      </c>
      <c r="G397" s="42" t="s">
        <v>123</v>
      </c>
      <c r="H397" s="43"/>
      <c r="I397" s="44" t="s">
        <v>848</v>
      </c>
      <c r="J397" s="7"/>
      <c r="K397" s="8" t="s">
        <v>144</v>
      </c>
      <c r="L397" s="108"/>
      <c r="M397" s="46" t="s">
        <v>8</v>
      </c>
      <c r="N397" s="47" t="b">
        <v>0</v>
      </c>
      <c r="O397" s="52">
        <f t="shared" si="1"/>
        <v>46207</v>
      </c>
      <c r="P397" s="49">
        <v>46238.0</v>
      </c>
      <c r="Q397" s="93">
        <v>46312.0</v>
      </c>
      <c r="R397" s="76">
        <f t="shared" si="2"/>
        <v>46372</v>
      </c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</row>
    <row r="398">
      <c r="A398" s="36" t="b">
        <v>1</v>
      </c>
      <c r="B398" s="62">
        <v>46242.66872685185</v>
      </c>
      <c r="C398" s="38" t="s">
        <v>849</v>
      </c>
      <c r="D398" s="39">
        <v>1172.0</v>
      </c>
      <c r="E398" s="40">
        <f>IFERROR(__xludf.DUMMYFUNCTION("IF(C398="""", """", XLOOKUP(TRIM(C398), 'COTRATOS ALBUNS 25.2'!E:E, 'COTRATOS ALBUNS 25.2'!D:D, XLOOKUP(TRIM(C398), IMPORTRANGE(""16smdYggRVyzhu5y9HP2ayvW__ybkjb1nkVsCvZrByLM"", ""'COTRATOS 26.1'!B:B""), IMPORTRANGE(""16smdYggRVyzhu5y9HP2ayvW__ybkjb1nkVsC"&amp;"vZrByLM"", ""'COTRATOS 26.1'!A:A""), """")))"),87322.0)</f>
        <v>87322</v>
      </c>
      <c r="F398" s="41" t="s">
        <v>66</v>
      </c>
      <c r="G398" s="42" t="s">
        <v>95</v>
      </c>
      <c r="H398" s="43"/>
      <c r="I398" s="44" t="s">
        <v>850</v>
      </c>
      <c r="J398" s="7"/>
      <c r="K398" s="8" t="s">
        <v>13</v>
      </c>
      <c r="L398" s="156" t="s">
        <v>218</v>
      </c>
      <c r="M398" s="8" t="s">
        <v>8</v>
      </c>
      <c r="N398" s="63" t="b">
        <v>1</v>
      </c>
      <c r="O398" s="64">
        <f t="shared" si="1"/>
        <v>46259.66873</v>
      </c>
      <c r="P398" s="49">
        <v>46297.0</v>
      </c>
      <c r="Q398" s="61">
        <v>46244.50804612269</v>
      </c>
      <c r="R398" s="76">
        <f t="shared" si="2"/>
        <v>46304.50805</v>
      </c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</row>
    <row r="399">
      <c r="A399" s="67" t="b">
        <v>1</v>
      </c>
      <c r="B399" s="68">
        <v>46216.47733796296</v>
      </c>
      <c r="C399" s="38" t="s">
        <v>851</v>
      </c>
      <c r="D399" s="36">
        <v>1172.0</v>
      </c>
      <c r="E399" s="40">
        <f>IFERROR(__xludf.DUMMYFUNCTION("IF(C399="""", """", XLOOKUP(TRIM(C399), 'COTRATOS ALBUNS 25.2'!E:E, 'COTRATOS ALBUNS 25.2'!D:D, XLOOKUP(TRIM(C399), IMPORTRANGE(""16smdYggRVyzhu5y9HP2ayvW__ybkjb1nkVsCvZrByLM"", ""'COTRATOS 26.1'!B:B""), IMPORTRANGE(""16smdYggRVyzhu5y9HP2ayvW__ybkjb1nkVsC"&amp;"vZrByLM"", ""'COTRATOS 26.1'!A:A""), """")))"),87971.0)</f>
        <v>87971</v>
      </c>
      <c r="F399" s="41" t="s">
        <v>36</v>
      </c>
      <c r="G399" s="42" t="s">
        <v>37</v>
      </c>
      <c r="H399" s="43"/>
      <c r="I399" s="44" t="s">
        <v>852</v>
      </c>
      <c r="J399" s="5"/>
      <c r="K399" s="8" t="s">
        <v>13</v>
      </c>
      <c r="L399" s="8" t="s">
        <v>121</v>
      </c>
      <c r="M399" s="5"/>
      <c r="N399" s="63" t="b">
        <v>1</v>
      </c>
      <c r="O399" s="64">
        <f t="shared" si="1"/>
        <v>46233.47734</v>
      </c>
      <c r="P399" s="49">
        <v>46297.0</v>
      </c>
      <c r="Q399" s="85">
        <v>46216.0</v>
      </c>
      <c r="R399" s="86">
        <f t="shared" si="2"/>
        <v>46276</v>
      </c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</row>
    <row r="400">
      <c r="A400" s="56" t="b">
        <v>1</v>
      </c>
      <c r="B400" s="77">
        <v>46253.0</v>
      </c>
      <c r="C400" s="78" t="s">
        <v>853</v>
      </c>
      <c r="D400" s="38">
        <v>954.0</v>
      </c>
      <c r="E400" s="40">
        <f>IFERROR(__xludf.DUMMYFUNCTION("IF(C400="""", """", XLOOKUP(TRIM(C400), 'COTRATOS ALBUNS 25.2'!E:E, 'COTRATOS ALBUNS 25.2'!D:D, XLOOKUP(TRIM(C400), IMPORTRANGE(""16smdYggRVyzhu5y9HP2ayvW__ybkjb1nkVsCvZrByLM"", ""'COTRATOS 26.1'!B:B""), IMPORTRANGE(""16smdYggRVyzhu5y9HP2ayvW__ybkjb1nkVsC"&amp;"vZrByLM"", ""'COTRATOS 26.1'!A:A""), """")))"),95549.0)</f>
        <v>95549</v>
      </c>
      <c r="F400" s="57" t="s">
        <v>40</v>
      </c>
      <c r="G400" s="42" t="s">
        <v>71</v>
      </c>
      <c r="H400" s="43"/>
      <c r="I400" s="58" t="s">
        <v>854</v>
      </c>
      <c r="J400" s="59"/>
      <c r="K400" s="53" t="s">
        <v>17</v>
      </c>
      <c r="L400" s="59"/>
      <c r="M400" s="59"/>
      <c r="N400" s="47" t="b">
        <v>0</v>
      </c>
      <c r="O400" s="48">
        <f t="shared" si="1"/>
        <v>46270</v>
      </c>
      <c r="P400" s="60"/>
      <c r="Q400" s="61"/>
      <c r="R400" s="51" t="str">
        <f t="shared" si="2"/>
        <v/>
      </c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</row>
    <row r="401">
      <c r="A401" s="53" t="b">
        <v>1</v>
      </c>
      <c r="B401" s="54">
        <v>46290.0</v>
      </c>
      <c r="C401" s="55" t="s">
        <v>855</v>
      </c>
      <c r="D401" s="56">
        <v>689.0</v>
      </c>
      <c r="E401" s="40">
        <f>IFERROR(__xludf.DUMMYFUNCTION("IF(C401="""", """", XLOOKUP(TRIM(C401), 'COTRATOS ALBUNS 25.2'!E:E, 'COTRATOS ALBUNS 25.2'!D:D, XLOOKUP(TRIM(C401), IMPORTRANGE(""16smdYggRVyzhu5y9HP2ayvW__ybkjb1nkVsCvZrByLM"", ""'COTRATOS 26.1'!B:B""), IMPORTRANGE(""16smdYggRVyzhu5y9HP2ayvW__ybkjb1nkVsC"&amp;"vZrByLM"", ""'COTRATOS 26.1'!A:A""), """")))"),93529.0)</f>
        <v>93529</v>
      </c>
      <c r="F401" s="57" t="s">
        <v>40</v>
      </c>
      <c r="G401" s="42" t="s">
        <v>95</v>
      </c>
      <c r="H401" s="43"/>
      <c r="I401" s="58" t="s">
        <v>856</v>
      </c>
      <c r="J401" s="59"/>
      <c r="K401" s="53" t="s">
        <v>10</v>
      </c>
      <c r="L401" s="59"/>
      <c r="M401" s="59"/>
      <c r="N401" s="47" t="b">
        <v>0</v>
      </c>
      <c r="O401" s="48">
        <f t="shared" si="1"/>
        <v>46307</v>
      </c>
      <c r="P401" s="60"/>
      <c r="Q401" s="61"/>
      <c r="R401" s="51" t="str">
        <f t="shared" si="2"/>
        <v/>
      </c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</row>
    <row r="402">
      <c r="A402" s="36" t="b">
        <v>1</v>
      </c>
      <c r="B402" s="90">
        <v>46297.0</v>
      </c>
      <c r="C402" s="81" t="s">
        <v>857</v>
      </c>
      <c r="D402" s="79">
        <v>961.0</v>
      </c>
      <c r="E402" s="40">
        <f>IFERROR(__xludf.DUMMYFUNCTION("IF(C402="""", """", XLOOKUP(TRIM(C402), 'COTRATOS ALBUNS 25.2'!E:E, 'COTRATOS ALBUNS 25.2'!D:D, XLOOKUP(TRIM(C402), IMPORTRANGE(""16smdYggRVyzhu5y9HP2ayvW__ybkjb1nkVsCvZrByLM"", ""'COTRATOS 26.1'!B:B""), IMPORTRANGE(""16smdYggRVyzhu5y9HP2ayvW__ybkjb1nkVsC"&amp;"vZrByLM"", ""'COTRATOS 26.1'!A:A""), """")))"),86877.0)</f>
        <v>86877</v>
      </c>
      <c r="F402" s="41" t="s">
        <v>44</v>
      </c>
      <c r="G402" s="42" t="s">
        <v>87</v>
      </c>
      <c r="H402" s="43"/>
      <c r="I402" s="44" t="s">
        <v>858</v>
      </c>
      <c r="J402" s="7"/>
      <c r="K402" s="8" t="s">
        <v>13</v>
      </c>
      <c r="L402" s="8" t="s">
        <v>101</v>
      </c>
      <c r="M402" s="8" t="s">
        <v>8</v>
      </c>
      <c r="N402" s="47" t="b">
        <v>0</v>
      </c>
      <c r="O402" s="48">
        <f t="shared" si="1"/>
        <v>46314</v>
      </c>
      <c r="P402" s="49">
        <v>46297.0</v>
      </c>
      <c r="Q402" s="50">
        <v>46246.0</v>
      </c>
      <c r="R402" s="86">
        <f t="shared" si="2"/>
        <v>46306</v>
      </c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</row>
    <row r="403">
      <c r="A403" s="67" t="b">
        <v>1</v>
      </c>
      <c r="B403" s="126">
        <v>46118.0</v>
      </c>
      <c r="C403" s="69" t="s">
        <v>859</v>
      </c>
      <c r="D403" s="70">
        <v>994.0</v>
      </c>
      <c r="E403" s="40">
        <f>IFERROR(__xludf.DUMMYFUNCTION("IF(C403="""", """", XLOOKUP(TRIM(C403), 'COTRATOS ALBUNS 25.2'!E:E, 'COTRATOS ALBUNS 25.2'!D:D, XLOOKUP(TRIM(C403), IMPORTRANGE(""16smdYggRVyzhu5y9HP2ayvW__ybkjb1nkVsCvZrByLM"", ""'COTRATOS 26.1'!B:B""), IMPORTRANGE(""16smdYggRVyzhu5y9HP2ayvW__ybkjb1nkVsC"&amp;"vZrByLM"", ""'COTRATOS 26.1'!A:A""), """")))"),88726.0)</f>
        <v>88726</v>
      </c>
      <c r="F403" s="71" t="s">
        <v>36</v>
      </c>
      <c r="G403" s="42" t="s">
        <v>274</v>
      </c>
      <c r="H403" s="43"/>
      <c r="I403" s="44" t="s">
        <v>860</v>
      </c>
      <c r="J403" s="5"/>
      <c r="K403" s="8" t="s">
        <v>6</v>
      </c>
      <c r="L403" s="5"/>
      <c r="M403" s="46" t="s">
        <v>8</v>
      </c>
      <c r="N403" s="47" t="b">
        <v>0</v>
      </c>
      <c r="O403" s="127">
        <f t="shared" si="1"/>
        <v>46135</v>
      </c>
      <c r="P403" s="107">
        <v>46238.57471064814</v>
      </c>
      <c r="Q403" s="82"/>
      <c r="R403" s="51" t="str">
        <f t="shared" si="2"/>
        <v/>
      </c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</row>
    <row r="404">
      <c r="A404" s="36" t="b">
        <v>1</v>
      </c>
      <c r="B404" s="37">
        <v>46301.0</v>
      </c>
      <c r="C404" s="38" t="s">
        <v>861</v>
      </c>
      <c r="D404" s="39">
        <v>957.0</v>
      </c>
      <c r="E404" s="40">
        <f>IFERROR(__xludf.DUMMYFUNCTION("IF(C404="""", """", XLOOKUP(TRIM(C404), 'COTRATOS ALBUNS 25.2'!E:E, 'COTRATOS ALBUNS 25.2'!D:D, XLOOKUP(TRIM(C404), IMPORTRANGE(""16smdYggRVyzhu5y9HP2ayvW__ybkjb1nkVsCvZrByLM"", ""'COTRATOS 26.1'!B:B""), IMPORTRANGE(""16smdYggRVyzhu5y9HP2ayvW__ybkjb1nkVsC"&amp;"vZrByLM"", ""'COTRATOS 26.1'!A:A""), """")))"),86694.0)</f>
        <v>86694</v>
      </c>
      <c r="F404" s="41" t="s">
        <v>66</v>
      </c>
      <c r="G404" s="42" t="s">
        <v>67</v>
      </c>
      <c r="H404" s="43"/>
      <c r="I404" s="157" t="s">
        <v>862</v>
      </c>
      <c r="J404" s="158"/>
      <c r="K404" s="53" t="s">
        <v>14</v>
      </c>
      <c r="L404" s="45" t="s">
        <v>156</v>
      </c>
      <c r="M404" s="46" t="s">
        <v>8</v>
      </c>
      <c r="N404" s="47" t="b">
        <v>0</v>
      </c>
      <c r="O404" s="48">
        <f t="shared" si="1"/>
        <v>46318</v>
      </c>
      <c r="P404" s="49">
        <v>46297.0</v>
      </c>
      <c r="Q404" s="50">
        <v>46244.0</v>
      </c>
      <c r="R404" s="86">
        <f t="shared" si="2"/>
        <v>46304</v>
      </c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</row>
    <row r="405">
      <c r="A405" s="67" t="b">
        <v>1</v>
      </c>
      <c r="B405" s="68">
        <v>46268.42564814815</v>
      </c>
      <c r="C405" s="69" t="s">
        <v>863</v>
      </c>
      <c r="D405" s="70">
        <v>971.0</v>
      </c>
      <c r="E405" s="40">
        <f>IFERROR(__xludf.DUMMYFUNCTION("IF(C405="""", """", XLOOKUP(TRIM(C405), 'COTRATOS ALBUNS 25.2'!E:E, 'COTRATOS ALBUNS 25.2'!D:D, XLOOKUP(TRIM(C405), IMPORTRANGE(""16smdYggRVyzhu5y9HP2ayvW__ybkjb1nkVsCvZrByLM"", ""'COTRATOS 26.1'!B:B""), IMPORTRANGE(""16smdYggRVyzhu5y9HP2ayvW__ybkjb1nkVsC"&amp;"vZrByLM"", ""'COTRATOS 26.1'!A:A""), """")))"),86804.0)</f>
        <v>86804</v>
      </c>
      <c r="F405" s="41" t="s">
        <v>74</v>
      </c>
      <c r="G405" s="42" t="s">
        <v>207</v>
      </c>
      <c r="H405" s="43"/>
      <c r="I405" s="44" t="s">
        <v>864</v>
      </c>
      <c r="J405" s="5"/>
      <c r="K405" s="8" t="s">
        <v>13</v>
      </c>
      <c r="L405" s="8" t="s">
        <v>93</v>
      </c>
      <c r="M405" s="8" t="s">
        <v>8</v>
      </c>
      <c r="N405" s="63" t="b">
        <v>1</v>
      </c>
      <c r="O405" s="64">
        <f t="shared" si="1"/>
        <v>46285.42565</v>
      </c>
      <c r="P405" s="49">
        <v>46297.0</v>
      </c>
      <c r="Q405" s="65">
        <v>46199.0</v>
      </c>
      <c r="R405" s="66">
        <f t="shared" si="2"/>
        <v>46259</v>
      </c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</row>
    <row r="406">
      <c r="A406" s="67" t="b">
        <v>1</v>
      </c>
      <c r="B406" s="68">
        <v>46209.434583333335</v>
      </c>
      <c r="C406" s="38" t="s">
        <v>865</v>
      </c>
      <c r="D406" s="36">
        <v>1172.0</v>
      </c>
      <c r="E406" s="40">
        <f>IFERROR(__xludf.DUMMYFUNCTION("IF(C406="""", """", XLOOKUP(TRIM(C406), 'COTRATOS ALBUNS 25.2'!E:E, 'COTRATOS ALBUNS 25.2'!D:D, XLOOKUP(TRIM(C406), IMPORTRANGE(""16smdYggRVyzhu5y9HP2ayvW__ybkjb1nkVsCvZrByLM"", ""'COTRATOS 26.1'!B:B""), IMPORTRANGE(""16smdYggRVyzhu5y9HP2ayvW__ybkjb1nkVsC"&amp;"vZrByLM"", ""'COTRATOS 26.1'!A:A""), """")))"),89466.0)</f>
        <v>89466</v>
      </c>
      <c r="F406" s="41" t="s">
        <v>66</v>
      </c>
      <c r="G406" s="42" t="s">
        <v>41</v>
      </c>
      <c r="H406" s="43"/>
      <c r="I406" s="44" t="s">
        <v>866</v>
      </c>
      <c r="J406" s="5"/>
      <c r="K406" s="8" t="s">
        <v>13</v>
      </c>
      <c r="L406" s="8" t="s">
        <v>121</v>
      </c>
      <c r="M406" s="5"/>
      <c r="N406" s="63" t="b">
        <v>1</v>
      </c>
      <c r="O406" s="64">
        <f t="shared" si="1"/>
        <v>46226.43458</v>
      </c>
      <c r="P406" s="49">
        <v>46297.0</v>
      </c>
      <c r="Q406" s="85">
        <v>46212.0</v>
      </c>
      <c r="R406" s="86">
        <f t="shared" si="2"/>
        <v>46272</v>
      </c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</row>
    <row r="407">
      <c r="A407" s="53" t="b">
        <v>1</v>
      </c>
      <c r="B407" s="54">
        <v>46290.0</v>
      </c>
      <c r="C407" s="55" t="s">
        <v>867</v>
      </c>
      <c r="D407" s="56">
        <v>995.0</v>
      </c>
      <c r="E407" s="40">
        <f>IFERROR(__xludf.DUMMYFUNCTION("IF(C407="""", """", XLOOKUP(TRIM(C407), 'COTRATOS ALBUNS 25.2'!E:E, 'COTRATOS ALBUNS 25.2'!D:D, XLOOKUP(TRIM(C407), IMPORTRANGE(""16smdYggRVyzhu5y9HP2ayvW__ybkjb1nkVsCvZrByLM"", ""'COTRATOS 26.1'!B:B""), IMPORTRANGE(""16smdYggRVyzhu5y9HP2ayvW__ybkjb1nkVsC"&amp;"vZrByLM"", ""'COTRATOS 26.1'!A:A""), """")))"),94597.0)</f>
        <v>94597</v>
      </c>
      <c r="F407" s="57" t="s">
        <v>56</v>
      </c>
      <c r="G407" s="42" t="s">
        <v>63</v>
      </c>
      <c r="H407" s="43"/>
      <c r="I407" s="58" t="s">
        <v>868</v>
      </c>
      <c r="J407" s="59"/>
      <c r="K407" s="53" t="s">
        <v>10</v>
      </c>
      <c r="L407" s="59"/>
      <c r="M407" s="59"/>
      <c r="N407" s="47" t="b">
        <v>0</v>
      </c>
      <c r="O407" s="48">
        <f t="shared" si="1"/>
        <v>46307</v>
      </c>
      <c r="P407" s="60"/>
      <c r="Q407" s="61"/>
      <c r="R407" s="51" t="str">
        <f t="shared" si="2"/>
        <v/>
      </c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</row>
    <row r="408">
      <c r="A408" s="36" t="b">
        <v>1</v>
      </c>
      <c r="B408" s="100">
        <v>46297.0</v>
      </c>
      <c r="C408" s="38" t="s">
        <v>869</v>
      </c>
      <c r="D408" s="36">
        <v>1172.0</v>
      </c>
      <c r="E408" s="40">
        <f>IFERROR(__xludf.DUMMYFUNCTION("IF(C408="""", """", XLOOKUP(TRIM(C408), 'COTRATOS ALBUNS 25.2'!E:E, 'COTRATOS ALBUNS 25.2'!D:D, XLOOKUP(TRIM(C408), IMPORTRANGE(""16smdYggRVyzhu5y9HP2ayvW__ybkjb1nkVsCvZrByLM"", ""'COTRATOS 26.1'!B:B""), IMPORTRANGE(""16smdYggRVyzhu5y9HP2ayvW__ybkjb1nkVsC"&amp;"vZrByLM"", ""'COTRATOS 26.1'!A:A""), """")))"),85325.0)</f>
        <v>85325</v>
      </c>
      <c r="F408" s="41" t="s">
        <v>74</v>
      </c>
      <c r="G408" s="42" t="s">
        <v>52</v>
      </c>
      <c r="H408" s="43"/>
      <c r="I408" s="44" t="s">
        <v>870</v>
      </c>
      <c r="J408" s="5"/>
      <c r="K408" s="8" t="s">
        <v>13</v>
      </c>
      <c r="L408" s="8" t="s">
        <v>101</v>
      </c>
      <c r="M408" s="46" t="s">
        <v>8</v>
      </c>
      <c r="N408" s="47" t="b">
        <v>0</v>
      </c>
      <c r="O408" s="48">
        <f t="shared" si="1"/>
        <v>46314</v>
      </c>
      <c r="P408" s="49">
        <v>46297.0</v>
      </c>
      <c r="Q408" s="93">
        <v>46248.0</v>
      </c>
      <c r="R408" s="76">
        <f t="shared" si="2"/>
        <v>46308</v>
      </c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</row>
    <row r="409">
      <c r="A409" s="67" t="b">
        <v>1</v>
      </c>
      <c r="B409" s="68">
        <v>46268.42582175926</v>
      </c>
      <c r="C409" s="69" t="s">
        <v>871</v>
      </c>
      <c r="D409" s="70">
        <v>964.0</v>
      </c>
      <c r="E409" s="40">
        <f>IFERROR(__xludf.DUMMYFUNCTION("IF(C409="""", """", XLOOKUP(TRIM(C409), 'COTRATOS ALBUNS 25.2'!E:E, 'COTRATOS ALBUNS 25.2'!D:D, XLOOKUP(TRIM(C409), IMPORTRANGE(""16smdYggRVyzhu5y9HP2ayvW__ybkjb1nkVsCvZrByLM"", ""'COTRATOS 26.1'!B:B""), IMPORTRANGE(""16smdYggRVyzhu5y9HP2ayvW__ybkjb1nkVsC"&amp;"vZrByLM"", ""'COTRATOS 26.1'!A:A""), """")))"),86013.0)</f>
        <v>86013</v>
      </c>
      <c r="F409" s="71" t="s">
        <v>36</v>
      </c>
      <c r="G409" s="42" t="s">
        <v>250</v>
      </c>
      <c r="H409" s="43"/>
      <c r="I409" s="44" t="s">
        <v>872</v>
      </c>
      <c r="J409" s="5"/>
      <c r="K409" s="8" t="s">
        <v>13</v>
      </c>
      <c r="L409" s="8" t="s">
        <v>50</v>
      </c>
      <c r="M409" s="8" t="s">
        <v>8</v>
      </c>
      <c r="N409" s="63" t="b">
        <v>1</v>
      </c>
      <c r="O409" s="64">
        <f t="shared" si="1"/>
        <v>46285.42582</v>
      </c>
      <c r="P409" s="49">
        <v>46260.0</v>
      </c>
      <c r="Q409" s="72">
        <f>B409</f>
        <v>46268.42582</v>
      </c>
      <c r="R409" s="73">
        <f t="shared" si="2"/>
        <v>46328.42582</v>
      </c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</row>
    <row r="410">
      <c r="A410" s="67" t="b">
        <v>1</v>
      </c>
      <c r="B410" s="74">
        <v>46297.0</v>
      </c>
      <c r="C410" s="69" t="s">
        <v>873</v>
      </c>
      <c r="D410" s="70">
        <v>1172.0</v>
      </c>
      <c r="E410" s="40">
        <f>IFERROR(__xludf.DUMMYFUNCTION("IF(C410="""", """", XLOOKUP(TRIM(C410), 'COTRATOS ALBUNS 25.2'!E:E, 'COTRATOS ALBUNS 25.2'!D:D, XLOOKUP(TRIM(C410), IMPORTRANGE(""16smdYggRVyzhu5y9HP2ayvW__ybkjb1nkVsCvZrByLM"", ""'COTRATOS 26.1'!B:B""), IMPORTRANGE(""16smdYggRVyzhu5y9HP2ayvW__ybkjb1nkVsC"&amp;"vZrByLM"", ""'COTRATOS 26.1'!A:A""), """")))"),88863.0)</f>
        <v>88863</v>
      </c>
      <c r="F410" s="71" t="s">
        <v>36</v>
      </c>
      <c r="G410" s="42" t="s">
        <v>168</v>
      </c>
      <c r="H410" s="43"/>
      <c r="I410" s="44" t="s">
        <v>874</v>
      </c>
      <c r="J410" s="5"/>
      <c r="K410" s="8" t="s">
        <v>14</v>
      </c>
      <c r="L410" s="46" t="s">
        <v>132</v>
      </c>
      <c r="M410" s="46" t="s">
        <v>8</v>
      </c>
      <c r="N410" s="47" t="b">
        <v>0</v>
      </c>
      <c r="O410" s="48">
        <f t="shared" si="1"/>
        <v>46314</v>
      </c>
      <c r="P410" s="49">
        <v>46297.0</v>
      </c>
      <c r="Q410" s="61">
        <v>46268.0</v>
      </c>
      <c r="R410" s="76">
        <f t="shared" si="2"/>
        <v>46328</v>
      </c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</row>
    <row r="411">
      <c r="A411" s="67" t="b">
        <v>1</v>
      </c>
      <c r="B411" s="68">
        <v>46268.426041666666</v>
      </c>
      <c r="C411" s="69" t="s">
        <v>875</v>
      </c>
      <c r="D411" s="70">
        <v>994.0</v>
      </c>
      <c r="E411" s="40">
        <f>IFERROR(__xludf.DUMMYFUNCTION("IF(C411="""", """", XLOOKUP(TRIM(C411), 'COTRATOS ALBUNS 25.2'!E:E, 'COTRATOS ALBUNS 25.2'!D:D, XLOOKUP(TRIM(C411), IMPORTRANGE(""16smdYggRVyzhu5y9HP2ayvW__ybkjb1nkVsCvZrByLM"", ""'COTRATOS 26.1'!B:B""), IMPORTRANGE(""16smdYggRVyzhu5y9HP2ayvW__ybkjb1nkVsC"&amp;"vZrByLM"", ""'COTRATOS 26.1'!A:A""), """")))"),87334.0)</f>
        <v>87334</v>
      </c>
      <c r="F411" s="71" t="s">
        <v>36</v>
      </c>
      <c r="G411" s="42" t="s">
        <v>175</v>
      </c>
      <c r="H411" s="43"/>
      <c r="I411" s="44" t="s">
        <v>876</v>
      </c>
      <c r="J411" s="5"/>
      <c r="K411" s="8" t="s">
        <v>13</v>
      </c>
      <c r="L411" s="8" t="s">
        <v>50</v>
      </c>
      <c r="M411" s="8" t="s">
        <v>8</v>
      </c>
      <c r="N411" s="63" t="b">
        <v>1</v>
      </c>
      <c r="O411" s="64">
        <f t="shared" si="1"/>
        <v>46285.42604</v>
      </c>
      <c r="P411" s="49">
        <v>46297.0</v>
      </c>
      <c r="Q411" s="72">
        <f>B411</f>
        <v>46268.42604</v>
      </c>
      <c r="R411" s="73">
        <f t="shared" si="2"/>
        <v>46328.42604</v>
      </c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</row>
    <row r="412">
      <c r="A412" s="53" t="b">
        <v>1</v>
      </c>
      <c r="B412" s="54">
        <v>46280.0</v>
      </c>
      <c r="C412" s="83" t="s">
        <v>877</v>
      </c>
      <c r="D412" s="92">
        <v>823.0</v>
      </c>
      <c r="E412" s="40">
        <f>IFERROR(__xludf.DUMMYFUNCTION("IF(C412="""", """", XLOOKUP(TRIM(C412), 'COTRATOS ALBUNS 25.2'!E:E, 'COTRATOS ALBUNS 25.2'!D:D, XLOOKUP(TRIM(C412), IMPORTRANGE(""16smdYggRVyzhu5y9HP2ayvW__ybkjb1nkVsCvZrByLM"", ""'COTRATOS 26.1'!B:B""), IMPORTRANGE(""16smdYggRVyzhu5y9HP2ayvW__ybkjb1nkVsC"&amp;"vZrByLM"", ""'COTRATOS 26.1'!A:A""), """")))"),71006.0)</f>
        <v>71006</v>
      </c>
      <c r="F412" s="57" t="s">
        <v>36</v>
      </c>
      <c r="G412" s="42" t="s">
        <v>45</v>
      </c>
      <c r="H412" s="43"/>
      <c r="I412" s="58" t="s">
        <v>878</v>
      </c>
      <c r="J412" s="59"/>
      <c r="K412" s="8" t="s">
        <v>6</v>
      </c>
      <c r="L412" s="59"/>
      <c r="M412" s="53" t="s">
        <v>8</v>
      </c>
      <c r="N412" s="47" t="b">
        <v>0</v>
      </c>
      <c r="O412" s="48">
        <f t="shared" si="1"/>
        <v>46297</v>
      </c>
      <c r="P412" s="49">
        <v>46303.0</v>
      </c>
      <c r="Q412" s="61"/>
      <c r="R412" s="51" t="str">
        <f t="shared" si="2"/>
        <v/>
      </c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</row>
    <row r="413">
      <c r="A413" s="36" t="b">
        <v>1</v>
      </c>
      <c r="B413" s="37">
        <v>46297.0</v>
      </c>
      <c r="C413" s="38" t="s">
        <v>879</v>
      </c>
      <c r="D413" s="39">
        <v>953.0</v>
      </c>
      <c r="E413" s="40">
        <f>IFERROR(__xludf.DUMMYFUNCTION("IF(C413="""", """", XLOOKUP(TRIM(C413), 'COTRATOS ALBUNS 25.2'!E:E, 'COTRATOS ALBUNS 25.2'!D:D, XLOOKUP(TRIM(C413), IMPORTRANGE(""16smdYggRVyzhu5y9HP2ayvW__ybkjb1nkVsCvZrByLM"", ""'COTRATOS 26.1'!B:B""), IMPORTRANGE(""16smdYggRVyzhu5y9HP2ayvW__ybkjb1nkVsC"&amp;"vZrByLM"", ""'COTRATOS 26.1'!A:A""), """")))"),88486.0)</f>
        <v>88486</v>
      </c>
      <c r="F413" s="41" t="s">
        <v>66</v>
      </c>
      <c r="G413" s="42" t="s">
        <v>71</v>
      </c>
      <c r="H413" s="43"/>
      <c r="I413" s="44" t="s">
        <v>880</v>
      </c>
      <c r="J413" s="7"/>
      <c r="K413" s="8" t="s">
        <v>13</v>
      </c>
      <c r="L413" s="45" t="s">
        <v>78</v>
      </c>
      <c r="M413" s="46" t="s">
        <v>8</v>
      </c>
      <c r="N413" s="47" t="b">
        <v>0</v>
      </c>
      <c r="O413" s="48">
        <f t="shared" si="1"/>
        <v>46314</v>
      </c>
      <c r="P413" s="49">
        <v>46297.0</v>
      </c>
      <c r="Q413" s="50">
        <v>46244.0</v>
      </c>
      <c r="R413" s="86">
        <f t="shared" si="2"/>
        <v>46304</v>
      </c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</row>
    <row r="414">
      <c r="A414" s="53" t="b">
        <v>1</v>
      </c>
      <c r="B414" s="54">
        <v>46294.0</v>
      </c>
      <c r="C414" s="55" t="s">
        <v>881</v>
      </c>
      <c r="D414" s="56">
        <v>1179.0</v>
      </c>
      <c r="E414" s="40">
        <f>IFERROR(__xludf.DUMMYFUNCTION("IF(C414="""", """", XLOOKUP(TRIM(C414), 'COTRATOS ALBUNS 25.2'!E:E, 'COTRATOS ALBUNS 25.2'!D:D, XLOOKUP(TRIM(C414), IMPORTRANGE(""16smdYggRVyzhu5y9HP2ayvW__ybkjb1nkVsCvZrByLM"", ""'COTRATOS 26.1'!B:B""), IMPORTRANGE(""16smdYggRVyzhu5y9HP2ayvW__ybkjb1nkVsC"&amp;"vZrByLM"", ""'COTRATOS 26.1'!A:A""), """")))"),94047.0)</f>
        <v>94047</v>
      </c>
      <c r="F414" s="57" t="s">
        <v>44</v>
      </c>
      <c r="G414" s="42" t="s">
        <v>87</v>
      </c>
      <c r="H414" s="43"/>
      <c r="I414" s="58" t="s">
        <v>882</v>
      </c>
      <c r="J414" s="59"/>
      <c r="K414" s="53" t="s">
        <v>10</v>
      </c>
      <c r="L414" s="59"/>
      <c r="M414" s="59"/>
      <c r="N414" s="47" t="b">
        <v>0</v>
      </c>
      <c r="O414" s="48">
        <f t="shared" si="1"/>
        <v>46311</v>
      </c>
      <c r="P414" s="60"/>
      <c r="Q414" s="61"/>
      <c r="R414" s="51" t="str">
        <f t="shared" si="2"/>
        <v/>
      </c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</row>
    <row r="415">
      <c r="A415" s="53" t="b">
        <v>1</v>
      </c>
      <c r="B415" s="54">
        <v>46291.0</v>
      </c>
      <c r="C415" s="55" t="s">
        <v>883</v>
      </c>
      <c r="D415" s="56">
        <v>970.0</v>
      </c>
      <c r="E415" s="40">
        <f>IFERROR(__xludf.DUMMYFUNCTION("IF(C415="""", """", XLOOKUP(TRIM(C415), 'COTRATOS ALBUNS 25.2'!E:E, 'COTRATOS ALBUNS 25.2'!D:D, XLOOKUP(TRIM(C415), IMPORTRANGE(""16smdYggRVyzhu5y9HP2ayvW__ybkjb1nkVsCvZrByLM"", ""'COTRATOS 26.1'!B:B""), IMPORTRANGE(""16smdYggRVyzhu5y9HP2ayvW__ybkjb1nkVsC"&amp;"vZrByLM"", ""'COTRATOS 26.1'!A:A""), """")))"),94075.0)</f>
        <v>94075</v>
      </c>
      <c r="F415" s="57" t="s">
        <v>56</v>
      </c>
      <c r="G415" s="42" t="s">
        <v>350</v>
      </c>
      <c r="H415" s="43"/>
      <c r="I415" s="58" t="s">
        <v>884</v>
      </c>
      <c r="J415" s="59"/>
      <c r="K415" s="53" t="s">
        <v>10</v>
      </c>
      <c r="L415" s="59"/>
      <c r="M415" s="59"/>
      <c r="N415" s="47" t="b">
        <v>0</v>
      </c>
      <c r="O415" s="48">
        <f t="shared" si="1"/>
        <v>46308</v>
      </c>
      <c r="P415" s="60"/>
      <c r="Q415" s="61"/>
      <c r="R415" s="51" t="str">
        <f t="shared" si="2"/>
        <v/>
      </c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</row>
    <row r="416">
      <c r="A416" s="36" t="b">
        <v>1</v>
      </c>
      <c r="B416" s="90">
        <v>46197.0</v>
      </c>
      <c r="C416" s="159" t="s">
        <v>885</v>
      </c>
      <c r="D416" s="79">
        <v>953.0</v>
      </c>
      <c r="E416" s="40">
        <f>IFERROR(__xludf.DUMMYFUNCTION("IF(C416="""", """", XLOOKUP(TRIM(C416), 'COTRATOS ALBUNS 25.2'!E:E, 'COTRATOS ALBUNS 25.2'!D:D, XLOOKUP(TRIM(C416), IMPORTRANGE(""16smdYggRVyzhu5y9HP2ayvW__ybkjb1nkVsCvZrByLM"", ""'COTRATOS 26.1'!B:B""), IMPORTRANGE(""16smdYggRVyzhu5y9HP2ayvW__ybkjb1nkVsC"&amp;"vZrByLM"", ""'COTRATOS 26.1'!A:A""), """")))"),88557.0)</f>
        <v>88557</v>
      </c>
      <c r="F416" s="41" t="s">
        <v>66</v>
      </c>
      <c r="G416" s="42" t="s">
        <v>87</v>
      </c>
      <c r="H416" s="43"/>
      <c r="I416" s="44" t="s">
        <v>886</v>
      </c>
      <c r="J416" s="7"/>
      <c r="K416" s="8" t="s">
        <v>12</v>
      </c>
      <c r="L416" s="8"/>
      <c r="M416" s="46" t="s">
        <v>8</v>
      </c>
      <c r="N416" s="47" t="b">
        <v>0</v>
      </c>
      <c r="O416" s="48">
        <f t="shared" si="1"/>
        <v>46214</v>
      </c>
      <c r="P416" s="49">
        <v>46265.0</v>
      </c>
      <c r="Q416" s="82"/>
      <c r="R416" s="51" t="str">
        <f t="shared" si="2"/>
        <v/>
      </c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</row>
    <row r="417">
      <c r="A417" s="53" t="b">
        <v>1</v>
      </c>
      <c r="B417" s="54">
        <v>46274.0</v>
      </c>
      <c r="C417" s="95" t="s">
        <v>887</v>
      </c>
      <c r="D417" s="56">
        <v>1099.0</v>
      </c>
      <c r="E417" s="40">
        <f>IFERROR(__xludf.DUMMYFUNCTION("IF(C417="""", """", XLOOKUP(TRIM(C417), 'COTRATOS ALBUNS 25.2'!E:E, 'COTRATOS ALBUNS 25.2'!D:D, XLOOKUP(TRIM(C417), IMPORTRANGE(""16smdYggRVyzhu5y9HP2ayvW__ybkjb1nkVsCvZrByLM"", ""'COTRATOS 26.1'!B:B""), IMPORTRANGE(""16smdYggRVyzhu5y9HP2ayvW__ybkjb1nkVsC"&amp;"vZrByLM"", ""'COTRATOS 26.1'!A:A""), """")))"),95589.0)</f>
        <v>95589</v>
      </c>
      <c r="F417" s="57" t="s">
        <v>40</v>
      </c>
      <c r="G417" s="42" t="s">
        <v>63</v>
      </c>
      <c r="H417" s="43"/>
      <c r="I417" s="58" t="s">
        <v>888</v>
      </c>
      <c r="J417" s="59"/>
      <c r="K417" s="53" t="s">
        <v>17</v>
      </c>
      <c r="L417" s="59"/>
      <c r="M417" s="59"/>
      <c r="N417" s="47" t="b">
        <v>0</v>
      </c>
      <c r="O417" s="48">
        <f t="shared" si="1"/>
        <v>46291</v>
      </c>
      <c r="P417" s="60"/>
      <c r="Q417" s="61"/>
      <c r="R417" s="51" t="str">
        <f t="shared" si="2"/>
        <v/>
      </c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</row>
    <row r="418">
      <c r="A418" s="36" t="b">
        <v>1</v>
      </c>
      <c r="B418" s="113">
        <v>46224.0</v>
      </c>
      <c r="C418" s="38" t="s">
        <v>889</v>
      </c>
      <c r="D418" s="39">
        <v>970.0</v>
      </c>
      <c r="E418" s="40">
        <f>IFERROR(__xludf.DUMMYFUNCTION("IF(C418="""", """", XLOOKUP(TRIM(C418), 'COTRATOS ALBUNS 25.2'!E:E, 'COTRATOS ALBUNS 25.2'!D:D, XLOOKUP(TRIM(C418), IMPORTRANGE(""16smdYggRVyzhu5y9HP2ayvW__ybkjb1nkVsCvZrByLM"", ""'COTRATOS 26.1'!B:B""), IMPORTRANGE(""16smdYggRVyzhu5y9HP2ayvW__ybkjb1nkVsC"&amp;"vZrByLM"", ""'COTRATOS 26.1'!A:A""), """")))"),94306.0)</f>
        <v>94306</v>
      </c>
      <c r="F418" s="41" t="s">
        <v>40</v>
      </c>
      <c r="G418" s="42" t="s">
        <v>52</v>
      </c>
      <c r="H418" s="43"/>
      <c r="I418" s="44" t="s">
        <v>890</v>
      </c>
      <c r="J418" s="7"/>
      <c r="K418" s="8" t="s">
        <v>10</v>
      </c>
      <c r="L418" s="139"/>
      <c r="M418" s="5"/>
      <c r="N418" s="47" t="b">
        <v>0</v>
      </c>
      <c r="O418" s="52">
        <f t="shared" si="1"/>
        <v>46241</v>
      </c>
      <c r="P418" s="60"/>
      <c r="Q418" s="82"/>
      <c r="R418" s="51" t="str">
        <f t="shared" si="2"/>
        <v/>
      </c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</row>
    <row r="419">
      <c r="A419" s="36" t="b">
        <v>1</v>
      </c>
      <c r="B419" s="94">
        <v>46231.28165509259</v>
      </c>
      <c r="C419" s="38" t="s">
        <v>891</v>
      </c>
      <c r="D419" s="36">
        <v>904.0</v>
      </c>
      <c r="E419" s="40">
        <f>IFERROR(__xludf.DUMMYFUNCTION("IF(C419="""", """", XLOOKUP(TRIM(C419), 'COTRATOS ALBUNS 25.2'!E:E, 'COTRATOS ALBUNS 25.2'!D:D, XLOOKUP(TRIM(C419), IMPORTRANGE(""16smdYggRVyzhu5y9HP2ayvW__ybkjb1nkVsCvZrByLM"", ""'COTRATOS 26.1'!B:B""), IMPORTRANGE(""16smdYggRVyzhu5y9HP2ayvW__ybkjb1nkVsC"&amp;"vZrByLM"", ""'COTRATOS 26.1'!A:A""), """")))"),74456.0)</f>
        <v>74456</v>
      </c>
      <c r="F419" s="41" t="s">
        <v>56</v>
      </c>
      <c r="G419" s="42" t="s">
        <v>134</v>
      </c>
      <c r="H419" s="43"/>
      <c r="I419" s="44" t="s">
        <v>892</v>
      </c>
      <c r="J419" s="5"/>
      <c r="K419" s="8" t="s">
        <v>13</v>
      </c>
      <c r="L419" s="8" t="s">
        <v>193</v>
      </c>
      <c r="M419" s="8" t="s">
        <v>8</v>
      </c>
      <c r="N419" s="63" t="b">
        <v>1</v>
      </c>
      <c r="O419" s="64">
        <f t="shared" si="1"/>
        <v>46248.28166</v>
      </c>
      <c r="P419" s="49">
        <v>46239.0</v>
      </c>
      <c r="Q419" s="50">
        <v>46245.0</v>
      </c>
      <c r="R419" s="86">
        <f t="shared" si="2"/>
        <v>46305</v>
      </c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</row>
    <row r="420">
      <c r="A420" s="56" t="b">
        <v>1</v>
      </c>
      <c r="B420" s="110">
        <v>46259.0</v>
      </c>
      <c r="C420" s="98" t="s">
        <v>893</v>
      </c>
      <c r="D420" s="92">
        <v>968.0</v>
      </c>
      <c r="E420" s="40">
        <f>IFERROR(__xludf.DUMMYFUNCTION("IF(C420="""", """", XLOOKUP(TRIM(C420), 'COTRATOS ALBUNS 25.2'!E:E, 'COTRATOS ALBUNS 25.2'!D:D, XLOOKUP(TRIM(C420), IMPORTRANGE(""16smdYggRVyzhu5y9HP2ayvW__ybkjb1nkVsCvZrByLM"", ""'COTRATOS 26.1'!B:B""), IMPORTRANGE(""16smdYggRVyzhu5y9HP2ayvW__ybkjb1nkVsC"&amp;"vZrByLM"", ""'COTRATOS 26.1'!A:A""), """")))"),73836.0)</f>
        <v>73836</v>
      </c>
      <c r="F420" s="57" t="s">
        <v>66</v>
      </c>
      <c r="G420" s="42" t="s">
        <v>52</v>
      </c>
      <c r="H420" s="43"/>
      <c r="I420" s="58" t="s">
        <v>894</v>
      </c>
      <c r="J420" s="59"/>
      <c r="K420" s="53" t="s">
        <v>10</v>
      </c>
      <c r="L420" s="59"/>
      <c r="M420" s="8" t="s">
        <v>8</v>
      </c>
      <c r="N420" s="47" t="b">
        <v>0</v>
      </c>
      <c r="O420" s="48">
        <f t="shared" si="1"/>
        <v>46276</v>
      </c>
      <c r="P420" s="60"/>
      <c r="Q420" s="61"/>
      <c r="R420" s="51" t="str">
        <f t="shared" si="2"/>
        <v/>
      </c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</row>
    <row r="421">
      <c r="A421" s="67" t="b">
        <v>1</v>
      </c>
      <c r="B421" s="74">
        <v>46297.0</v>
      </c>
      <c r="C421" s="38" t="s">
        <v>895</v>
      </c>
      <c r="D421" s="36">
        <v>994.0</v>
      </c>
      <c r="E421" s="40">
        <f>IFERROR(__xludf.DUMMYFUNCTION("IF(C421="""", """", XLOOKUP(TRIM(C421), 'COTRATOS ALBUNS 25.2'!E:E, 'COTRATOS ALBUNS 25.2'!D:D, XLOOKUP(TRIM(C421), IMPORTRANGE(""16smdYggRVyzhu5y9HP2ayvW__ybkjb1nkVsCvZrByLM"", ""'COTRATOS 26.1'!B:B""), IMPORTRANGE(""16smdYggRVyzhu5y9HP2ayvW__ybkjb1nkVsC"&amp;"vZrByLM"", ""'COTRATOS 26.1'!A:A""), """")))"),85771.0)</f>
        <v>85771</v>
      </c>
      <c r="F421" s="41" t="s">
        <v>36</v>
      </c>
      <c r="G421" s="42" t="s">
        <v>67</v>
      </c>
      <c r="H421" s="43"/>
      <c r="I421" s="44" t="s">
        <v>896</v>
      </c>
      <c r="J421" s="5"/>
      <c r="K421" s="8" t="s">
        <v>14</v>
      </c>
      <c r="L421" s="160" t="s">
        <v>132</v>
      </c>
      <c r="M421" s="46" t="s">
        <v>8</v>
      </c>
      <c r="N421" s="47" t="b">
        <v>0</v>
      </c>
      <c r="O421" s="48">
        <f t="shared" si="1"/>
        <v>46314</v>
      </c>
      <c r="P421" s="49">
        <v>46297.0</v>
      </c>
      <c r="Q421" s="50">
        <v>46245.0</v>
      </c>
      <c r="R421" s="86">
        <f t="shared" si="2"/>
        <v>46305</v>
      </c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</row>
    <row r="422">
      <c r="A422" s="67" t="b">
        <v>1</v>
      </c>
      <c r="B422" s="68">
        <v>46268.42545138889</v>
      </c>
      <c r="C422" s="69" t="s">
        <v>897</v>
      </c>
      <c r="D422" s="70">
        <v>968.0</v>
      </c>
      <c r="E422" s="40">
        <f>IFERROR(__xludf.DUMMYFUNCTION("IF(C422="""", """", XLOOKUP(TRIM(C422), 'COTRATOS ALBUNS 25.2'!E:E, 'COTRATOS ALBUNS 25.2'!D:D, XLOOKUP(TRIM(C422), IMPORTRANGE(""16smdYggRVyzhu5y9HP2ayvW__ybkjb1nkVsCvZrByLM"", ""'COTRATOS 26.1'!B:B""), IMPORTRANGE(""16smdYggRVyzhu5y9HP2ayvW__ybkjb1nkVsC"&amp;"vZrByLM"", ""'COTRATOS 26.1'!A:A""), """")))"),79309.0)</f>
        <v>79309</v>
      </c>
      <c r="F422" s="71" t="s">
        <v>36</v>
      </c>
      <c r="G422" s="42" t="s">
        <v>52</v>
      </c>
      <c r="H422" s="43"/>
      <c r="I422" s="44" t="s">
        <v>898</v>
      </c>
      <c r="J422" s="5"/>
      <c r="K422" s="8" t="s">
        <v>13</v>
      </c>
      <c r="L422" s="8" t="s">
        <v>108</v>
      </c>
      <c r="M422" s="8" t="s">
        <v>8</v>
      </c>
      <c r="N422" s="63" t="b">
        <v>1</v>
      </c>
      <c r="O422" s="64">
        <f t="shared" si="1"/>
        <v>46285.42545</v>
      </c>
      <c r="P422" s="49">
        <v>46297.0</v>
      </c>
      <c r="Q422" s="72">
        <f>B422</f>
        <v>46268.42545</v>
      </c>
      <c r="R422" s="73">
        <f t="shared" si="2"/>
        <v>46328.42545</v>
      </c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</row>
    <row r="423">
      <c r="A423" s="36" t="b">
        <v>1</v>
      </c>
      <c r="B423" s="94">
        <v>46224.73664351852</v>
      </c>
      <c r="C423" s="38" t="s">
        <v>899</v>
      </c>
      <c r="D423" s="36">
        <v>1172.0</v>
      </c>
      <c r="E423" s="40">
        <f>IFERROR(__xludf.DUMMYFUNCTION("IF(C423="""", """", XLOOKUP(TRIM(C423), 'COTRATOS ALBUNS 25.2'!E:E, 'COTRATOS ALBUNS 25.2'!D:D, XLOOKUP(TRIM(C423), IMPORTRANGE(""16smdYggRVyzhu5y9HP2ayvW__ybkjb1nkVsCvZrByLM"", ""'COTRATOS 26.1'!B:B""), IMPORTRANGE(""16smdYggRVyzhu5y9HP2ayvW__ybkjb1nkVsC"&amp;"vZrByLM"", ""'COTRATOS 26.1'!A:A""), """")))"),85308.0)</f>
        <v>85308</v>
      </c>
      <c r="F423" s="41" t="s">
        <v>66</v>
      </c>
      <c r="G423" s="42" t="s">
        <v>37</v>
      </c>
      <c r="H423" s="43"/>
      <c r="I423" s="44" t="s">
        <v>900</v>
      </c>
      <c r="J423" s="5"/>
      <c r="K423" s="8" t="s">
        <v>13</v>
      </c>
      <c r="L423" s="103" t="s">
        <v>47</v>
      </c>
      <c r="M423" s="8" t="s">
        <v>8</v>
      </c>
      <c r="N423" s="63" t="b">
        <v>1</v>
      </c>
      <c r="O423" s="64">
        <f t="shared" si="1"/>
        <v>46241.73664</v>
      </c>
      <c r="P423" s="49">
        <v>46297.0</v>
      </c>
      <c r="Q423" s="85">
        <v>46224.0</v>
      </c>
      <c r="R423" s="86">
        <f t="shared" si="2"/>
        <v>46284</v>
      </c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</row>
    <row r="424">
      <c r="A424" s="56" t="b">
        <v>1</v>
      </c>
      <c r="B424" s="77">
        <v>46297.0</v>
      </c>
      <c r="C424" s="78" t="s">
        <v>901</v>
      </c>
      <c r="D424" s="38">
        <v>972.0</v>
      </c>
      <c r="E424" s="40">
        <f>IFERROR(__xludf.DUMMYFUNCTION("IF(C424="""", """", XLOOKUP(TRIM(C424), 'COTRATOS ALBUNS 25.2'!E:E, 'COTRATOS ALBUNS 25.2'!D:D, XLOOKUP(TRIM(C424), IMPORTRANGE(""16smdYggRVyzhu5y9HP2ayvW__ybkjb1nkVsCvZrByLM"", ""'COTRATOS 26.1'!B:B""), IMPORTRANGE(""16smdYggRVyzhu5y9HP2ayvW__ybkjb1nkVsC"&amp;"vZrByLM"", ""'COTRATOS 26.1'!A:A""), """")))"),96150.0)</f>
        <v>96150</v>
      </c>
      <c r="F424" s="57" t="s">
        <v>44</v>
      </c>
      <c r="G424" s="42" t="s">
        <v>110</v>
      </c>
      <c r="H424" s="43"/>
      <c r="I424" s="58" t="s">
        <v>902</v>
      </c>
      <c r="J424" s="59"/>
      <c r="K424" s="8" t="s">
        <v>14</v>
      </c>
      <c r="L424" s="45" t="s">
        <v>132</v>
      </c>
      <c r="M424" s="53" t="s">
        <v>8</v>
      </c>
      <c r="N424" s="47" t="b">
        <v>0</v>
      </c>
      <c r="O424" s="48">
        <f t="shared" si="1"/>
        <v>46314</v>
      </c>
      <c r="P424" s="49">
        <v>46280.0</v>
      </c>
      <c r="Q424" s="61">
        <v>46297.0</v>
      </c>
      <c r="R424" s="76">
        <f t="shared" si="2"/>
        <v>46357</v>
      </c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</row>
    <row r="425">
      <c r="A425" s="56" t="b">
        <v>1</v>
      </c>
      <c r="B425" s="77">
        <v>46252.0</v>
      </c>
      <c r="C425" s="78" t="s">
        <v>903</v>
      </c>
      <c r="D425" s="92">
        <v>1019.0</v>
      </c>
      <c r="E425" s="40">
        <f>IFERROR(__xludf.DUMMYFUNCTION("IF(C425="""", """", XLOOKUP(TRIM(C425), 'COTRATOS ALBUNS 25.2'!E:E, 'COTRATOS ALBUNS 25.2'!D:D, XLOOKUP(TRIM(C425), IMPORTRANGE(""16smdYggRVyzhu5y9HP2ayvW__ybkjb1nkVsCvZrByLM"", ""'COTRATOS 26.1'!B:B""), IMPORTRANGE(""16smdYggRVyzhu5y9HP2ayvW__ybkjb1nkVsC"&amp;"vZrByLM"", ""'COTRATOS 26.1'!A:A""), """")))"),88351.0)</f>
        <v>88351</v>
      </c>
      <c r="F425" s="57" t="s">
        <v>36</v>
      </c>
      <c r="G425" s="42" t="s">
        <v>274</v>
      </c>
      <c r="H425" s="43"/>
      <c r="I425" s="58" t="s">
        <v>904</v>
      </c>
      <c r="J425" s="59"/>
      <c r="K425" s="8" t="s">
        <v>6</v>
      </c>
      <c r="L425" s="45"/>
      <c r="M425" s="53" t="s">
        <v>8</v>
      </c>
      <c r="N425" s="47" t="b">
        <v>0</v>
      </c>
      <c r="O425" s="48">
        <f t="shared" si="1"/>
        <v>46269</v>
      </c>
      <c r="P425" s="49">
        <v>46273.0</v>
      </c>
      <c r="Q425" s="61"/>
      <c r="R425" s="51" t="str">
        <f t="shared" si="2"/>
        <v/>
      </c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</row>
    <row r="426">
      <c r="A426" s="36" t="b">
        <v>1</v>
      </c>
      <c r="B426" s="37">
        <v>46177.0</v>
      </c>
      <c r="C426" s="38" t="s">
        <v>905</v>
      </c>
      <c r="D426" s="39">
        <v>971.0</v>
      </c>
      <c r="E426" s="40">
        <f>IFERROR(__xludf.DUMMYFUNCTION("IF(C426="""", """", XLOOKUP(TRIM(C426), 'COTRATOS ALBUNS 25.2'!E:E, 'COTRATOS ALBUNS 25.2'!D:D, XLOOKUP(TRIM(C426), IMPORTRANGE(""16smdYggRVyzhu5y9HP2ayvW__ybkjb1nkVsCvZrByLM"", ""'COTRATOS 26.1'!B:B""), IMPORTRANGE(""16smdYggRVyzhu5y9HP2ayvW__ybkjb1nkVsC"&amp;"vZrByLM"", ""'COTRATOS 26.1'!A:A""), """")))"),85905.0)</f>
        <v>85905</v>
      </c>
      <c r="F426" s="41" t="s">
        <v>40</v>
      </c>
      <c r="G426" s="42" t="s">
        <v>754</v>
      </c>
      <c r="H426" s="43"/>
      <c r="I426" s="44" t="s">
        <v>906</v>
      </c>
      <c r="J426" s="7"/>
      <c r="K426" s="8" t="s">
        <v>6</v>
      </c>
      <c r="L426" s="108"/>
      <c r="M426" s="46" t="s">
        <v>8</v>
      </c>
      <c r="N426" s="47" t="b">
        <v>0</v>
      </c>
      <c r="O426" s="48">
        <f t="shared" si="1"/>
        <v>46194</v>
      </c>
      <c r="P426" s="49">
        <v>46238.0</v>
      </c>
      <c r="Q426" s="82"/>
      <c r="R426" s="51" t="str">
        <f t="shared" si="2"/>
        <v/>
      </c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</row>
    <row r="427">
      <c r="A427" s="36" t="b">
        <v>1</v>
      </c>
      <c r="B427" s="62">
        <v>46238.888437500005</v>
      </c>
      <c r="C427" s="38" t="s">
        <v>907</v>
      </c>
      <c r="D427" s="39">
        <v>964.0</v>
      </c>
      <c r="E427" s="40">
        <f>IFERROR(__xludf.DUMMYFUNCTION("IF(C427="""", """", XLOOKUP(TRIM(C427), 'COTRATOS ALBUNS 25.2'!E:E, 'COTRATOS ALBUNS 25.2'!D:D, XLOOKUP(TRIM(C427), IMPORTRANGE(""16smdYggRVyzhu5y9HP2ayvW__ybkjb1nkVsCvZrByLM"", ""'COTRATOS 26.1'!B:B""), IMPORTRANGE(""16smdYggRVyzhu5y9HP2ayvW__ybkjb1nkVsC"&amp;"vZrByLM"", ""'COTRATOS 26.1'!A:A""), """")))"),86295.0)</f>
        <v>86295</v>
      </c>
      <c r="F427" s="41" t="s">
        <v>36</v>
      </c>
      <c r="G427" s="42" t="s">
        <v>63</v>
      </c>
      <c r="H427" s="43"/>
      <c r="I427" s="44" t="s">
        <v>908</v>
      </c>
      <c r="J427" s="7"/>
      <c r="K427" s="8" t="s">
        <v>13</v>
      </c>
      <c r="L427" s="8" t="s">
        <v>218</v>
      </c>
      <c r="M427" s="8" t="s">
        <v>8</v>
      </c>
      <c r="N427" s="63" t="b">
        <v>1</v>
      </c>
      <c r="O427" s="64">
        <f t="shared" si="1"/>
        <v>46255.88844</v>
      </c>
      <c r="P427" s="49">
        <v>46297.0</v>
      </c>
      <c r="Q427" s="85">
        <v>46239.0</v>
      </c>
      <c r="R427" s="86">
        <f t="shared" si="2"/>
        <v>46299</v>
      </c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</row>
    <row r="428">
      <c r="A428" s="67" t="b">
        <v>1</v>
      </c>
      <c r="B428" s="74">
        <v>46297.0</v>
      </c>
      <c r="C428" s="38" t="s">
        <v>909</v>
      </c>
      <c r="D428" s="36">
        <v>971.0</v>
      </c>
      <c r="E428" s="40">
        <f>IFERROR(__xludf.DUMMYFUNCTION("IF(C428="""", """", XLOOKUP(TRIM(C428), 'COTRATOS ALBUNS 25.2'!E:E, 'COTRATOS ALBUNS 25.2'!D:D, XLOOKUP(TRIM(C428), IMPORTRANGE(""16smdYggRVyzhu5y9HP2ayvW__ybkjb1nkVsCvZrByLM"", ""'COTRATOS 26.1'!B:B""), IMPORTRANGE(""16smdYggRVyzhu5y9HP2ayvW__ybkjb1nkVsC"&amp;"vZrByLM"", ""'COTRATOS 26.1'!A:A""), """")))"),89825.0)</f>
        <v>89825</v>
      </c>
      <c r="F428" s="41" t="s">
        <v>44</v>
      </c>
      <c r="G428" s="42" t="s">
        <v>154</v>
      </c>
      <c r="H428" s="43"/>
      <c r="I428" s="44" t="s">
        <v>910</v>
      </c>
      <c r="J428" s="5"/>
      <c r="K428" s="8" t="s">
        <v>13</v>
      </c>
      <c r="L428" s="8" t="s">
        <v>78</v>
      </c>
      <c r="M428" s="46" t="s">
        <v>8</v>
      </c>
      <c r="N428" s="47" t="b">
        <v>0</v>
      </c>
      <c r="O428" s="48">
        <f t="shared" si="1"/>
        <v>46314</v>
      </c>
      <c r="P428" s="49">
        <v>46297.0</v>
      </c>
      <c r="Q428" s="93">
        <v>46262.0</v>
      </c>
      <c r="R428" s="76">
        <f t="shared" si="2"/>
        <v>46322</v>
      </c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</row>
    <row r="429">
      <c r="A429" s="36" t="b">
        <v>1</v>
      </c>
      <c r="B429" s="100">
        <v>46297.0</v>
      </c>
      <c r="C429" s="38" t="s">
        <v>911</v>
      </c>
      <c r="D429" s="36">
        <v>968.0</v>
      </c>
      <c r="E429" s="40">
        <f>IFERROR(__xludf.DUMMYFUNCTION("IF(C429="""", """", XLOOKUP(TRIM(C429), 'COTRATOS ALBUNS 25.2'!E:E, 'COTRATOS ALBUNS 25.2'!D:D, XLOOKUP(TRIM(C429), IMPORTRANGE(""16smdYggRVyzhu5y9HP2ayvW__ybkjb1nkVsCvZrByLM"", ""'COTRATOS 26.1'!B:B""), IMPORTRANGE(""16smdYggRVyzhu5y9HP2ayvW__ybkjb1nkVsC"&amp;"vZrByLM"", ""'COTRATOS 26.1'!A:A""), """")))"),88288.0)</f>
        <v>88288</v>
      </c>
      <c r="F429" s="41" t="s">
        <v>36</v>
      </c>
      <c r="G429" s="42" t="s">
        <v>214</v>
      </c>
      <c r="H429" s="43"/>
      <c r="I429" s="44" t="s">
        <v>912</v>
      </c>
      <c r="J429" s="5"/>
      <c r="K429" s="8" t="s">
        <v>13</v>
      </c>
      <c r="L429" s="8" t="s">
        <v>101</v>
      </c>
      <c r="M429" s="46" t="s">
        <v>8</v>
      </c>
      <c r="N429" s="47" t="b">
        <v>0</v>
      </c>
      <c r="O429" s="48">
        <f t="shared" si="1"/>
        <v>46314</v>
      </c>
      <c r="P429" s="49">
        <v>46297.0</v>
      </c>
      <c r="Q429" s="132">
        <v>46251.0</v>
      </c>
      <c r="R429" s="76">
        <f t="shared" si="2"/>
        <v>46311</v>
      </c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</row>
    <row r="430">
      <c r="A430" s="67" t="b">
        <v>1</v>
      </c>
      <c r="B430" s="68">
        <v>46268.42533564815</v>
      </c>
      <c r="C430" s="69" t="s">
        <v>913</v>
      </c>
      <c r="D430" s="70">
        <v>1173.0</v>
      </c>
      <c r="E430" s="40">
        <f>IFERROR(__xludf.DUMMYFUNCTION("IF(C430="""", """", XLOOKUP(TRIM(C430), 'COTRATOS ALBUNS 25.2'!E:E, 'COTRATOS ALBUNS 25.2'!D:D, XLOOKUP(TRIM(C430), IMPORTRANGE(""16smdYggRVyzhu5y9HP2ayvW__ybkjb1nkVsCvZrByLM"", ""'COTRATOS 26.1'!B:B""), IMPORTRANGE(""16smdYggRVyzhu5y9HP2ayvW__ybkjb1nkVsC"&amp;"vZrByLM"", ""'COTRATOS 26.1'!A:A""), """")))"),85418.0)</f>
        <v>85418</v>
      </c>
      <c r="F430" s="71" t="s">
        <v>66</v>
      </c>
      <c r="G430" s="42" t="s">
        <v>45</v>
      </c>
      <c r="H430" s="43"/>
      <c r="I430" s="44" t="s">
        <v>914</v>
      </c>
      <c r="J430" s="5"/>
      <c r="K430" s="8" t="s">
        <v>13</v>
      </c>
      <c r="L430" s="8" t="s">
        <v>50</v>
      </c>
      <c r="M430" s="8" t="s">
        <v>8</v>
      </c>
      <c r="N430" s="63" t="b">
        <v>1</v>
      </c>
      <c r="O430" s="64">
        <f t="shared" si="1"/>
        <v>46285.42534</v>
      </c>
      <c r="P430" s="49">
        <v>46297.0</v>
      </c>
      <c r="Q430" s="72">
        <f>B430</f>
        <v>46268.42534</v>
      </c>
      <c r="R430" s="73">
        <f t="shared" si="2"/>
        <v>46328.42534</v>
      </c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</row>
    <row r="431">
      <c r="A431" s="56" t="b">
        <v>1</v>
      </c>
      <c r="B431" s="110">
        <v>46300.0</v>
      </c>
      <c r="C431" s="98" t="s">
        <v>915</v>
      </c>
      <c r="D431" s="38">
        <v>954.0</v>
      </c>
      <c r="E431" s="40">
        <f>IFERROR(__xludf.DUMMYFUNCTION("IF(C431="""", """", XLOOKUP(TRIM(C431), 'COTRATOS ALBUNS 25.2'!E:E, 'COTRATOS ALBUNS 25.2'!D:D, XLOOKUP(TRIM(C431), IMPORTRANGE(""16smdYggRVyzhu5y9HP2ayvW__ybkjb1nkVsCvZrByLM"", ""'COTRATOS 26.1'!B:B""), IMPORTRANGE(""16smdYggRVyzhu5y9HP2ayvW__ybkjb1nkVsC"&amp;"vZrByLM"", ""'COTRATOS 26.1'!A:A""), """")))"),94781.0)</f>
        <v>94781</v>
      </c>
      <c r="F431" s="57" t="s">
        <v>56</v>
      </c>
      <c r="G431" s="42" t="s">
        <v>87</v>
      </c>
      <c r="H431" s="43"/>
      <c r="I431" s="58" t="s">
        <v>916</v>
      </c>
      <c r="J431" s="59"/>
      <c r="K431" s="53" t="s">
        <v>144</v>
      </c>
      <c r="L431" s="53"/>
      <c r="M431" s="53" t="s">
        <v>8</v>
      </c>
      <c r="N431" s="47" t="b">
        <v>0</v>
      </c>
      <c r="O431" s="48">
        <f t="shared" si="1"/>
        <v>46317</v>
      </c>
      <c r="P431" s="49">
        <v>46294.0</v>
      </c>
      <c r="Q431" s="61">
        <v>46300.0</v>
      </c>
      <c r="R431" s="76">
        <f t="shared" si="2"/>
        <v>46360</v>
      </c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</row>
    <row r="432">
      <c r="A432" s="36" t="b">
        <v>1</v>
      </c>
      <c r="B432" s="80">
        <v>46227.0</v>
      </c>
      <c r="C432" s="81" t="s">
        <v>917</v>
      </c>
      <c r="D432" s="39">
        <v>953.0</v>
      </c>
      <c r="E432" s="40">
        <f>IFERROR(__xludf.DUMMYFUNCTION("IF(C432="""", """", XLOOKUP(TRIM(C432), 'COTRATOS ALBUNS 25.2'!E:E, 'COTRATOS ALBUNS 25.2'!D:D, XLOOKUP(TRIM(C432), IMPORTRANGE(""16smdYggRVyzhu5y9HP2ayvW__ybkjb1nkVsCvZrByLM"", ""'COTRATOS 26.1'!B:B""), IMPORTRANGE(""16smdYggRVyzhu5y9HP2ayvW__ybkjb1nkVsC"&amp;"vZrByLM"", ""'COTRATOS 26.1'!A:A""), """")))"),89197.0)</f>
        <v>89197</v>
      </c>
      <c r="F432" s="41" t="s">
        <v>74</v>
      </c>
      <c r="G432" s="42" t="s">
        <v>45</v>
      </c>
      <c r="H432" s="43"/>
      <c r="I432" s="44" t="s">
        <v>918</v>
      </c>
      <c r="J432" s="7"/>
      <c r="K432" s="8" t="s">
        <v>6</v>
      </c>
      <c r="L432" s="108"/>
      <c r="M432" s="46" t="s">
        <v>8</v>
      </c>
      <c r="N432" s="47" t="b">
        <v>0</v>
      </c>
      <c r="O432" s="52">
        <f t="shared" si="1"/>
        <v>46244</v>
      </c>
      <c r="P432" s="49">
        <v>46245.0</v>
      </c>
      <c r="Q432" s="140"/>
      <c r="R432" s="51" t="str">
        <f t="shared" si="2"/>
        <v/>
      </c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</row>
    <row r="433">
      <c r="A433" s="36" t="b">
        <v>1</v>
      </c>
      <c r="B433" s="100">
        <v>46152.0</v>
      </c>
      <c r="C433" s="38" t="s">
        <v>919</v>
      </c>
      <c r="D433" s="36">
        <v>988.0</v>
      </c>
      <c r="E433" s="40">
        <f>IFERROR(__xludf.DUMMYFUNCTION("IF(C433="""", """", XLOOKUP(TRIM(C433), 'COTRATOS ALBUNS 25.2'!E:E, 'COTRATOS ALBUNS 25.2'!D:D, XLOOKUP(TRIM(C433), IMPORTRANGE(""16smdYggRVyzhu5y9HP2ayvW__ybkjb1nkVsCvZrByLM"", ""'COTRATOS 26.1'!B:B""), IMPORTRANGE(""16smdYggRVyzhu5y9HP2ayvW__ybkjb1nkVsC"&amp;"vZrByLM"", ""'COTRATOS 26.1'!A:A""), """")))"),66352.0)</f>
        <v>66352</v>
      </c>
      <c r="F433" s="41" t="s">
        <v>66</v>
      </c>
      <c r="G433" s="42" t="s">
        <v>57</v>
      </c>
      <c r="H433" s="43"/>
      <c r="I433" s="44" t="s">
        <v>920</v>
      </c>
      <c r="J433" s="5"/>
      <c r="K433" s="8" t="s">
        <v>6</v>
      </c>
      <c r="L433" s="103"/>
      <c r="M433" s="46" t="s">
        <v>8</v>
      </c>
      <c r="N433" s="47" t="b">
        <v>0</v>
      </c>
      <c r="O433" s="48">
        <f t="shared" si="1"/>
        <v>46169</v>
      </c>
      <c r="P433" s="49">
        <v>46225.0</v>
      </c>
      <c r="Q433" s="82"/>
      <c r="R433" s="51" t="str">
        <f t="shared" si="2"/>
        <v/>
      </c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</row>
    <row r="434">
      <c r="A434" s="36" t="b">
        <v>1</v>
      </c>
      <c r="B434" s="94">
        <v>46225.66417824074</v>
      </c>
      <c r="C434" s="38" t="s">
        <v>921</v>
      </c>
      <c r="D434" s="36">
        <v>1172.0</v>
      </c>
      <c r="E434" s="40">
        <f>IFERROR(__xludf.DUMMYFUNCTION("IF(C434="""", """", XLOOKUP(TRIM(C434), 'COTRATOS ALBUNS 25.2'!E:E, 'COTRATOS ALBUNS 25.2'!D:D, XLOOKUP(TRIM(C434), IMPORTRANGE(""16smdYggRVyzhu5y9HP2ayvW__ybkjb1nkVsCvZrByLM"", ""'COTRATOS 26.1'!B:B""), IMPORTRANGE(""16smdYggRVyzhu5y9HP2ayvW__ybkjb1nkVsC"&amp;"vZrByLM"", ""'COTRATOS 26.1'!A:A""), """")))"),87090.0)</f>
        <v>87090</v>
      </c>
      <c r="F434" s="41" t="s">
        <v>36</v>
      </c>
      <c r="G434" s="42" t="s">
        <v>57</v>
      </c>
      <c r="H434" s="43"/>
      <c r="I434" s="44" t="s">
        <v>922</v>
      </c>
      <c r="J434" s="5"/>
      <c r="K434" s="8" t="s">
        <v>13</v>
      </c>
      <c r="L434" s="103" t="s">
        <v>193</v>
      </c>
      <c r="M434" s="8" t="s">
        <v>8</v>
      </c>
      <c r="N434" s="63" t="b">
        <v>1</v>
      </c>
      <c r="O434" s="64">
        <f t="shared" si="1"/>
        <v>46242.66418</v>
      </c>
      <c r="P434" s="49">
        <v>46297.0</v>
      </c>
      <c r="Q434" s="85">
        <v>46200.0</v>
      </c>
      <c r="R434" s="86">
        <f t="shared" si="2"/>
        <v>46260</v>
      </c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</row>
    <row r="435">
      <c r="A435" s="53" t="b">
        <v>1</v>
      </c>
      <c r="B435" s="54">
        <v>46289.0</v>
      </c>
      <c r="C435" s="55" t="s">
        <v>923</v>
      </c>
      <c r="D435" s="56">
        <v>1215.0</v>
      </c>
      <c r="E435" s="40">
        <f>IFERROR(__xludf.DUMMYFUNCTION("IF(C435="""", """", XLOOKUP(TRIM(C435), 'COTRATOS ALBUNS 25.2'!E:E, 'COTRATOS ALBUNS 25.2'!D:D, XLOOKUP(TRIM(C435), IMPORTRANGE(""16smdYggRVyzhu5y9HP2ayvW__ybkjb1nkVsCvZrByLM"", ""'COTRATOS 26.1'!B:B""), IMPORTRANGE(""16smdYggRVyzhu5y9HP2ayvW__ybkjb1nkVsC"&amp;"vZrByLM"", ""'COTRATOS 26.1'!A:A""), """")))"),91806.0)</f>
        <v>91806</v>
      </c>
      <c r="F435" s="57" t="s">
        <v>40</v>
      </c>
      <c r="G435" s="42" t="s">
        <v>134</v>
      </c>
      <c r="H435" s="43"/>
      <c r="I435" s="58" t="s">
        <v>924</v>
      </c>
      <c r="J435" s="59"/>
      <c r="K435" s="53" t="s">
        <v>10</v>
      </c>
      <c r="L435" s="59"/>
      <c r="M435" s="59"/>
      <c r="N435" s="47" t="b">
        <v>0</v>
      </c>
      <c r="O435" s="48">
        <f t="shared" si="1"/>
        <v>46306</v>
      </c>
      <c r="P435" s="60"/>
      <c r="Q435" s="61"/>
      <c r="R435" s="51" t="str">
        <f t="shared" si="2"/>
        <v/>
      </c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</row>
    <row r="436">
      <c r="A436" s="67" t="b">
        <v>1</v>
      </c>
      <c r="B436" s="68">
        <v>46238.39182870371</v>
      </c>
      <c r="C436" s="38" t="s">
        <v>925</v>
      </c>
      <c r="D436" s="36">
        <v>1172.0</v>
      </c>
      <c r="E436" s="40">
        <f>IFERROR(__xludf.DUMMYFUNCTION("IF(C436="""", """", XLOOKUP(TRIM(C436), 'COTRATOS ALBUNS 25.2'!E:E, 'COTRATOS ALBUNS 25.2'!D:D, XLOOKUP(TRIM(C436), IMPORTRANGE(""16smdYggRVyzhu5y9HP2ayvW__ybkjb1nkVsCvZrByLM"", ""'COTRATOS 26.1'!B:B""), IMPORTRANGE(""16smdYggRVyzhu5y9HP2ayvW__ybkjb1nkVsC"&amp;"vZrByLM"", ""'COTRATOS 26.1'!A:A""), """")))"),86080.0)</f>
        <v>86080</v>
      </c>
      <c r="F436" s="41" t="s">
        <v>66</v>
      </c>
      <c r="G436" s="42" t="s">
        <v>57</v>
      </c>
      <c r="H436" s="43"/>
      <c r="I436" s="44" t="s">
        <v>926</v>
      </c>
      <c r="J436" s="5"/>
      <c r="K436" s="8" t="s">
        <v>13</v>
      </c>
      <c r="L436" s="8" t="s">
        <v>193</v>
      </c>
      <c r="M436" s="8" t="s">
        <v>8</v>
      </c>
      <c r="N436" s="63" t="b">
        <v>1</v>
      </c>
      <c r="O436" s="64">
        <f t="shared" si="1"/>
        <v>46255.39183</v>
      </c>
      <c r="P436" s="49">
        <v>46297.0</v>
      </c>
      <c r="Q436" s="50">
        <v>46245.0</v>
      </c>
      <c r="R436" s="86">
        <f t="shared" si="2"/>
        <v>46305</v>
      </c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</row>
    <row r="437">
      <c r="A437" s="67" t="b">
        <v>1</v>
      </c>
      <c r="B437" s="68">
        <v>46213.508680555555</v>
      </c>
      <c r="C437" s="38" t="s">
        <v>927</v>
      </c>
      <c r="D437" s="36">
        <v>968.0</v>
      </c>
      <c r="E437" s="40">
        <f>IFERROR(__xludf.DUMMYFUNCTION("IF(C437="""", """", XLOOKUP(TRIM(C437), 'COTRATOS ALBUNS 25.2'!E:E, 'COTRATOS ALBUNS 25.2'!D:D, XLOOKUP(TRIM(C437), IMPORTRANGE(""16smdYggRVyzhu5y9HP2ayvW__ybkjb1nkVsCvZrByLM"", ""'COTRATOS 26.1'!B:B""), IMPORTRANGE(""16smdYggRVyzhu5y9HP2ayvW__ybkjb1nkVsC"&amp;"vZrByLM"", ""'COTRATOS 26.1'!A:A""), """")))"),88183.0)</f>
        <v>88183</v>
      </c>
      <c r="F437" s="41" t="s">
        <v>36</v>
      </c>
      <c r="G437" s="42" t="s">
        <v>52</v>
      </c>
      <c r="H437" s="43"/>
      <c r="I437" s="44" t="s">
        <v>928</v>
      </c>
      <c r="J437" s="5"/>
      <c r="K437" s="8" t="s">
        <v>13</v>
      </c>
      <c r="L437" s="8" t="s">
        <v>121</v>
      </c>
      <c r="M437" s="5"/>
      <c r="N437" s="63" t="b">
        <v>1</v>
      </c>
      <c r="O437" s="64">
        <f t="shared" si="1"/>
        <v>46230.50868</v>
      </c>
      <c r="P437" s="49">
        <v>46297.0</v>
      </c>
      <c r="Q437" s="85">
        <v>46213.0</v>
      </c>
      <c r="R437" s="86">
        <f t="shared" si="2"/>
        <v>46273</v>
      </c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</row>
    <row r="438">
      <c r="A438" s="36" t="b">
        <v>1</v>
      </c>
      <c r="B438" s="37">
        <v>46175.0</v>
      </c>
      <c r="C438" s="38" t="s">
        <v>929</v>
      </c>
      <c r="D438" s="39">
        <v>971.0</v>
      </c>
      <c r="E438" s="40">
        <f>IFERROR(__xludf.DUMMYFUNCTION("IF(C438="""", """", XLOOKUP(TRIM(C438), 'COTRATOS ALBUNS 25.2'!E:E, 'COTRATOS ALBUNS 25.2'!D:D, XLOOKUP(TRIM(C438), IMPORTRANGE(""16smdYggRVyzhu5y9HP2ayvW__ybkjb1nkVsCvZrByLM"", ""'COTRATOS 26.1'!B:B""), IMPORTRANGE(""16smdYggRVyzhu5y9HP2ayvW__ybkjb1nkVsC"&amp;"vZrByLM"", ""'COTRATOS 26.1'!A:A""), """")))"),89223.0)</f>
        <v>89223</v>
      </c>
      <c r="F438" s="41" t="s">
        <v>40</v>
      </c>
      <c r="G438" s="42" t="s">
        <v>63</v>
      </c>
      <c r="H438" s="43"/>
      <c r="I438" s="44" t="s">
        <v>930</v>
      </c>
      <c r="J438" s="7"/>
      <c r="K438" s="8" t="s">
        <v>6</v>
      </c>
      <c r="L438" s="46"/>
      <c r="M438" s="46" t="s">
        <v>8</v>
      </c>
      <c r="N438" s="47" t="b">
        <v>0</v>
      </c>
      <c r="O438" s="48">
        <f t="shared" si="1"/>
        <v>46192</v>
      </c>
      <c r="P438" s="49">
        <v>46265.0</v>
      </c>
      <c r="Q438" s="104"/>
      <c r="R438" s="51" t="str">
        <f t="shared" si="2"/>
        <v/>
      </c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</row>
    <row r="439">
      <c r="A439" s="67" t="b">
        <v>1</v>
      </c>
      <c r="B439" s="68">
        <v>46210.49349537037</v>
      </c>
      <c r="C439" s="38" t="s">
        <v>931</v>
      </c>
      <c r="D439" s="36">
        <v>953.0</v>
      </c>
      <c r="E439" s="40">
        <f>IFERROR(__xludf.DUMMYFUNCTION("IF(C439="""", """", XLOOKUP(TRIM(C439), 'COTRATOS ALBUNS 25.2'!E:E, 'COTRATOS ALBUNS 25.2'!D:D, XLOOKUP(TRIM(C439), IMPORTRANGE(""16smdYggRVyzhu5y9HP2ayvW__ybkjb1nkVsCvZrByLM"", ""'COTRATOS 26.1'!B:B""), IMPORTRANGE(""16smdYggRVyzhu5y9HP2ayvW__ybkjb1nkVsC"&amp;"vZrByLM"", ""'COTRATOS 26.1'!A:A""), """")))"),85076.0)</f>
        <v>85076</v>
      </c>
      <c r="F439" s="41" t="s">
        <v>66</v>
      </c>
      <c r="G439" s="42" t="s">
        <v>87</v>
      </c>
      <c r="H439" s="43"/>
      <c r="I439" s="44" t="s">
        <v>932</v>
      </c>
      <c r="J439" s="5"/>
      <c r="K439" s="8" t="s">
        <v>13</v>
      </c>
      <c r="L439" s="8" t="s">
        <v>121</v>
      </c>
      <c r="M439" s="5"/>
      <c r="N439" s="63" t="b">
        <v>1</v>
      </c>
      <c r="O439" s="64">
        <f t="shared" si="1"/>
        <v>46227.4935</v>
      </c>
      <c r="P439" s="49">
        <v>46267.0</v>
      </c>
      <c r="Q439" s="85">
        <v>46211.0</v>
      </c>
      <c r="R439" s="86">
        <f t="shared" si="2"/>
        <v>46271</v>
      </c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</row>
    <row r="440">
      <c r="A440" s="56" t="b">
        <v>1</v>
      </c>
      <c r="B440" s="110">
        <v>46260.0</v>
      </c>
      <c r="C440" s="106" t="s">
        <v>933</v>
      </c>
      <c r="D440" s="38">
        <v>895.0</v>
      </c>
      <c r="E440" s="40">
        <f>IFERROR(__xludf.DUMMYFUNCTION("IF(C440="""", """", XLOOKUP(TRIM(C440), 'COTRATOS ALBUNS 25.2'!E:E, 'COTRATOS ALBUNS 25.2'!D:D, XLOOKUP(TRIM(C440), IMPORTRANGE(""16smdYggRVyzhu5y9HP2ayvW__ybkjb1nkVsCvZrByLM"", ""'COTRATOS 26.1'!B:B""), IMPORTRANGE(""16smdYggRVyzhu5y9HP2ayvW__ybkjb1nkVsC"&amp;"vZrByLM"", ""'COTRATOS 26.1'!A:A""), """")))"),86373.0)</f>
        <v>86373</v>
      </c>
      <c r="F440" s="57" t="s">
        <v>36</v>
      </c>
      <c r="G440" s="42" t="s">
        <v>41</v>
      </c>
      <c r="H440" s="43"/>
      <c r="I440" s="58" t="s">
        <v>934</v>
      </c>
      <c r="J440" s="59"/>
      <c r="K440" s="53" t="s">
        <v>6</v>
      </c>
      <c r="L440" s="59"/>
      <c r="M440" s="53" t="s">
        <v>8</v>
      </c>
      <c r="N440" s="47" t="b">
        <v>0</v>
      </c>
      <c r="O440" s="48">
        <f t="shared" si="1"/>
        <v>46277</v>
      </c>
      <c r="P440" s="49">
        <v>46289.0</v>
      </c>
      <c r="Q440" s="61"/>
      <c r="R440" s="51" t="str">
        <f t="shared" si="2"/>
        <v/>
      </c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</row>
    <row r="441">
      <c r="A441" s="53" t="b">
        <v>1</v>
      </c>
      <c r="B441" s="54">
        <v>46276.0</v>
      </c>
      <c r="C441" s="55" t="s">
        <v>935</v>
      </c>
      <c r="D441" s="38">
        <v>1172.0</v>
      </c>
      <c r="E441" s="40">
        <f>IFERROR(__xludf.DUMMYFUNCTION("IF(C441="""", """", XLOOKUP(TRIM(C441), 'COTRATOS ALBUNS 25.2'!E:E, 'COTRATOS ALBUNS 25.2'!D:D, XLOOKUP(TRIM(C441), IMPORTRANGE(""16smdYggRVyzhu5y9HP2ayvW__ybkjb1nkVsCvZrByLM"", ""'COTRATOS 26.1'!B:B""), IMPORTRANGE(""16smdYggRVyzhu5y9HP2ayvW__ybkjb1nkVsC"&amp;"vZrByLM"", ""'COTRATOS 26.1'!A:A""), """")))"),85614.0)</f>
        <v>85614</v>
      </c>
      <c r="F441" s="57" t="s">
        <v>36</v>
      </c>
      <c r="G441" s="42" t="s">
        <v>95</v>
      </c>
      <c r="H441" s="43"/>
      <c r="I441" s="44" t="s">
        <v>936</v>
      </c>
      <c r="J441" s="8" t="s">
        <v>937</v>
      </c>
      <c r="K441" s="8" t="s">
        <v>6</v>
      </c>
      <c r="L441" s="59"/>
      <c r="M441" s="53" t="s">
        <v>8</v>
      </c>
      <c r="N441" s="47" t="b">
        <v>0</v>
      </c>
      <c r="O441" s="48">
        <f t="shared" si="1"/>
        <v>46293</v>
      </c>
      <c r="P441" s="49">
        <v>46282.0</v>
      </c>
      <c r="Q441" s="61"/>
      <c r="R441" s="51" t="str">
        <f t="shared" si="2"/>
        <v/>
      </c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</row>
    <row r="442">
      <c r="A442" s="36" t="b">
        <v>1</v>
      </c>
      <c r="B442" s="100">
        <v>46164.0</v>
      </c>
      <c r="C442" s="38" t="s">
        <v>938</v>
      </c>
      <c r="D442" s="36">
        <v>1172.0</v>
      </c>
      <c r="E442" s="40">
        <f>IFERROR(__xludf.DUMMYFUNCTION("IF(C442="""", """", XLOOKUP(TRIM(C442), 'COTRATOS ALBUNS 25.2'!E:E, 'COTRATOS ALBUNS 25.2'!D:D, XLOOKUP(TRIM(C442), IMPORTRANGE(""16smdYggRVyzhu5y9HP2ayvW__ybkjb1nkVsCvZrByLM"", ""'COTRATOS 26.1'!B:B""), IMPORTRANGE(""16smdYggRVyzhu5y9HP2ayvW__ybkjb1nkVsC"&amp;"vZrByLM"", ""'COTRATOS 26.1'!A:A""), """")))"),88965.0)</f>
        <v>88965</v>
      </c>
      <c r="F442" s="41" t="s">
        <v>36</v>
      </c>
      <c r="G442" s="42" t="s">
        <v>80</v>
      </c>
      <c r="H442" s="43"/>
      <c r="I442" s="44" t="s">
        <v>939</v>
      </c>
      <c r="J442" s="5"/>
      <c r="K442" s="8" t="s">
        <v>17</v>
      </c>
      <c r="L442" s="5"/>
      <c r="M442" s="5"/>
      <c r="N442" s="47" t="b">
        <v>0</v>
      </c>
      <c r="O442" s="48">
        <f t="shared" si="1"/>
        <v>46181</v>
      </c>
      <c r="P442" s="60"/>
      <c r="Q442" s="82"/>
      <c r="R442" s="51" t="str">
        <f t="shared" si="2"/>
        <v/>
      </c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</row>
    <row r="443">
      <c r="A443" s="67" t="b">
        <v>1</v>
      </c>
      <c r="B443" s="68">
        <v>46216.639432870375</v>
      </c>
      <c r="C443" s="161" t="s">
        <v>940</v>
      </c>
      <c r="D443" s="36">
        <v>850.0</v>
      </c>
      <c r="E443" s="40">
        <f>IFERROR(__xludf.DUMMYFUNCTION("IF(C443="""", """", XLOOKUP(TRIM(C443), 'COTRATOS ALBUNS 25.2'!E:E, 'COTRATOS ALBUNS 25.2'!D:D, XLOOKUP(TRIM(C443), IMPORTRANGE(""16smdYggRVyzhu5y9HP2ayvW__ybkjb1nkVsCvZrByLM"", ""'COTRATOS 26.1'!B:B""), IMPORTRANGE(""16smdYggRVyzhu5y9HP2ayvW__ybkjb1nkVsC"&amp;"vZrByLM"", ""'COTRATOS 26.1'!A:A""), """")))"),59266.0)</f>
        <v>59266</v>
      </c>
      <c r="F443" s="41" t="s">
        <v>36</v>
      </c>
      <c r="G443" s="42" t="s">
        <v>45</v>
      </c>
      <c r="H443" s="43"/>
      <c r="I443" s="44" t="s">
        <v>941</v>
      </c>
      <c r="J443" s="5"/>
      <c r="K443" s="8" t="s">
        <v>13</v>
      </c>
      <c r="L443" s="8" t="s">
        <v>121</v>
      </c>
      <c r="M443" s="5"/>
      <c r="N443" s="63" t="b">
        <v>1</v>
      </c>
      <c r="O443" s="64">
        <f t="shared" si="1"/>
        <v>46233.63943</v>
      </c>
      <c r="P443" s="49">
        <v>46297.0</v>
      </c>
      <c r="Q443" s="85">
        <v>46216.0</v>
      </c>
      <c r="R443" s="86">
        <f t="shared" si="2"/>
        <v>46276</v>
      </c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</row>
    <row r="444">
      <c r="A444" s="67" t="b">
        <v>1</v>
      </c>
      <c r="B444" s="68">
        <v>46275.75146990741</v>
      </c>
      <c r="C444" s="38" t="s">
        <v>942</v>
      </c>
      <c r="D444" s="36">
        <v>964.0</v>
      </c>
      <c r="E444" s="40">
        <f>IFERROR(__xludf.DUMMYFUNCTION("IF(C444="""", """", XLOOKUP(TRIM(C444), 'COTRATOS ALBUNS 25.2'!E:E, 'COTRATOS ALBUNS 25.2'!D:D, XLOOKUP(TRIM(C444), IMPORTRANGE(""16smdYggRVyzhu5y9HP2ayvW__ybkjb1nkVsCvZrByLM"", ""'COTRATOS 26.1'!B:B""), IMPORTRANGE(""16smdYggRVyzhu5y9HP2ayvW__ybkjb1nkVsC"&amp;"vZrByLM"", ""'COTRATOS 26.1'!A:A""), """")))"),88133.0)</f>
        <v>88133</v>
      </c>
      <c r="F444" s="41" t="s">
        <v>36</v>
      </c>
      <c r="G444" s="42" t="s">
        <v>71</v>
      </c>
      <c r="H444" s="43"/>
      <c r="I444" s="44" t="s">
        <v>943</v>
      </c>
      <c r="J444" s="5"/>
      <c r="K444" s="8" t="s">
        <v>13</v>
      </c>
      <c r="L444" s="8" t="s">
        <v>69</v>
      </c>
      <c r="M444" s="5"/>
      <c r="N444" s="63" t="b">
        <v>1</v>
      </c>
      <c r="O444" s="64">
        <f t="shared" si="1"/>
        <v>46292.75147</v>
      </c>
      <c r="P444" s="49">
        <v>46297.0</v>
      </c>
      <c r="Q444" s="85">
        <v>46219.0</v>
      </c>
      <c r="R444" s="86">
        <f t="shared" si="2"/>
        <v>46279</v>
      </c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</row>
    <row r="445">
      <c r="A445" s="36" t="b">
        <v>1</v>
      </c>
      <c r="B445" s="37">
        <v>46213.0</v>
      </c>
      <c r="C445" s="38" t="s">
        <v>944</v>
      </c>
      <c r="D445" s="36">
        <v>1172.0</v>
      </c>
      <c r="E445" s="40">
        <f>IFERROR(__xludf.DUMMYFUNCTION("IF(C445="""", """", XLOOKUP(TRIM(C445), 'COTRATOS ALBUNS 25.2'!E:E, 'COTRATOS ALBUNS 25.2'!D:D, XLOOKUP(TRIM(C445), IMPORTRANGE(""16smdYggRVyzhu5y9HP2ayvW__ybkjb1nkVsCvZrByLM"", ""'COTRATOS 26.1'!B:B""), IMPORTRANGE(""16smdYggRVyzhu5y9HP2ayvW__ybkjb1nkVsC"&amp;"vZrByLM"", ""'COTRATOS 26.1'!A:A""), """")))"),85332.0)</f>
        <v>85332</v>
      </c>
      <c r="F445" s="41" t="s">
        <v>36</v>
      </c>
      <c r="G445" s="42" t="s">
        <v>52</v>
      </c>
      <c r="H445" s="43"/>
      <c r="I445" s="44" t="s">
        <v>945</v>
      </c>
      <c r="J445" s="7"/>
      <c r="K445" s="8" t="s">
        <v>10</v>
      </c>
      <c r="L445" s="5"/>
      <c r="M445" s="5"/>
      <c r="N445" s="47" t="b">
        <v>0</v>
      </c>
      <c r="O445" s="48">
        <f t="shared" si="1"/>
        <v>46230</v>
      </c>
      <c r="P445" s="60"/>
      <c r="Q445" s="82"/>
      <c r="R445" s="51" t="str">
        <f t="shared" si="2"/>
        <v/>
      </c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</row>
    <row r="446">
      <c r="A446" s="36" t="b">
        <v>1</v>
      </c>
      <c r="B446" s="90">
        <v>46297.0</v>
      </c>
      <c r="C446" s="81" t="s">
        <v>946</v>
      </c>
      <c r="D446" s="39">
        <v>953.0</v>
      </c>
      <c r="E446" s="40">
        <f>IFERROR(__xludf.DUMMYFUNCTION("IF(C446="""", """", XLOOKUP(TRIM(C446), 'COTRATOS ALBUNS 25.2'!E:E, 'COTRATOS ALBUNS 25.2'!D:D, XLOOKUP(TRIM(C446), IMPORTRANGE(""16smdYggRVyzhu5y9HP2ayvW__ybkjb1nkVsCvZrByLM"", ""'COTRATOS 26.1'!B:B""), IMPORTRANGE(""16smdYggRVyzhu5y9HP2ayvW__ybkjb1nkVsC"&amp;"vZrByLM"", ""'COTRATOS 26.1'!A:A""), """")))"),89220.0)</f>
        <v>89220</v>
      </c>
      <c r="F446" s="41" t="s">
        <v>66</v>
      </c>
      <c r="G446" s="42" t="s">
        <v>45</v>
      </c>
      <c r="H446" s="43"/>
      <c r="I446" s="44" t="s">
        <v>947</v>
      </c>
      <c r="J446" s="7"/>
      <c r="K446" s="8" t="s">
        <v>13</v>
      </c>
      <c r="L446" s="108" t="s">
        <v>101</v>
      </c>
      <c r="M446" s="46" t="s">
        <v>8</v>
      </c>
      <c r="N446" s="47" t="b">
        <v>0</v>
      </c>
      <c r="O446" s="48">
        <f t="shared" si="1"/>
        <v>46314</v>
      </c>
      <c r="P446" s="49">
        <v>46297.0</v>
      </c>
      <c r="Q446" s="50">
        <v>46245.0</v>
      </c>
      <c r="R446" s="86">
        <f t="shared" si="2"/>
        <v>46305</v>
      </c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</row>
    <row r="447">
      <c r="A447" s="56" t="b">
        <v>1</v>
      </c>
      <c r="B447" s="110">
        <v>46302.0</v>
      </c>
      <c r="C447" s="106" t="s">
        <v>948</v>
      </c>
      <c r="D447" s="38">
        <v>994.0</v>
      </c>
      <c r="E447" s="102">
        <v>88245.0</v>
      </c>
      <c r="F447" s="57" t="s">
        <v>40</v>
      </c>
      <c r="G447" s="42" t="s">
        <v>91</v>
      </c>
      <c r="H447" s="43"/>
      <c r="I447" s="58" t="s">
        <v>949</v>
      </c>
      <c r="J447" s="59"/>
      <c r="K447" s="53" t="s">
        <v>14</v>
      </c>
      <c r="L447" s="53" t="s">
        <v>156</v>
      </c>
      <c r="M447" s="53" t="s">
        <v>8</v>
      </c>
      <c r="N447" s="47" t="b">
        <v>0</v>
      </c>
      <c r="O447" s="48">
        <f t="shared" si="1"/>
        <v>46319</v>
      </c>
      <c r="P447" s="49">
        <v>46294.0</v>
      </c>
      <c r="Q447" s="61">
        <v>46302.0</v>
      </c>
      <c r="R447" s="76">
        <f t="shared" si="2"/>
        <v>46362</v>
      </c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</row>
    <row r="448">
      <c r="A448" s="67" t="b">
        <v>1</v>
      </c>
      <c r="B448" s="74">
        <v>46297.0</v>
      </c>
      <c r="C448" s="38" t="s">
        <v>950</v>
      </c>
      <c r="D448" s="36">
        <v>1172.0</v>
      </c>
      <c r="E448" s="40">
        <f>IFERROR(__xludf.DUMMYFUNCTION("IF(C448="""", """", XLOOKUP(TRIM(C448), 'COTRATOS ALBUNS 25.2'!E:E, 'COTRATOS ALBUNS 25.2'!D:D, XLOOKUP(TRIM(C448), IMPORTRANGE(""16smdYggRVyzhu5y9HP2ayvW__ybkjb1nkVsCvZrByLM"", ""'COTRATOS 26.1'!B:B""), IMPORTRANGE(""16smdYggRVyzhu5y9HP2ayvW__ybkjb1nkVsC"&amp;"vZrByLM"", ""'COTRATOS 26.1'!A:A""), """")))"),85691.0)</f>
        <v>85691</v>
      </c>
      <c r="F448" s="41" t="s">
        <v>66</v>
      </c>
      <c r="G448" s="42" t="s">
        <v>110</v>
      </c>
      <c r="H448" s="43"/>
      <c r="I448" s="44" t="s">
        <v>951</v>
      </c>
      <c r="J448" s="5"/>
      <c r="K448" s="8" t="s">
        <v>13</v>
      </c>
      <c r="L448" s="45" t="s">
        <v>78</v>
      </c>
      <c r="M448" s="8" t="s">
        <v>8</v>
      </c>
      <c r="N448" s="47" t="b">
        <v>0</v>
      </c>
      <c r="O448" s="48">
        <f t="shared" si="1"/>
        <v>46314</v>
      </c>
      <c r="P448" s="49">
        <v>46297.0</v>
      </c>
      <c r="Q448" s="50">
        <v>46244.0</v>
      </c>
      <c r="R448" s="86">
        <f t="shared" si="2"/>
        <v>46304</v>
      </c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</row>
    <row r="449">
      <c r="A449" s="67" t="b">
        <v>1</v>
      </c>
      <c r="B449" s="68">
        <v>46268.42545138889</v>
      </c>
      <c r="C449" s="69" t="s">
        <v>952</v>
      </c>
      <c r="D449" s="70">
        <v>968.0</v>
      </c>
      <c r="E449" s="40">
        <f>IFERROR(__xludf.DUMMYFUNCTION("IF(C449="""", """", XLOOKUP(TRIM(C449), 'COTRATOS ALBUNS 25.2'!E:E, 'COTRATOS ALBUNS 25.2'!D:D, XLOOKUP(TRIM(C449), IMPORTRANGE(""16smdYggRVyzhu5y9HP2ayvW__ybkjb1nkVsCvZrByLM"", ""'COTRATOS 26.1'!B:B""), IMPORTRANGE(""16smdYggRVyzhu5y9HP2ayvW__ybkjb1nkVsC"&amp;"vZrByLM"", ""'COTRATOS 26.1'!A:A""), """")))"),86798.0)</f>
        <v>86798</v>
      </c>
      <c r="F449" s="71" t="s">
        <v>36</v>
      </c>
      <c r="G449" s="42" t="s">
        <v>52</v>
      </c>
      <c r="H449" s="43"/>
      <c r="I449" s="44" t="s">
        <v>953</v>
      </c>
      <c r="J449" s="5"/>
      <c r="K449" s="8" t="s">
        <v>13</v>
      </c>
      <c r="L449" s="8" t="s">
        <v>50</v>
      </c>
      <c r="M449" s="8" t="s">
        <v>8</v>
      </c>
      <c r="N449" s="63" t="b">
        <v>1</v>
      </c>
      <c r="O449" s="64">
        <f t="shared" si="1"/>
        <v>46285.42545</v>
      </c>
      <c r="P449" s="49">
        <v>46297.0</v>
      </c>
      <c r="Q449" s="72">
        <f>B449</f>
        <v>46268.42545</v>
      </c>
      <c r="R449" s="73">
        <f t="shared" si="2"/>
        <v>46328.42545</v>
      </c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</row>
    <row r="450">
      <c r="A450" s="67" t="b">
        <v>1</v>
      </c>
      <c r="B450" s="74">
        <v>46297.0</v>
      </c>
      <c r="C450" s="38" t="s">
        <v>954</v>
      </c>
      <c r="D450" s="36">
        <v>1172.0</v>
      </c>
      <c r="E450" s="40">
        <f>IFERROR(__xludf.DUMMYFUNCTION("IF(C450="""", """", XLOOKUP(TRIM(C450), 'COTRATOS ALBUNS 25.2'!E:E, 'COTRATOS ALBUNS 25.2'!D:D, XLOOKUP(TRIM(C450), IMPORTRANGE(""16smdYggRVyzhu5y9HP2ayvW__ybkjb1nkVsCvZrByLM"", ""'COTRATOS 26.1'!B:B""), IMPORTRANGE(""16smdYggRVyzhu5y9HP2ayvW__ybkjb1nkVsC"&amp;"vZrByLM"", ""'COTRATOS 26.1'!A:A""), """")))"),86864.0)</f>
        <v>86864</v>
      </c>
      <c r="F450" s="41" t="s">
        <v>36</v>
      </c>
      <c r="G450" s="42" t="s">
        <v>57</v>
      </c>
      <c r="H450" s="43"/>
      <c r="I450" s="44" t="s">
        <v>955</v>
      </c>
      <c r="J450" s="5"/>
      <c r="K450" s="8" t="s">
        <v>13</v>
      </c>
      <c r="L450" s="8" t="s">
        <v>78</v>
      </c>
      <c r="M450" s="46" t="s">
        <v>8</v>
      </c>
      <c r="N450" s="47" t="b">
        <v>0</v>
      </c>
      <c r="O450" s="48">
        <f t="shared" si="1"/>
        <v>46314</v>
      </c>
      <c r="P450" s="49">
        <v>46297.0</v>
      </c>
      <c r="Q450" s="93">
        <v>46265.0</v>
      </c>
      <c r="R450" s="76">
        <f t="shared" si="2"/>
        <v>46325</v>
      </c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</row>
    <row r="451">
      <c r="A451" s="36" t="b">
        <v>1</v>
      </c>
      <c r="B451" s="62">
        <v>46223.39583333333</v>
      </c>
      <c r="C451" s="38" t="s">
        <v>956</v>
      </c>
      <c r="D451" s="39">
        <v>994.0</v>
      </c>
      <c r="E451" s="40">
        <f>IFERROR(__xludf.DUMMYFUNCTION("IF(C451="""", """", XLOOKUP(TRIM(C451), 'COTRATOS ALBUNS 25.2'!E:E, 'COTRATOS ALBUNS 25.2'!D:D, XLOOKUP(TRIM(C451), IMPORTRANGE(""16smdYggRVyzhu5y9HP2ayvW__ybkjb1nkVsCvZrByLM"", ""'COTRATOS 26.1'!B:B""), IMPORTRANGE(""16smdYggRVyzhu5y9HP2ayvW__ybkjb1nkVsC"&amp;"vZrByLM"", ""'COTRATOS 26.1'!A:A""), """")))"),88984.0)</f>
        <v>88984</v>
      </c>
      <c r="F451" s="41" t="s">
        <v>36</v>
      </c>
      <c r="G451" s="42" t="s">
        <v>957</v>
      </c>
      <c r="H451" s="43"/>
      <c r="I451" s="44" t="s">
        <v>958</v>
      </c>
      <c r="J451" s="7"/>
      <c r="K451" s="8" t="s">
        <v>13</v>
      </c>
      <c r="L451" s="8" t="s">
        <v>47</v>
      </c>
      <c r="M451" s="5"/>
      <c r="N451" s="63" t="b">
        <v>1</v>
      </c>
      <c r="O451" s="64">
        <f t="shared" si="1"/>
        <v>46240.39583</v>
      </c>
      <c r="P451" s="49">
        <v>46297.0</v>
      </c>
      <c r="Q451" s="85">
        <v>46224.0</v>
      </c>
      <c r="R451" s="86">
        <f t="shared" si="2"/>
        <v>46284</v>
      </c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</row>
    <row r="452">
      <c r="A452" s="36" t="b">
        <v>1</v>
      </c>
      <c r="B452" s="113">
        <v>46190.0</v>
      </c>
      <c r="C452" s="38" t="s">
        <v>959</v>
      </c>
      <c r="D452" s="39">
        <v>1172.0</v>
      </c>
      <c r="E452" s="40">
        <f>IFERROR(__xludf.DUMMYFUNCTION("IF(C452="""", """", XLOOKUP(TRIM(C452), 'COTRATOS ALBUNS 25.2'!E:E, 'COTRATOS ALBUNS 25.2'!D:D, XLOOKUP(TRIM(C452), IMPORTRANGE(""16smdYggRVyzhu5y9HP2ayvW__ybkjb1nkVsCvZrByLM"", ""'COTRATOS 26.1'!B:B""), IMPORTRANGE(""16smdYggRVyzhu5y9HP2ayvW__ybkjb1nkVsC"&amp;"vZrByLM"", ""'COTRATOS 26.1'!A:A""), """")))"),85322.0)</f>
        <v>85322</v>
      </c>
      <c r="F452" s="41" t="s">
        <v>36</v>
      </c>
      <c r="G452" s="114"/>
      <c r="H452" s="43"/>
      <c r="I452" s="44" t="s">
        <v>960</v>
      </c>
      <c r="J452" s="7"/>
      <c r="K452" s="8" t="s">
        <v>13</v>
      </c>
      <c r="L452" s="108" t="s">
        <v>218</v>
      </c>
      <c r="M452" s="46" t="s">
        <v>8</v>
      </c>
      <c r="N452" s="63" t="b">
        <v>1</v>
      </c>
      <c r="O452" s="52">
        <f t="shared" si="1"/>
        <v>46207</v>
      </c>
      <c r="P452" s="60"/>
      <c r="Q452" s="50">
        <v>46246.0</v>
      </c>
      <c r="R452" s="86">
        <f t="shared" si="2"/>
        <v>46306</v>
      </c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</row>
    <row r="453">
      <c r="A453" s="36" t="b">
        <v>1</v>
      </c>
      <c r="B453" s="37">
        <v>46297.0</v>
      </c>
      <c r="C453" s="38" t="s">
        <v>961</v>
      </c>
      <c r="D453" s="39">
        <v>1172.0</v>
      </c>
      <c r="E453" s="40">
        <f>IFERROR(__xludf.DUMMYFUNCTION("IF(C453="""", """", XLOOKUP(TRIM(C453), 'COTRATOS ALBUNS 25.2'!E:E, 'COTRATOS ALBUNS 25.2'!D:D, XLOOKUP(TRIM(C453), IMPORTRANGE(""16smdYggRVyzhu5y9HP2ayvW__ybkjb1nkVsCvZrByLM"", ""'COTRATOS 26.1'!B:B""), IMPORTRANGE(""16smdYggRVyzhu5y9HP2ayvW__ybkjb1nkVsC"&amp;"vZrByLM"", ""'COTRATOS 26.1'!A:A""), """")))"),87113.0)</f>
        <v>87113</v>
      </c>
      <c r="F453" s="41" t="s">
        <v>36</v>
      </c>
      <c r="G453" s="42" t="s">
        <v>67</v>
      </c>
      <c r="H453" s="43"/>
      <c r="I453" s="44" t="s">
        <v>962</v>
      </c>
      <c r="J453" s="7"/>
      <c r="K453" s="8" t="s">
        <v>13</v>
      </c>
      <c r="L453" s="103" t="s">
        <v>101</v>
      </c>
      <c r="M453" s="46" t="s">
        <v>8</v>
      </c>
      <c r="N453" s="47" t="b">
        <v>0</v>
      </c>
      <c r="O453" s="48">
        <f t="shared" si="1"/>
        <v>46314</v>
      </c>
      <c r="P453" s="49">
        <v>46297.0</v>
      </c>
      <c r="Q453" s="93">
        <v>46251.0</v>
      </c>
      <c r="R453" s="76">
        <f t="shared" si="2"/>
        <v>46311</v>
      </c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</row>
    <row r="454">
      <c r="A454" s="36" t="b">
        <v>1</v>
      </c>
      <c r="B454" s="37">
        <v>46297.0</v>
      </c>
      <c r="C454" s="38" t="s">
        <v>963</v>
      </c>
      <c r="D454" s="39">
        <v>1172.0</v>
      </c>
      <c r="E454" s="40">
        <f>IFERROR(__xludf.DUMMYFUNCTION("IF(C454="""", """", XLOOKUP(TRIM(C454), 'COTRATOS ALBUNS 25.2'!E:E, 'COTRATOS ALBUNS 25.2'!D:D, XLOOKUP(TRIM(C454), IMPORTRANGE(""16smdYggRVyzhu5y9HP2ayvW__ybkjb1nkVsCvZrByLM"", ""'COTRATOS 26.1'!B:B""), IMPORTRANGE(""16smdYggRVyzhu5y9HP2ayvW__ybkjb1nkVsC"&amp;"vZrByLM"", ""'COTRATOS 26.1'!A:A""), """")))"),86584.0)</f>
        <v>86584</v>
      </c>
      <c r="F454" s="41" t="s">
        <v>36</v>
      </c>
      <c r="G454" s="42" t="s">
        <v>57</v>
      </c>
      <c r="H454" s="43"/>
      <c r="I454" s="44" t="s">
        <v>964</v>
      </c>
      <c r="J454" s="7"/>
      <c r="K454" s="8" t="s">
        <v>13</v>
      </c>
      <c r="L454" s="108" t="s">
        <v>101</v>
      </c>
      <c r="M454" s="46" t="s">
        <v>8</v>
      </c>
      <c r="N454" s="47" t="b">
        <v>0</v>
      </c>
      <c r="O454" s="48">
        <f t="shared" si="1"/>
        <v>46314</v>
      </c>
      <c r="P454" s="49">
        <v>46297.0</v>
      </c>
      <c r="Q454" s="93">
        <v>46247.0</v>
      </c>
      <c r="R454" s="76">
        <f t="shared" si="2"/>
        <v>46307</v>
      </c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</row>
    <row r="455">
      <c r="A455" s="36" t="b">
        <v>1</v>
      </c>
      <c r="B455" s="62">
        <v>46239.775555555556</v>
      </c>
      <c r="C455" s="38" t="s">
        <v>965</v>
      </c>
      <c r="D455" s="39">
        <v>1172.0</v>
      </c>
      <c r="E455" s="40">
        <f>IFERROR(__xludf.DUMMYFUNCTION("IF(C455="""", """", XLOOKUP(TRIM(C455), 'COTRATOS ALBUNS 25.2'!E:E, 'COTRATOS ALBUNS 25.2'!D:D, XLOOKUP(TRIM(C455), IMPORTRANGE(""16smdYggRVyzhu5y9HP2ayvW__ybkjb1nkVsCvZrByLM"", ""'COTRATOS 26.1'!B:B""), IMPORTRANGE(""16smdYggRVyzhu5y9HP2ayvW__ybkjb1nkVsC"&amp;"vZrByLM"", ""'COTRATOS 26.1'!A:A""), """")))"),86885.0)</f>
        <v>86885</v>
      </c>
      <c r="F455" s="41" t="s">
        <v>66</v>
      </c>
      <c r="G455" s="42" t="s">
        <v>45</v>
      </c>
      <c r="H455" s="43"/>
      <c r="I455" s="44" t="s">
        <v>966</v>
      </c>
      <c r="J455" s="7"/>
      <c r="K455" s="8" t="s">
        <v>13</v>
      </c>
      <c r="L455" s="108" t="s">
        <v>218</v>
      </c>
      <c r="M455" s="8" t="s">
        <v>8</v>
      </c>
      <c r="N455" s="63" t="b">
        <v>1</v>
      </c>
      <c r="O455" s="64">
        <f t="shared" si="1"/>
        <v>46256.77556</v>
      </c>
      <c r="P455" s="49">
        <v>46297.0</v>
      </c>
      <c r="Q455" s="85">
        <v>46239.0</v>
      </c>
      <c r="R455" s="86">
        <f t="shared" si="2"/>
        <v>46299</v>
      </c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</row>
    <row r="456">
      <c r="A456" s="36" t="b">
        <v>1</v>
      </c>
      <c r="B456" s="62">
        <v>46211.588055555556</v>
      </c>
      <c r="C456" s="38" t="s">
        <v>967</v>
      </c>
      <c r="D456" s="39">
        <v>1172.0</v>
      </c>
      <c r="E456" s="40">
        <f>IFERROR(__xludf.DUMMYFUNCTION("IF(C456="""", """", XLOOKUP(TRIM(C456), 'COTRATOS ALBUNS 25.2'!E:E, 'COTRATOS ALBUNS 25.2'!D:D, XLOOKUP(TRIM(C456), IMPORTRANGE(""16smdYggRVyzhu5y9HP2ayvW__ybkjb1nkVsCvZrByLM"", ""'COTRATOS 26.1'!B:B""), IMPORTRANGE(""16smdYggRVyzhu5y9HP2ayvW__ybkjb1nkVsC"&amp;"vZrByLM"", ""'COTRATOS 26.1'!A:A""), """")))"),87010.0)</f>
        <v>87010</v>
      </c>
      <c r="F456" s="41" t="s">
        <v>66</v>
      </c>
      <c r="G456" s="42" t="s">
        <v>52</v>
      </c>
      <c r="H456" s="43"/>
      <c r="I456" s="44" t="s">
        <v>968</v>
      </c>
      <c r="J456" s="7"/>
      <c r="K456" s="8" t="s">
        <v>13</v>
      </c>
      <c r="L456" s="8" t="s">
        <v>121</v>
      </c>
      <c r="M456" s="5"/>
      <c r="N456" s="63" t="b">
        <v>1</v>
      </c>
      <c r="O456" s="64">
        <f t="shared" si="1"/>
        <v>46228.58806</v>
      </c>
      <c r="P456" s="49">
        <v>46297.0</v>
      </c>
      <c r="Q456" s="85">
        <v>46213.0</v>
      </c>
      <c r="R456" s="86">
        <f t="shared" si="2"/>
        <v>46273</v>
      </c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</row>
    <row r="457">
      <c r="A457" s="67" t="b">
        <v>1</v>
      </c>
      <c r="B457" s="74">
        <v>46268.42543981482</v>
      </c>
      <c r="C457" s="69" t="s">
        <v>969</v>
      </c>
      <c r="D457" s="70">
        <v>968.0</v>
      </c>
      <c r="E457" s="40">
        <f>IFERROR(__xludf.DUMMYFUNCTION("IF(C457="""", """", XLOOKUP(TRIM(C457), 'COTRATOS ALBUNS 25.2'!E:E, 'COTRATOS ALBUNS 25.2'!D:D, XLOOKUP(TRIM(C457), IMPORTRANGE(""16smdYggRVyzhu5y9HP2ayvW__ybkjb1nkVsCvZrByLM"", ""'COTRATOS 26.1'!B:B""), IMPORTRANGE(""16smdYggRVyzhu5y9HP2ayvW__ybkjb1nkVsC"&amp;"vZrByLM"", ""'COTRATOS 26.1'!A:A""), """")))"),85208.0)</f>
        <v>85208</v>
      </c>
      <c r="F457" s="71" t="s">
        <v>36</v>
      </c>
      <c r="G457" s="42" t="s">
        <v>456</v>
      </c>
      <c r="H457" s="43"/>
      <c r="I457" s="44" t="s">
        <v>970</v>
      </c>
      <c r="J457" s="5"/>
      <c r="K457" s="8" t="s">
        <v>13</v>
      </c>
      <c r="L457" s="8" t="s">
        <v>50</v>
      </c>
      <c r="M457" s="8" t="s">
        <v>8</v>
      </c>
      <c r="N457" s="63" t="b">
        <v>1</v>
      </c>
      <c r="O457" s="48">
        <f t="shared" si="1"/>
        <v>46285.42544</v>
      </c>
      <c r="P457" s="162">
        <v>46295.620347222226</v>
      </c>
      <c r="Q457" s="75">
        <f>B457</f>
        <v>46268.42544</v>
      </c>
      <c r="R457" s="76">
        <f t="shared" si="2"/>
        <v>46328.42544</v>
      </c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</row>
    <row r="458">
      <c r="A458" s="36" t="b">
        <v>1</v>
      </c>
      <c r="B458" s="37">
        <v>46297.0</v>
      </c>
      <c r="C458" s="38" t="s">
        <v>971</v>
      </c>
      <c r="D458" s="39">
        <v>968.0</v>
      </c>
      <c r="E458" s="40">
        <f>IFERROR(__xludf.DUMMYFUNCTION("IF(C458="""", """", XLOOKUP(TRIM(C458), 'COTRATOS ALBUNS 25.2'!E:E, 'COTRATOS ALBUNS 25.2'!D:D, XLOOKUP(TRIM(C458), IMPORTRANGE(""16smdYggRVyzhu5y9HP2ayvW__ybkjb1nkVsCvZrByLM"", ""'COTRATOS 26.1'!B:B""), IMPORTRANGE(""16smdYggRVyzhu5y9HP2ayvW__ybkjb1nkVsC"&amp;"vZrByLM"", ""'COTRATOS 26.1'!A:A""), """")))"),86294.0)</f>
        <v>86294</v>
      </c>
      <c r="F458" s="41" t="s">
        <v>36</v>
      </c>
      <c r="G458" s="42" t="s">
        <v>110</v>
      </c>
      <c r="H458" s="43"/>
      <c r="I458" s="44" t="s">
        <v>972</v>
      </c>
      <c r="J458" s="7"/>
      <c r="K458" s="8" t="s">
        <v>13</v>
      </c>
      <c r="L458" s="8" t="s">
        <v>101</v>
      </c>
      <c r="M458" s="8" t="s">
        <v>8</v>
      </c>
      <c r="N458" s="47" t="b">
        <v>0</v>
      </c>
      <c r="O458" s="48">
        <f t="shared" si="1"/>
        <v>46314</v>
      </c>
      <c r="P458" s="49">
        <v>46297.0</v>
      </c>
      <c r="Q458" s="93">
        <v>46252.0</v>
      </c>
      <c r="R458" s="76">
        <f t="shared" si="2"/>
        <v>46312</v>
      </c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</row>
    <row r="459">
      <c r="A459" s="36" t="b">
        <v>1</v>
      </c>
      <c r="B459" s="94">
        <v>46233.493263888886</v>
      </c>
      <c r="C459" s="38" t="s">
        <v>973</v>
      </c>
      <c r="D459" s="36">
        <v>1084.0</v>
      </c>
      <c r="E459" s="40">
        <f>IFERROR(__xludf.DUMMYFUNCTION("IF(C459="""", """", XLOOKUP(TRIM(C459), 'COTRATOS ALBUNS 25.2'!E:E, 'COTRATOS ALBUNS 25.2'!D:D, XLOOKUP(TRIM(C459), IMPORTRANGE(""16smdYggRVyzhu5y9HP2ayvW__ybkjb1nkVsCvZrByLM"", ""'COTRATOS 26.1'!B:B""), IMPORTRANGE(""16smdYggRVyzhu5y9HP2ayvW__ybkjb1nkVsC"&amp;"vZrByLM"", ""'COTRATOS 26.1'!A:A""), """")))"),87522.0)</f>
        <v>87522</v>
      </c>
      <c r="F459" s="41" t="s">
        <v>74</v>
      </c>
      <c r="G459" s="42" t="s">
        <v>41</v>
      </c>
      <c r="H459" s="43"/>
      <c r="I459" s="44" t="s">
        <v>974</v>
      </c>
      <c r="J459" s="5"/>
      <c r="K459" s="8" t="s">
        <v>13</v>
      </c>
      <c r="L459" s="8" t="s">
        <v>193</v>
      </c>
      <c r="M459" s="8" t="s">
        <v>8</v>
      </c>
      <c r="N459" s="63" t="b">
        <v>1</v>
      </c>
      <c r="O459" s="64">
        <f t="shared" si="1"/>
        <v>46250.49326</v>
      </c>
      <c r="P459" s="49">
        <v>46297.0</v>
      </c>
      <c r="Q459" s="50">
        <v>46245.0</v>
      </c>
      <c r="R459" s="86">
        <f t="shared" si="2"/>
        <v>46305</v>
      </c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</row>
    <row r="460">
      <c r="A460" s="36" t="b">
        <v>1</v>
      </c>
      <c r="B460" s="94">
        <v>46294.443761574075</v>
      </c>
      <c r="C460" s="38" t="s">
        <v>975</v>
      </c>
      <c r="D460" s="36">
        <v>752.0</v>
      </c>
      <c r="E460" s="40">
        <f>IFERROR(__xludf.DUMMYFUNCTION("IF(C460="""", """", XLOOKUP(TRIM(C460), 'COTRATOS ALBUNS 25.2'!E:E, 'COTRATOS ALBUNS 25.2'!D:D, XLOOKUP(TRIM(C460), IMPORTRANGE(""16smdYggRVyzhu5y9HP2ayvW__ybkjb1nkVsCvZrByLM"", ""'COTRATOS 26.1'!B:B""), IMPORTRANGE(""16smdYggRVyzhu5y9HP2ayvW__ybkjb1nkVsC"&amp;"vZrByLM"", ""'COTRATOS 26.1'!A:A""), """")))"),85101.0)</f>
        <v>85101</v>
      </c>
      <c r="F460" s="41" t="s">
        <v>66</v>
      </c>
      <c r="G460" s="42" t="s">
        <v>45</v>
      </c>
      <c r="H460" s="43"/>
      <c r="I460" s="44" t="s">
        <v>976</v>
      </c>
      <c r="J460" s="5"/>
      <c r="K460" s="8" t="s">
        <v>13</v>
      </c>
      <c r="L460" s="103" t="s">
        <v>47</v>
      </c>
      <c r="M460" s="8" t="s">
        <v>8</v>
      </c>
      <c r="N460" s="63" t="b">
        <v>1</v>
      </c>
      <c r="O460" s="64">
        <f t="shared" si="1"/>
        <v>46311.44376</v>
      </c>
      <c r="P460" s="49">
        <v>46297.0</v>
      </c>
      <c r="Q460" s="65">
        <v>46227.0</v>
      </c>
      <c r="R460" s="66">
        <f t="shared" si="2"/>
        <v>46287</v>
      </c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</row>
    <row r="461">
      <c r="A461" s="67" t="b">
        <v>1</v>
      </c>
      <c r="B461" s="68">
        <v>46268.42626157407</v>
      </c>
      <c r="C461" s="69" t="s">
        <v>977</v>
      </c>
      <c r="D461" s="70">
        <v>994.0</v>
      </c>
      <c r="E461" s="40">
        <f>IFERROR(__xludf.DUMMYFUNCTION("IF(C461="""", """", XLOOKUP(TRIM(C461), 'COTRATOS ALBUNS 25.2'!E:E, 'COTRATOS ALBUNS 25.2'!D:D, XLOOKUP(TRIM(C461), IMPORTRANGE(""16smdYggRVyzhu5y9HP2ayvW__ybkjb1nkVsCvZrByLM"", ""'COTRATOS 26.1'!B:B""), IMPORTRANGE(""16smdYggRVyzhu5y9HP2ayvW__ybkjb1nkVsC"&amp;"vZrByLM"", ""'COTRATOS 26.1'!A:A""), """")))"),70140.0)</f>
        <v>70140</v>
      </c>
      <c r="F461" s="71" t="s">
        <v>36</v>
      </c>
      <c r="G461" s="42" t="s">
        <v>313</v>
      </c>
      <c r="H461" s="43"/>
      <c r="I461" s="44" t="s">
        <v>978</v>
      </c>
      <c r="J461" s="5"/>
      <c r="K461" s="8" t="s">
        <v>13</v>
      </c>
      <c r="L461" s="8" t="s">
        <v>50</v>
      </c>
      <c r="M461" s="8" t="s">
        <v>8</v>
      </c>
      <c r="N461" s="63" t="b">
        <v>1</v>
      </c>
      <c r="O461" s="64">
        <f t="shared" si="1"/>
        <v>46285.42626</v>
      </c>
      <c r="P461" s="49">
        <v>46297.0</v>
      </c>
      <c r="Q461" s="72">
        <f>B461</f>
        <v>46268.42626</v>
      </c>
      <c r="R461" s="73">
        <f t="shared" si="2"/>
        <v>46328.42626</v>
      </c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</row>
    <row r="462">
      <c r="A462" s="36" t="b">
        <v>1</v>
      </c>
      <c r="B462" s="37">
        <v>46176.0</v>
      </c>
      <c r="C462" s="38" t="s">
        <v>979</v>
      </c>
      <c r="D462" s="39">
        <v>971.0</v>
      </c>
      <c r="E462" s="40">
        <f>IFERROR(__xludf.DUMMYFUNCTION("IF(C462="""", """", XLOOKUP(TRIM(C462), 'COTRATOS ALBUNS 25.2'!E:E, 'COTRATOS ALBUNS 25.2'!D:D, XLOOKUP(TRIM(C462), IMPORTRANGE(""16smdYggRVyzhu5y9HP2ayvW__ybkjb1nkVsCvZrByLM"", ""'COTRATOS 26.1'!B:B""), IMPORTRANGE(""16smdYggRVyzhu5y9HP2ayvW__ybkjb1nkVsC"&amp;"vZrByLM"", ""'COTRATOS 26.1'!A:A""), """")))"),84957.0)</f>
        <v>84957</v>
      </c>
      <c r="F462" s="41" t="s">
        <v>66</v>
      </c>
      <c r="G462" s="42" t="s">
        <v>110</v>
      </c>
      <c r="H462" s="43"/>
      <c r="I462" s="44" t="s">
        <v>980</v>
      </c>
      <c r="J462" s="7"/>
      <c r="K462" s="8" t="s">
        <v>6</v>
      </c>
      <c r="L462" s="103"/>
      <c r="M462" s="46" t="s">
        <v>8</v>
      </c>
      <c r="N462" s="47" t="b">
        <v>0</v>
      </c>
      <c r="O462" s="48">
        <f t="shared" si="1"/>
        <v>46193</v>
      </c>
      <c r="P462" s="49">
        <v>46251.0</v>
      </c>
      <c r="Q462" s="82"/>
      <c r="R462" s="51" t="str">
        <f t="shared" si="2"/>
        <v/>
      </c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</row>
    <row r="463">
      <c r="A463" s="53" t="b">
        <v>1</v>
      </c>
      <c r="B463" s="54">
        <v>46297.0</v>
      </c>
      <c r="C463" s="55" t="s">
        <v>981</v>
      </c>
      <c r="D463" s="38">
        <v>1172.0</v>
      </c>
      <c r="E463" s="40">
        <f>IFERROR(__xludf.DUMMYFUNCTION("IF(C463="""", """", XLOOKUP(TRIM(C463), 'COTRATOS ALBUNS 25.2'!E:E, 'COTRATOS ALBUNS 25.2'!D:D, XLOOKUP(TRIM(C463), IMPORTRANGE(""16smdYggRVyzhu5y9HP2ayvW__ybkjb1nkVsCvZrByLM"", ""'COTRATOS 26.1'!B:B""), IMPORTRANGE(""16smdYggRVyzhu5y9HP2ayvW__ybkjb1nkVsC"&amp;"vZrByLM"", ""'COTRATOS 26.1'!A:A""), """")))"),87808.0)</f>
        <v>87808</v>
      </c>
      <c r="F463" s="57" t="s">
        <v>36</v>
      </c>
      <c r="G463" s="42" t="s">
        <v>207</v>
      </c>
      <c r="H463" s="43"/>
      <c r="I463" s="58" t="s">
        <v>982</v>
      </c>
      <c r="J463" s="59"/>
      <c r="K463" s="8" t="s">
        <v>14</v>
      </c>
      <c r="L463" s="8" t="s">
        <v>89</v>
      </c>
      <c r="M463" s="53" t="s">
        <v>8</v>
      </c>
      <c r="N463" s="47" t="b">
        <v>0</v>
      </c>
      <c r="O463" s="48">
        <f t="shared" si="1"/>
        <v>46314</v>
      </c>
      <c r="P463" s="49">
        <v>46297.0</v>
      </c>
      <c r="Q463" s="61">
        <v>46286.0</v>
      </c>
      <c r="R463" s="76">
        <f t="shared" si="2"/>
        <v>46346</v>
      </c>
      <c r="S463" s="120"/>
      <c r="T463" s="120"/>
      <c r="U463" s="120"/>
      <c r="V463" s="120"/>
      <c r="W463" s="120"/>
      <c r="X463" s="120"/>
      <c r="Y463" s="120"/>
      <c r="Z463" s="120"/>
      <c r="AA463" s="120"/>
      <c r="AB463" s="120"/>
      <c r="AC463" s="120"/>
      <c r="AD463" s="120"/>
      <c r="AE463" s="120"/>
      <c r="AF463" s="120"/>
      <c r="AG463" s="120"/>
      <c r="AH463" s="120"/>
    </row>
    <row r="464">
      <c r="A464" s="36" t="b">
        <v>1</v>
      </c>
      <c r="B464" s="130">
        <v>46171.0</v>
      </c>
      <c r="C464" s="38" t="s">
        <v>983</v>
      </c>
      <c r="D464" s="36">
        <v>1019.0</v>
      </c>
      <c r="E464" s="40">
        <f>IFERROR(__xludf.DUMMYFUNCTION("IF(C464="""", """", XLOOKUP(TRIM(C464), 'COTRATOS ALBUNS 25.2'!E:E, 'COTRATOS ALBUNS 25.2'!D:D, XLOOKUP(TRIM(C464), IMPORTRANGE(""16smdYggRVyzhu5y9HP2ayvW__ybkjb1nkVsCvZrByLM"", ""'COTRATOS 26.1'!B:B""), IMPORTRANGE(""16smdYggRVyzhu5y9HP2ayvW__ybkjb1nkVsC"&amp;"vZrByLM"", ""'COTRATOS 26.1'!A:A""), """")))"),90092.0)</f>
        <v>90092</v>
      </c>
      <c r="F464" s="41" t="s">
        <v>66</v>
      </c>
      <c r="G464" s="42" t="s">
        <v>110</v>
      </c>
      <c r="H464" s="43"/>
      <c r="I464" s="44" t="s">
        <v>984</v>
      </c>
      <c r="J464" s="5"/>
      <c r="K464" s="8" t="s">
        <v>13</v>
      </c>
      <c r="L464" s="8" t="s">
        <v>101</v>
      </c>
      <c r="M464" s="46" t="s">
        <v>8</v>
      </c>
      <c r="N464" s="47" t="b">
        <v>0</v>
      </c>
      <c r="O464" s="52">
        <f t="shared" si="1"/>
        <v>46188</v>
      </c>
      <c r="P464" s="60"/>
      <c r="Q464" s="93">
        <v>46251.0</v>
      </c>
      <c r="R464" s="76">
        <f t="shared" si="2"/>
        <v>46311</v>
      </c>
      <c r="S464" s="120"/>
      <c r="T464" s="120"/>
      <c r="U464" s="120"/>
      <c r="V464" s="120"/>
      <c r="W464" s="120"/>
      <c r="X464" s="120"/>
      <c r="Y464" s="120"/>
      <c r="Z464" s="120"/>
      <c r="AA464" s="120"/>
      <c r="AB464" s="120"/>
      <c r="AC464" s="120"/>
      <c r="AD464" s="120"/>
      <c r="AE464" s="120"/>
      <c r="AF464" s="120"/>
      <c r="AG464" s="120"/>
      <c r="AH464" s="120"/>
    </row>
    <row r="465">
      <c r="A465" s="53" t="b">
        <v>1</v>
      </c>
      <c r="B465" s="54">
        <v>46277.0</v>
      </c>
      <c r="C465" s="55" t="s">
        <v>985</v>
      </c>
      <c r="D465" s="38">
        <v>1172.0</v>
      </c>
      <c r="E465" s="40">
        <f>IFERROR(__xludf.DUMMYFUNCTION("IF(C465="""", """", XLOOKUP(TRIM(C465), 'COTRATOS ALBUNS 25.2'!E:E, 'COTRATOS ALBUNS 25.2'!D:D, XLOOKUP(TRIM(C465), IMPORTRANGE(""16smdYggRVyzhu5y9HP2ayvW__ybkjb1nkVsCvZrByLM"", ""'COTRATOS 26.1'!B:B""), IMPORTRANGE(""16smdYggRVyzhu5y9HP2ayvW__ybkjb1nkVsC"&amp;"vZrByLM"", ""'COTRATOS 26.1'!A:A""), """")))"),86534.0)</f>
        <v>86534</v>
      </c>
      <c r="F465" s="57" t="s">
        <v>36</v>
      </c>
      <c r="G465" s="42" t="s">
        <v>91</v>
      </c>
      <c r="H465" s="43"/>
      <c r="I465" s="58" t="s">
        <v>986</v>
      </c>
      <c r="J465" s="59"/>
      <c r="K465" s="53" t="s">
        <v>6</v>
      </c>
      <c r="L465" s="59"/>
      <c r="M465" s="53" t="s">
        <v>8</v>
      </c>
      <c r="N465" s="47" t="b">
        <v>0</v>
      </c>
      <c r="O465" s="48">
        <f t="shared" si="1"/>
        <v>46294</v>
      </c>
      <c r="P465" s="49">
        <v>46287.0</v>
      </c>
      <c r="Q465" s="61"/>
      <c r="R465" s="51" t="str">
        <f t="shared" si="2"/>
        <v/>
      </c>
      <c r="S465" s="120"/>
      <c r="T465" s="120"/>
      <c r="U465" s="120"/>
      <c r="V465" s="120"/>
      <c r="W465" s="120"/>
      <c r="X465" s="120"/>
      <c r="Y465" s="120"/>
      <c r="Z465" s="120"/>
      <c r="AA465" s="120"/>
      <c r="AB465" s="120"/>
      <c r="AC465" s="120"/>
      <c r="AD465" s="120"/>
      <c r="AE465" s="120"/>
      <c r="AF465" s="120"/>
      <c r="AG465" s="120"/>
      <c r="AH465" s="120"/>
    </row>
    <row r="466">
      <c r="A466" s="53" t="b">
        <v>1</v>
      </c>
      <c r="B466" s="54">
        <v>46297.0</v>
      </c>
      <c r="C466" s="55" t="s">
        <v>987</v>
      </c>
      <c r="D466" s="38">
        <v>1172.0</v>
      </c>
      <c r="E466" s="40">
        <f>IFERROR(__xludf.DUMMYFUNCTION("IF(C466="""", """", XLOOKUP(TRIM(C466), 'COTRATOS ALBUNS 25.2'!E:E, 'COTRATOS ALBUNS 25.2'!D:D, XLOOKUP(TRIM(C466), IMPORTRANGE(""16smdYggRVyzhu5y9HP2ayvW__ybkjb1nkVsCvZrByLM"", ""'COTRATOS 26.1'!B:B""), IMPORTRANGE(""16smdYggRVyzhu5y9HP2ayvW__ybkjb1nkVsC"&amp;"vZrByLM"", ""'COTRATOS 26.1'!A:A""), """")))"),86378.0)</f>
        <v>86378</v>
      </c>
      <c r="F466" s="57" t="s">
        <v>36</v>
      </c>
      <c r="G466" s="42" t="s">
        <v>80</v>
      </c>
      <c r="H466" s="43"/>
      <c r="I466" s="58" t="s">
        <v>988</v>
      </c>
      <c r="J466" s="59"/>
      <c r="K466" s="8" t="s">
        <v>14</v>
      </c>
      <c r="L466" s="8" t="s">
        <v>89</v>
      </c>
      <c r="M466" s="53" t="s">
        <v>8</v>
      </c>
      <c r="N466" s="47" t="b">
        <v>0</v>
      </c>
      <c r="O466" s="48">
        <f t="shared" si="1"/>
        <v>46314</v>
      </c>
      <c r="P466" s="49">
        <v>46297.0</v>
      </c>
      <c r="Q466" s="61">
        <v>46290.0</v>
      </c>
      <c r="R466" s="76">
        <f t="shared" si="2"/>
        <v>46350</v>
      </c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</row>
    <row r="467">
      <c r="A467" s="56" t="b">
        <v>1</v>
      </c>
      <c r="B467" s="77">
        <v>46300.0</v>
      </c>
      <c r="C467" s="98" t="s">
        <v>989</v>
      </c>
      <c r="D467" s="56">
        <v>971.0</v>
      </c>
      <c r="E467" s="40">
        <f>IFERROR(__xludf.DUMMYFUNCTION("IF(C467="""", """", XLOOKUP(TRIM(C467), 'COTRATOS ALBUNS 25.2'!E:E, 'COTRATOS ALBUNS 25.2'!D:D, XLOOKUP(TRIM(C467), IMPORTRANGE(""16smdYggRVyzhu5y9HP2ayvW__ybkjb1nkVsCvZrByLM"", ""'COTRATOS 26.1'!B:B""), IMPORTRANGE(""16smdYggRVyzhu5y9HP2ayvW__ybkjb1nkVsC"&amp;"vZrByLM"", ""'COTRATOS 26.1'!A:A""), """")))"),85025.0)</f>
        <v>85025</v>
      </c>
      <c r="F467" s="57" t="s">
        <v>40</v>
      </c>
      <c r="G467" s="42" t="s">
        <v>207</v>
      </c>
      <c r="H467" s="43"/>
      <c r="I467" s="58" t="s">
        <v>990</v>
      </c>
      <c r="J467" s="59"/>
      <c r="K467" s="53" t="s">
        <v>14</v>
      </c>
      <c r="L467" s="53" t="s">
        <v>156</v>
      </c>
      <c r="M467" s="53" t="s">
        <v>8</v>
      </c>
      <c r="N467" s="47" t="b">
        <v>0</v>
      </c>
      <c r="O467" s="48">
        <f t="shared" si="1"/>
        <v>46317</v>
      </c>
      <c r="P467" s="49">
        <v>46294.0</v>
      </c>
      <c r="Q467" s="61">
        <v>46300.0</v>
      </c>
      <c r="R467" s="76">
        <f t="shared" si="2"/>
        <v>46360</v>
      </c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</row>
    <row r="468">
      <c r="A468" s="67" t="b">
        <v>1</v>
      </c>
      <c r="B468" s="68">
        <v>46268.42600694444</v>
      </c>
      <c r="C468" s="69" t="s">
        <v>991</v>
      </c>
      <c r="D468" s="70">
        <v>971.0</v>
      </c>
      <c r="E468" s="40">
        <f>IFERROR(__xludf.DUMMYFUNCTION("IF(C468="""", """", XLOOKUP(TRIM(C468), 'COTRATOS ALBUNS 25.2'!E:E, 'COTRATOS ALBUNS 25.2'!D:D, XLOOKUP(TRIM(C468), IMPORTRANGE(""16smdYggRVyzhu5y9HP2ayvW__ybkjb1nkVsCvZrByLM"", ""'COTRATOS 26.1'!B:B""), IMPORTRANGE(""16smdYggRVyzhu5y9HP2ayvW__ybkjb1nkVsC"&amp;"vZrByLM"", ""'COTRATOS 26.1'!A:A""), """")))"),84996.0)</f>
        <v>84996</v>
      </c>
      <c r="F468" s="71" t="s">
        <v>66</v>
      </c>
      <c r="G468" s="42" t="s">
        <v>45</v>
      </c>
      <c r="H468" s="43"/>
      <c r="I468" s="44" t="s">
        <v>992</v>
      </c>
      <c r="J468" s="5"/>
      <c r="K468" s="8" t="s">
        <v>13</v>
      </c>
      <c r="L468" s="8" t="s">
        <v>108</v>
      </c>
      <c r="M468" s="8" t="s">
        <v>8</v>
      </c>
      <c r="N468" s="63" t="b">
        <v>1</v>
      </c>
      <c r="O468" s="64">
        <f t="shared" si="1"/>
        <v>46285.42601</v>
      </c>
      <c r="P468" s="49">
        <v>46297.0</v>
      </c>
      <c r="Q468" s="72">
        <f>B468</f>
        <v>46268.42601</v>
      </c>
      <c r="R468" s="73">
        <f t="shared" si="2"/>
        <v>46328.42601</v>
      </c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</row>
    <row r="469">
      <c r="A469" s="67" t="b">
        <v>1</v>
      </c>
      <c r="B469" s="68">
        <v>46216.517916666664</v>
      </c>
      <c r="C469" s="38" t="s">
        <v>993</v>
      </c>
      <c r="D469" s="36">
        <v>1103.0</v>
      </c>
      <c r="E469" s="40">
        <f>IFERROR(__xludf.DUMMYFUNCTION("IF(C469="""", """", XLOOKUP(TRIM(C469), 'COTRATOS ALBUNS 25.2'!E:E, 'COTRATOS ALBUNS 25.2'!D:D, XLOOKUP(TRIM(C469), IMPORTRANGE(""16smdYggRVyzhu5y9HP2ayvW__ybkjb1nkVsCvZrByLM"", ""'COTRATOS 26.1'!B:B""), IMPORTRANGE(""16smdYggRVyzhu5y9HP2ayvW__ybkjb1nkVsC"&amp;"vZrByLM"", ""'COTRATOS 26.1'!A:A""), """")))"),75228.0)</f>
        <v>75228</v>
      </c>
      <c r="F469" s="41" t="s">
        <v>36</v>
      </c>
      <c r="G469" s="42" t="s">
        <v>87</v>
      </c>
      <c r="H469" s="43"/>
      <c r="I469" s="44" t="s">
        <v>994</v>
      </c>
      <c r="J469" s="5"/>
      <c r="K469" s="8" t="s">
        <v>13</v>
      </c>
      <c r="L469" s="8" t="s">
        <v>121</v>
      </c>
      <c r="M469" s="5"/>
      <c r="N469" s="63" t="b">
        <v>1</v>
      </c>
      <c r="O469" s="64">
        <f t="shared" si="1"/>
        <v>46233.51792</v>
      </c>
      <c r="P469" s="49">
        <v>46297.0</v>
      </c>
      <c r="Q469" s="85">
        <v>46216.0</v>
      </c>
      <c r="R469" s="86">
        <f t="shared" si="2"/>
        <v>46276</v>
      </c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</row>
    <row r="470">
      <c r="A470" s="36" t="b">
        <v>1</v>
      </c>
      <c r="B470" s="113">
        <v>46190.0</v>
      </c>
      <c r="C470" s="38" t="s">
        <v>995</v>
      </c>
      <c r="D470" s="39">
        <v>1177.0</v>
      </c>
      <c r="E470" s="40">
        <f>IFERROR(__xludf.DUMMYFUNCTION("IF(C470="""", """", XLOOKUP(TRIM(C470), 'COTRATOS ALBUNS 25.2'!E:E, 'COTRATOS ALBUNS 25.2'!D:D, XLOOKUP(TRIM(C470), IMPORTRANGE(""16smdYggRVyzhu5y9HP2ayvW__ybkjb1nkVsCvZrByLM"", ""'COTRATOS 26.1'!B:B""), IMPORTRANGE(""16smdYggRVyzhu5y9HP2ayvW__ybkjb1nkVsC"&amp;"vZrByLM"", ""'COTRATOS 26.1'!A:A""), """")))"),88244.0)</f>
        <v>88244</v>
      </c>
      <c r="F470" s="41" t="s">
        <v>74</v>
      </c>
      <c r="G470" s="42" t="s">
        <v>37</v>
      </c>
      <c r="H470" s="43"/>
      <c r="I470" s="44" t="s">
        <v>996</v>
      </c>
      <c r="J470" s="7"/>
      <c r="K470" s="8" t="s">
        <v>6</v>
      </c>
      <c r="L470" s="108"/>
      <c r="M470" s="46" t="s">
        <v>8</v>
      </c>
      <c r="N470" s="47" t="b">
        <v>0</v>
      </c>
      <c r="O470" s="52">
        <f t="shared" si="1"/>
        <v>46207</v>
      </c>
      <c r="P470" s="49">
        <v>46238.0</v>
      </c>
      <c r="Q470" s="82"/>
      <c r="R470" s="51" t="str">
        <f t="shared" si="2"/>
        <v/>
      </c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</row>
    <row r="471">
      <c r="A471" s="36" t="b">
        <v>1</v>
      </c>
      <c r="B471" s="100">
        <v>46297.0</v>
      </c>
      <c r="C471" s="38" t="s">
        <v>997</v>
      </c>
      <c r="D471" s="36">
        <v>1172.0</v>
      </c>
      <c r="E471" s="40">
        <f>IFERROR(__xludf.DUMMYFUNCTION("IF(C471="""", """", XLOOKUP(TRIM(C471), 'COTRATOS ALBUNS 25.2'!E:E, 'COTRATOS ALBUNS 25.2'!D:D, XLOOKUP(TRIM(C471), IMPORTRANGE(""16smdYggRVyzhu5y9HP2ayvW__ybkjb1nkVsCvZrByLM"", ""'COTRATOS 26.1'!B:B""), IMPORTRANGE(""16smdYggRVyzhu5y9HP2ayvW__ybkjb1nkVsC"&amp;"vZrByLM"", ""'COTRATOS 26.1'!A:A""), """")))"),87046.0)</f>
        <v>87046</v>
      </c>
      <c r="F471" s="41" t="s">
        <v>36</v>
      </c>
      <c r="G471" s="42" t="s">
        <v>52</v>
      </c>
      <c r="H471" s="43"/>
      <c r="I471" s="44" t="s">
        <v>998</v>
      </c>
      <c r="J471" s="5"/>
      <c r="K471" s="8" t="s">
        <v>13</v>
      </c>
      <c r="L471" s="8" t="s">
        <v>101</v>
      </c>
      <c r="M471" s="46" t="s">
        <v>8</v>
      </c>
      <c r="N471" s="47" t="b">
        <v>0</v>
      </c>
      <c r="O471" s="48">
        <f t="shared" si="1"/>
        <v>46314</v>
      </c>
      <c r="P471" s="49">
        <v>46297.0</v>
      </c>
      <c r="Q471" s="93">
        <v>46251.0</v>
      </c>
      <c r="R471" s="76">
        <f t="shared" si="2"/>
        <v>46311</v>
      </c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</row>
    <row r="472">
      <c r="A472" s="36" t="b">
        <v>1</v>
      </c>
      <c r="B472" s="37">
        <v>46297.0</v>
      </c>
      <c r="C472" s="38" t="s">
        <v>999</v>
      </c>
      <c r="D472" s="39">
        <v>968.0</v>
      </c>
      <c r="E472" s="40">
        <f>IFERROR(__xludf.DUMMYFUNCTION("IF(C472="""", """", XLOOKUP(TRIM(C472), 'COTRATOS ALBUNS 25.2'!E:E, 'COTRATOS ALBUNS 25.2'!D:D, XLOOKUP(TRIM(C472), IMPORTRANGE(""16smdYggRVyzhu5y9HP2ayvW__ybkjb1nkVsCvZrByLM"", ""'COTRATOS 26.1'!B:B""), IMPORTRANGE(""16smdYggRVyzhu5y9HP2ayvW__ybkjb1nkVsC"&amp;"vZrByLM"", ""'COTRATOS 26.1'!A:A""), """")))"),73637.0)</f>
        <v>73637</v>
      </c>
      <c r="F472" s="41" t="s">
        <v>44</v>
      </c>
      <c r="G472" s="42" t="s">
        <v>52</v>
      </c>
      <c r="H472" s="43"/>
      <c r="I472" s="44" t="s">
        <v>1000</v>
      </c>
      <c r="J472" s="7"/>
      <c r="K472" s="8" t="s">
        <v>13</v>
      </c>
      <c r="L472" s="8" t="s">
        <v>78</v>
      </c>
      <c r="M472" s="8" t="s">
        <v>8</v>
      </c>
      <c r="N472" s="47" t="b">
        <v>0</v>
      </c>
      <c r="O472" s="48">
        <f t="shared" si="1"/>
        <v>46314</v>
      </c>
      <c r="P472" s="49">
        <v>46297.0</v>
      </c>
      <c r="Q472" s="93">
        <v>46262.0</v>
      </c>
      <c r="R472" s="76">
        <f t="shared" si="2"/>
        <v>46322</v>
      </c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</row>
    <row r="473">
      <c r="A473" s="53" t="b">
        <v>1</v>
      </c>
      <c r="B473" s="54">
        <v>46282.0</v>
      </c>
      <c r="C473" s="105" t="s">
        <v>1001</v>
      </c>
      <c r="D473" s="84">
        <v>1066.0</v>
      </c>
      <c r="E473" s="40">
        <f>IFERROR(__xludf.DUMMYFUNCTION("IF(C473="""", """", XLOOKUP(TRIM(C473), 'COTRATOS ALBUNS 25.2'!E:E, 'COTRATOS ALBUNS 25.2'!D:D, XLOOKUP(TRIM(C473), IMPORTRANGE(""16smdYggRVyzhu5y9HP2ayvW__ybkjb1nkVsCvZrByLM"", ""'COTRATOS 26.1'!B:B""), IMPORTRANGE(""16smdYggRVyzhu5y9HP2ayvW__ybkjb1nkVsC"&amp;"vZrByLM"", ""'COTRATOS 26.1'!A:A""), """")))"),85181.0)</f>
        <v>85181</v>
      </c>
      <c r="F473" s="57" t="s">
        <v>44</v>
      </c>
      <c r="G473" s="42" t="s">
        <v>52</v>
      </c>
      <c r="H473" s="43"/>
      <c r="I473" s="58" t="s">
        <v>1002</v>
      </c>
      <c r="J473" s="59"/>
      <c r="K473" s="53" t="s">
        <v>6</v>
      </c>
      <c r="L473" s="59"/>
      <c r="M473" s="53" t="s">
        <v>8</v>
      </c>
      <c r="N473" s="47" t="b">
        <v>0</v>
      </c>
      <c r="O473" s="48">
        <f t="shared" si="1"/>
        <v>46299</v>
      </c>
      <c r="P473" s="49">
        <v>46303.0</v>
      </c>
      <c r="Q473" s="61"/>
      <c r="R473" s="51" t="str">
        <f t="shared" si="2"/>
        <v/>
      </c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</row>
    <row r="474">
      <c r="A474" s="36" t="b">
        <v>1</v>
      </c>
      <c r="B474" s="62">
        <v>46237.406793981485</v>
      </c>
      <c r="C474" s="38" t="s">
        <v>1003</v>
      </c>
      <c r="D474" s="39">
        <v>994.0</v>
      </c>
      <c r="E474" s="40">
        <f>IFERROR(__xludf.DUMMYFUNCTION("IF(C474="""", """", XLOOKUP(TRIM(C474), 'COTRATOS ALBUNS 25.2'!E:E, 'COTRATOS ALBUNS 25.2'!D:D, XLOOKUP(TRIM(C474), IMPORTRANGE(""16smdYggRVyzhu5y9HP2ayvW__ybkjb1nkVsCvZrByLM"", ""'COTRATOS 26.1'!B:B""), IMPORTRANGE(""16smdYggRVyzhu5y9HP2ayvW__ybkjb1nkVsC"&amp;"vZrByLM"", ""'COTRATOS 26.1'!A:A""), """")))"),88189.0)</f>
        <v>88189</v>
      </c>
      <c r="F474" s="41" t="s">
        <v>36</v>
      </c>
      <c r="G474" s="42" t="s">
        <v>313</v>
      </c>
      <c r="H474" s="43"/>
      <c r="I474" s="44" t="s">
        <v>1004</v>
      </c>
      <c r="J474" s="7"/>
      <c r="K474" s="8" t="s">
        <v>13</v>
      </c>
      <c r="L474" s="103" t="s">
        <v>193</v>
      </c>
      <c r="M474" s="8" t="s">
        <v>8</v>
      </c>
      <c r="N474" s="63" t="b">
        <v>1</v>
      </c>
      <c r="O474" s="64">
        <f t="shared" si="1"/>
        <v>46254.40679</v>
      </c>
      <c r="P474" s="49">
        <v>46297.0</v>
      </c>
      <c r="Q474" s="50">
        <v>46245.0</v>
      </c>
      <c r="R474" s="86">
        <f t="shared" si="2"/>
        <v>46305</v>
      </c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</row>
    <row r="475">
      <c r="A475" s="36" t="b">
        <v>1</v>
      </c>
      <c r="B475" s="62">
        <v>46223.6303587963</v>
      </c>
      <c r="C475" s="38" t="s">
        <v>1005</v>
      </c>
      <c r="D475" s="39">
        <v>953.0</v>
      </c>
      <c r="E475" s="40">
        <f>IFERROR(__xludf.DUMMYFUNCTION("IF(C475="""", """", XLOOKUP(TRIM(C475), 'COTRATOS ALBUNS 25.2'!E:E, 'COTRATOS ALBUNS 25.2'!D:D, XLOOKUP(TRIM(C475), IMPORTRANGE(""16smdYggRVyzhu5y9HP2ayvW__ybkjb1nkVsCvZrByLM"", ""'COTRATOS 26.1'!B:B""), IMPORTRANGE(""16smdYggRVyzhu5y9HP2ayvW__ybkjb1nkVsC"&amp;"vZrByLM"", ""'COTRATOS 26.1'!A:A""), """")))"),88380.0)</f>
        <v>88380</v>
      </c>
      <c r="F475" s="41" t="s">
        <v>66</v>
      </c>
      <c r="G475" s="42" t="s">
        <v>87</v>
      </c>
      <c r="H475" s="43"/>
      <c r="I475" s="44" t="s">
        <v>1006</v>
      </c>
      <c r="J475" s="7"/>
      <c r="K475" s="8" t="s">
        <v>13</v>
      </c>
      <c r="L475" s="8" t="s">
        <v>47</v>
      </c>
      <c r="M475" s="5"/>
      <c r="N475" s="63" t="b">
        <v>1</v>
      </c>
      <c r="O475" s="64">
        <f t="shared" si="1"/>
        <v>46240.63036</v>
      </c>
      <c r="P475" s="49">
        <v>46297.0</v>
      </c>
      <c r="Q475" s="85">
        <v>46224.0</v>
      </c>
      <c r="R475" s="86">
        <f t="shared" si="2"/>
        <v>46284</v>
      </c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</row>
    <row r="476">
      <c r="A476" s="53" t="b">
        <v>1</v>
      </c>
      <c r="B476" s="54">
        <v>46291.0</v>
      </c>
      <c r="C476" s="55" t="s">
        <v>1007</v>
      </c>
      <c r="D476" s="56">
        <v>1172.0</v>
      </c>
      <c r="E476" s="40">
        <f>IFERROR(__xludf.DUMMYFUNCTION("IF(C476="""", """", XLOOKUP(TRIM(C476), 'COTRATOS ALBUNS 25.2'!E:E, 'COTRATOS ALBUNS 25.2'!D:D, XLOOKUP(TRIM(C476), IMPORTRANGE(""16smdYggRVyzhu5y9HP2ayvW__ybkjb1nkVsCvZrByLM"", ""'COTRATOS 26.1'!B:B""), IMPORTRANGE(""16smdYggRVyzhu5y9HP2ayvW__ybkjb1nkVsC"&amp;"vZrByLM"", ""'COTRATOS 26.1'!A:A""), """")))"),93930.0)</f>
        <v>93930</v>
      </c>
      <c r="F476" s="57" t="s">
        <v>44</v>
      </c>
      <c r="G476" s="42" t="s">
        <v>37</v>
      </c>
      <c r="H476" s="43"/>
      <c r="I476" s="58" t="s">
        <v>1008</v>
      </c>
      <c r="J476" s="59"/>
      <c r="K476" s="53" t="s">
        <v>17</v>
      </c>
      <c r="L476" s="59"/>
      <c r="M476" s="59"/>
      <c r="N476" s="47" t="b">
        <v>0</v>
      </c>
      <c r="O476" s="48">
        <f t="shared" si="1"/>
        <v>46308</v>
      </c>
      <c r="P476" s="60"/>
      <c r="Q476" s="61"/>
      <c r="R476" s="51" t="str">
        <f t="shared" si="2"/>
        <v/>
      </c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</row>
    <row r="477">
      <c r="A477" s="53" t="b">
        <v>1</v>
      </c>
      <c r="B477" s="54">
        <v>46303.0</v>
      </c>
      <c r="C477" s="55" t="s">
        <v>1009</v>
      </c>
      <c r="D477" s="56">
        <v>1085.0</v>
      </c>
      <c r="E477" s="40">
        <f>IFERROR(__xludf.DUMMYFUNCTION("IF(C477="""", """", XLOOKUP(TRIM(C477), 'COTRATOS ALBUNS 25.2'!E:E, 'COTRATOS ALBUNS 25.2'!D:D, XLOOKUP(TRIM(C477), IMPORTRANGE(""16smdYggRVyzhu5y9HP2ayvW__ybkjb1nkVsCvZrByLM"", ""'COTRATOS 26.1'!B:B""), IMPORTRANGE(""16smdYggRVyzhu5y9HP2ayvW__ybkjb1nkVsC"&amp;"vZrByLM"", ""'COTRATOS 26.1'!A:A""), """")))"),92805.0)</f>
        <v>92805</v>
      </c>
      <c r="F477" s="57" t="s">
        <v>44</v>
      </c>
      <c r="G477" s="42" t="s">
        <v>57</v>
      </c>
      <c r="H477" s="43"/>
      <c r="I477" s="58" t="s">
        <v>1010</v>
      </c>
      <c r="J477" s="59"/>
      <c r="K477" s="53" t="s">
        <v>10</v>
      </c>
      <c r="L477" s="59"/>
      <c r="M477" s="59"/>
      <c r="N477" s="47" t="b">
        <v>0</v>
      </c>
      <c r="O477" s="48">
        <f t="shared" si="1"/>
        <v>46320</v>
      </c>
      <c r="P477" s="60"/>
      <c r="Q477" s="61"/>
      <c r="R477" s="51" t="str">
        <f t="shared" si="2"/>
        <v/>
      </c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</row>
    <row r="478">
      <c r="A478" s="53" t="b">
        <v>1</v>
      </c>
      <c r="B478" s="54">
        <v>46301.0</v>
      </c>
      <c r="C478" s="55" t="s">
        <v>1011</v>
      </c>
      <c r="D478" s="56">
        <v>996.0</v>
      </c>
      <c r="E478" s="40">
        <f>IFERROR(__xludf.DUMMYFUNCTION("IF(C478="""", """", XLOOKUP(TRIM(C478), 'COTRATOS ALBUNS 25.2'!E:E, 'COTRATOS ALBUNS 25.2'!D:D, XLOOKUP(TRIM(C478), IMPORTRANGE(""16smdYggRVyzhu5y9HP2ayvW__ybkjb1nkVsCvZrByLM"", ""'COTRATOS 26.1'!B:B""), IMPORTRANGE(""16smdYggRVyzhu5y9HP2ayvW__ybkjb1nkVsC"&amp;"vZrByLM"", ""'COTRATOS 26.1'!A:A""), """")))"),95680.0)</f>
        <v>95680</v>
      </c>
      <c r="F478" s="57" t="s">
        <v>44</v>
      </c>
      <c r="G478" s="42" t="s">
        <v>71</v>
      </c>
      <c r="H478" s="43"/>
      <c r="I478" s="58" t="s">
        <v>1012</v>
      </c>
      <c r="J478" s="59"/>
      <c r="K478" s="53" t="s">
        <v>10</v>
      </c>
      <c r="L478" s="59"/>
      <c r="M478" s="59"/>
      <c r="N478" s="47" t="b">
        <v>0</v>
      </c>
      <c r="O478" s="48">
        <f t="shared" si="1"/>
        <v>46318</v>
      </c>
      <c r="P478" s="60"/>
      <c r="Q478" s="61"/>
      <c r="R478" s="51" t="str">
        <f t="shared" si="2"/>
        <v/>
      </c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</row>
    <row r="479">
      <c r="A479" s="53" t="b">
        <v>1</v>
      </c>
      <c r="B479" s="54">
        <v>46300.0</v>
      </c>
      <c r="C479" s="55" t="s">
        <v>1013</v>
      </c>
      <c r="D479" s="56">
        <v>1179.0</v>
      </c>
      <c r="E479" s="40">
        <f>IFERROR(__xludf.DUMMYFUNCTION("IF(C479="""", """", XLOOKUP(TRIM(C479), 'COTRATOS ALBUNS 25.2'!E:E, 'COTRATOS ALBUNS 25.2'!D:D, XLOOKUP(TRIM(C479), IMPORTRANGE(""16smdYggRVyzhu5y9HP2ayvW__ybkjb1nkVsCvZrByLM"", ""'COTRATOS 26.1'!B:B""), IMPORTRANGE(""16smdYggRVyzhu5y9HP2ayvW__ybkjb1nkVsC"&amp;"vZrByLM"", ""'COTRATOS 26.1'!A:A""), """")))"),94758.0)</f>
        <v>94758</v>
      </c>
      <c r="F479" s="57" t="s">
        <v>56</v>
      </c>
      <c r="G479" s="42" t="s">
        <v>57</v>
      </c>
      <c r="H479" s="43"/>
      <c r="I479" s="58" t="s">
        <v>1014</v>
      </c>
      <c r="J479" s="59"/>
      <c r="K479" s="53" t="s">
        <v>10</v>
      </c>
      <c r="L479" s="59"/>
      <c r="M479" s="59"/>
      <c r="N479" s="47" t="b">
        <v>0</v>
      </c>
      <c r="O479" s="48">
        <f t="shared" si="1"/>
        <v>46317</v>
      </c>
      <c r="P479" s="60"/>
      <c r="Q479" s="61"/>
      <c r="R479" s="51" t="str">
        <f t="shared" si="2"/>
        <v/>
      </c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</row>
    <row r="480">
      <c r="A480" s="53" t="b">
        <v>1</v>
      </c>
      <c r="B480" s="54">
        <v>46302.0</v>
      </c>
      <c r="C480" s="55" t="s">
        <v>1015</v>
      </c>
      <c r="D480" s="56">
        <v>1179.0</v>
      </c>
      <c r="E480" s="40">
        <f>IFERROR(__xludf.DUMMYFUNCTION("IF(C480="""", """", XLOOKUP(TRIM(C480), 'COTRATOS ALBUNS 25.2'!E:E, 'COTRATOS ALBUNS 25.2'!D:D, XLOOKUP(TRIM(C480), IMPORTRANGE(""16smdYggRVyzhu5y9HP2ayvW__ybkjb1nkVsCvZrByLM"", ""'COTRATOS 26.1'!B:B""), IMPORTRANGE(""16smdYggRVyzhu5y9HP2ayvW__ybkjb1nkVsC"&amp;"vZrByLM"", ""'COTRATOS 26.1'!A:A""), """")))"),95700.0)</f>
        <v>95700</v>
      </c>
      <c r="F480" s="57" t="s">
        <v>40</v>
      </c>
      <c r="G480" s="42" t="s">
        <v>71</v>
      </c>
      <c r="H480" s="43"/>
      <c r="I480" s="58" t="s">
        <v>1016</v>
      </c>
      <c r="J480" s="59"/>
      <c r="K480" s="53" t="s">
        <v>10</v>
      </c>
      <c r="L480" s="59"/>
      <c r="M480" s="59"/>
      <c r="N480" s="47" t="b">
        <v>0</v>
      </c>
      <c r="O480" s="48">
        <f t="shared" si="1"/>
        <v>46319</v>
      </c>
      <c r="P480" s="60"/>
      <c r="Q480" s="61"/>
      <c r="R480" s="51" t="str">
        <f t="shared" si="2"/>
        <v/>
      </c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</row>
    <row r="481">
      <c r="A481" s="53" t="b">
        <v>1</v>
      </c>
      <c r="B481" s="54">
        <v>46301.0</v>
      </c>
      <c r="C481" s="55" t="s">
        <v>1017</v>
      </c>
      <c r="D481" s="56">
        <v>1179.0</v>
      </c>
      <c r="E481" s="40">
        <f>IFERROR(__xludf.DUMMYFUNCTION("IF(C481="""", """", XLOOKUP(TRIM(C481), 'COTRATOS ALBUNS 25.2'!E:E, 'COTRATOS ALBUNS 25.2'!D:D, XLOOKUP(TRIM(C481), IMPORTRANGE(""16smdYggRVyzhu5y9HP2ayvW__ybkjb1nkVsCvZrByLM"", ""'COTRATOS 26.1'!B:B""), IMPORTRANGE(""16smdYggRVyzhu5y9HP2ayvW__ybkjb1nkVsC"&amp;"vZrByLM"", ""'COTRATOS 26.1'!A:A""), """")))"),94899.0)</f>
        <v>94899</v>
      </c>
      <c r="F481" s="57" t="s">
        <v>44</v>
      </c>
      <c r="G481" s="42" t="s">
        <v>1018</v>
      </c>
      <c r="H481" s="43"/>
      <c r="I481" s="58" t="s">
        <v>1019</v>
      </c>
      <c r="J481" s="59"/>
      <c r="K481" s="53" t="s">
        <v>10</v>
      </c>
      <c r="L481" s="59"/>
      <c r="M481" s="59"/>
      <c r="N481" s="47" t="b">
        <v>0</v>
      </c>
      <c r="O481" s="48">
        <f t="shared" si="1"/>
        <v>46318</v>
      </c>
      <c r="P481" s="60"/>
      <c r="Q481" s="61"/>
      <c r="R481" s="51" t="str">
        <f t="shared" si="2"/>
        <v/>
      </c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</row>
    <row r="482">
      <c r="A482" s="53" t="b">
        <v>1</v>
      </c>
      <c r="B482" s="54">
        <v>46301.0</v>
      </c>
      <c r="C482" s="55" t="s">
        <v>1020</v>
      </c>
      <c r="D482" s="56">
        <v>1179.0</v>
      </c>
      <c r="E482" s="40">
        <f>IFERROR(__xludf.DUMMYFUNCTION("IF(C482="""", """", XLOOKUP(TRIM(C482), 'COTRATOS ALBUNS 25.2'!E:E, 'COTRATOS ALBUNS 25.2'!D:D, XLOOKUP(TRIM(C482), IMPORTRANGE(""16smdYggRVyzhu5y9HP2ayvW__ybkjb1nkVsCvZrByLM"", ""'COTRATOS 26.1'!B:B""), IMPORTRANGE(""16smdYggRVyzhu5y9HP2ayvW__ybkjb1nkVsC"&amp;"vZrByLM"", ""'COTRATOS 26.1'!A:A""), """")))"),93533.0)</f>
        <v>93533</v>
      </c>
      <c r="F482" s="57" t="s">
        <v>56</v>
      </c>
      <c r="G482" s="42" t="s">
        <v>87</v>
      </c>
      <c r="H482" s="43"/>
      <c r="I482" s="58" t="s">
        <v>1021</v>
      </c>
      <c r="J482" s="59"/>
      <c r="K482" s="53" t="s">
        <v>10</v>
      </c>
      <c r="L482" s="59"/>
      <c r="M482" s="59"/>
      <c r="N482" s="47" t="b">
        <v>0</v>
      </c>
      <c r="O482" s="48">
        <f t="shared" si="1"/>
        <v>46318</v>
      </c>
      <c r="P482" s="60"/>
      <c r="Q482" s="61"/>
      <c r="R482" s="51" t="str">
        <f t="shared" si="2"/>
        <v/>
      </c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</row>
    <row r="483">
      <c r="A483" s="53" t="b">
        <v>1</v>
      </c>
      <c r="B483" s="54">
        <v>46302.0</v>
      </c>
      <c r="C483" s="55" t="s">
        <v>1022</v>
      </c>
      <c r="D483" s="56">
        <v>1179.0</v>
      </c>
      <c r="E483" s="40">
        <f>IFERROR(__xludf.DUMMYFUNCTION("IF(C483="""", """", XLOOKUP(TRIM(C483), 'COTRATOS ALBUNS 25.2'!E:E, 'COTRATOS ALBUNS 25.2'!D:D, XLOOKUP(TRIM(C483), IMPORTRANGE(""16smdYggRVyzhu5y9HP2ayvW__ybkjb1nkVsCvZrByLM"", ""'COTRATOS 26.1'!B:B""), IMPORTRANGE(""16smdYggRVyzhu5y9HP2ayvW__ybkjb1nkVsC"&amp;"vZrByLM"", ""'COTRATOS 26.1'!A:A""), """")))"),95005.0)</f>
        <v>95005</v>
      </c>
      <c r="F483" s="57" t="s">
        <v>44</v>
      </c>
      <c r="G483" s="42" t="s">
        <v>37</v>
      </c>
      <c r="H483" s="43"/>
      <c r="I483" s="58" t="s">
        <v>1023</v>
      </c>
      <c r="J483" s="59"/>
      <c r="K483" s="53" t="s">
        <v>10</v>
      </c>
      <c r="L483" s="59"/>
      <c r="M483" s="59"/>
      <c r="N483" s="47" t="b">
        <v>0</v>
      </c>
      <c r="O483" s="48">
        <f t="shared" si="1"/>
        <v>46319</v>
      </c>
      <c r="P483" s="60"/>
      <c r="Q483" s="61"/>
      <c r="R483" s="51" t="str">
        <f t="shared" si="2"/>
        <v/>
      </c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</row>
    <row r="484">
      <c r="A484" s="53" t="b">
        <v>1</v>
      </c>
      <c r="B484" s="54">
        <v>46303.0</v>
      </c>
      <c r="C484" s="55" t="s">
        <v>1024</v>
      </c>
      <c r="D484" s="56">
        <v>1179.0</v>
      </c>
      <c r="E484" s="40">
        <f>IFERROR(__xludf.DUMMYFUNCTION("IF(C484="""", """", XLOOKUP(TRIM(C484), 'COTRATOS ALBUNS 25.2'!E:E, 'COTRATOS ALBUNS 25.2'!D:D, XLOOKUP(TRIM(C484), IMPORTRANGE(""16smdYggRVyzhu5y9HP2ayvW__ybkjb1nkVsCvZrByLM"", ""'COTRATOS 26.1'!B:B""), IMPORTRANGE(""16smdYggRVyzhu5y9HP2ayvW__ybkjb1nkVsC"&amp;"vZrByLM"", ""'COTRATOS 26.1'!A:A""), """")))"),94917.0)</f>
        <v>94917</v>
      </c>
      <c r="F484" s="57" t="s">
        <v>40</v>
      </c>
      <c r="G484" s="42" t="s">
        <v>207</v>
      </c>
      <c r="H484" s="43"/>
      <c r="I484" s="58" t="s">
        <v>1025</v>
      </c>
      <c r="J484" s="59"/>
      <c r="K484" s="53" t="s">
        <v>10</v>
      </c>
      <c r="L484" s="59"/>
      <c r="M484" s="59"/>
      <c r="N484" s="47" t="b">
        <v>0</v>
      </c>
      <c r="O484" s="48">
        <f t="shared" si="1"/>
        <v>46320</v>
      </c>
      <c r="P484" s="60"/>
      <c r="Q484" s="61"/>
      <c r="R484" s="51" t="str">
        <f t="shared" si="2"/>
        <v/>
      </c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</row>
    <row r="485">
      <c r="A485" s="53" t="b">
        <v>1</v>
      </c>
      <c r="B485" s="54">
        <v>46302.0</v>
      </c>
      <c r="C485" s="55" t="s">
        <v>1026</v>
      </c>
      <c r="D485" s="56">
        <v>1179.0</v>
      </c>
      <c r="E485" s="40">
        <f>IFERROR(__xludf.DUMMYFUNCTION("IF(C485="""", """", XLOOKUP(TRIM(C485), 'COTRATOS ALBUNS 25.2'!E:E, 'COTRATOS ALBUNS 25.2'!D:D, XLOOKUP(TRIM(C485), IMPORTRANGE(""16smdYggRVyzhu5y9HP2ayvW__ybkjb1nkVsCvZrByLM"", ""'COTRATOS 26.1'!B:B""), IMPORTRANGE(""16smdYggRVyzhu5y9HP2ayvW__ybkjb1nkVsC"&amp;"vZrByLM"", ""'COTRATOS 26.1'!A:A""), """")))"),94855.0)</f>
        <v>94855</v>
      </c>
      <c r="F485" s="57" t="s">
        <v>56</v>
      </c>
      <c r="G485" s="42" t="s">
        <v>80</v>
      </c>
      <c r="H485" s="43"/>
      <c r="I485" s="58" t="s">
        <v>1027</v>
      </c>
      <c r="J485" s="59"/>
      <c r="K485" s="53" t="s">
        <v>10</v>
      </c>
      <c r="L485" s="59"/>
      <c r="M485" s="59"/>
      <c r="N485" s="47" t="b">
        <v>0</v>
      </c>
      <c r="O485" s="48">
        <f t="shared" si="1"/>
        <v>46319</v>
      </c>
      <c r="P485" s="60"/>
      <c r="Q485" s="61"/>
      <c r="R485" s="51" t="str">
        <f t="shared" si="2"/>
        <v/>
      </c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</row>
    <row r="486">
      <c r="A486" s="53" t="b">
        <v>1</v>
      </c>
      <c r="B486" s="54">
        <v>46301.0</v>
      </c>
      <c r="C486" s="55" t="s">
        <v>1028</v>
      </c>
      <c r="D486" s="56">
        <v>954.0</v>
      </c>
      <c r="E486" s="40">
        <f>IFERROR(__xludf.DUMMYFUNCTION("IF(C486="""", """", XLOOKUP(TRIM(C486), 'COTRATOS ALBUNS 25.2'!E:E, 'COTRATOS ALBUNS 25.2'!D:D, XLOOKUP(TRIM(C486), IMPORTRANGE(""16smdYggRVyzhu5y9HP2ayvW__ybkjb1nkVsCvZrByLM"", ""'COTRATOS 26.1'!B:B""), IMPORTRANGE(""16smdYggRVyzhu5y9HP2ayvW__ybkjb1nkVsC"&amp;"vZrByLM"", ""'COTRATOS 26.1'!A:A""), """")))"),95354.0)</f>
        <v>95354</v>
      </c>
      <c r="F486" s="57" t="s">
        <v>44</v>
      </c>
      <c r="G486" s="42" t="s">
        <v>71</v>
      </c>
      <c r="H486" s="43"/>
      <c r="I486" s="58" t="s">
        <v>1029</v>
      </c>
      <c r="J486" s="59"/>
      <c r="K486" s="53" t="s">
        <v>10</v>
      </c>
      <c r="L486" s="59"/>
      <c r="M486" s="59"/>
      <c r="N486" s="47" t="b">
        <v>0</v>
      </c>
      <c r="O486" s="48">
        <f t="shared" si="1"/>
        <v>46318</v>
      </c>
      <c r="P486" s="60"/>
      <c r="Q486" s="61"/>
      <c r="R486" s="51" t="str">
        <f t="shared" si="2"/>
        <v/>
      </c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</row>
    <row r="487">
      <c r="A487" s="53" t="b">
        <v>1</v>
      </c>
      <c r="B487" s="54">
        <v>46302.0</v>
      </c>
      <c r="C487" s="55" t="s">
        <v>1030</v>
      </c>
      <c r="D487" s="56">
        <v>970.0</v>
      </c>
      <c r="E487" s="40">
        <f>IFERROR(__xludf.DUMMYFUNCTION("IF(C487="""", """", XLOOKUP(TRIM(C487), 'COTRATOS ALBUNS 25.2'!E:E, 'COTRATOS ALBUNS 25.2'!D:D, XLOOKUP(TRIM(C487), IMPORTRANGE(""16smdYggRVyzhu5y9HP2ayvW__ybkjb1nkVsCvZrByLM"", ""'COTRATOS 26.1'!B:B""), IMPORTRANGE(""16smdYggRVyzhu5y9HP2ayvW__ybkjb1nkVsC"&amp;"vZrByLM"", ""'COTRATOS 26.1'!A:A""), """")))"),92999.0)</f>
        <v>92999</v>
      </c>
      <c r="F487" s="57" t="s">
        <v>56</v>
      </c>
      <c r="G487" s="42" t="s">
        <v>52</v>
      </c>
      <c r="H487" s="43"/>
      <c r="I487" s="58" t="s">
        <v>1031</v>
      </c>
      <c r="J487" s="59"/>
      <c r="K487" s="53" t="s">
        <v>17</v>
      </c>
      <c r="L487" s="59"/>
      <c r="M487" s="59"/>
      <c r="N487" s="47" t="b">
        <v>0</v>
      </c>
      <c r="O487" s="48">
        <f t="shared" si="1"/>
        <v>46319</v>
      </c>
      <c r="P487" s="60"/>
      <c r="Q487" s="61"/>
      <c r="R487" s="51" t="str">
        <f t="shared" si="2"/>
        <v/>
      </c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</row>
    <row r="488">
      <c r="A488" s="53" t="b">
        <v>1</v>
      </c>
      <c r="B488" s="54">
        <v>46301.0</v>
      </c>
      <c r="C488" s="55" t="s">
        <v>1032</v>
      </c>
      <c r="D488" s="56">
        <v>995.0</v>
      </c>
      <c r="E488" s="40">
        <f>IFERROR(__xludf.DUMMYFUNCTION("IF(C488="""", """", XLOOKUP(TRIM(C488), 'COTRATOS ALBUNS 25.2'!E:E, 'COTRATOS ALBUNS 25.2'!D:D, XLOOKUP(TRIM(C488), IMPORTRANGE(""16smdYggRVyzhu5y9HP2ayvW__ybkjb1nkVsCvZrByLM"", ""'COTRATOS 26.1'!B:B""), IMPORTRANGE(""16smdYggRVyzhu5y9HP2ayvW__ybkjb1nkVsC"&amp;"vZrByLM"", ""'COTRATOS 26.1'!A:A""), """")))"),92683.0)</f>
        <v>92683</v>
      </c>
      <c r="F488" s="57" t="s">
        <v>56</v>
      </c>
      <c r="G488" s="42"/>
      <c r="H488" s="43"/>
      <c r="I488" s="58" t="s">
        <v>1033</v>
      </c>
      <c r="J488" s="59"/>
      <c r="K488" s="53" t="s">
        <v>10</v>
      </c>
      <c r="L488" s="59"/>
      <c r="M488" s="59"/>
      <c r="N488" s="47" t="b">
        <v>0</v>
      </c>
      <c r="O488" s="48">
        <f t="shared" si="1"/>
        <v>46318</v>
      </c>
      <c r="P488" s="60"/>
      <c r="Q488" s="61"/>
      <c r="R488" s="51" t="str">
        <f t="shared" si="2"/>
        <v/>
      </c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</row>
    <row r="489">
      <c r="A489" s="53" t="b">
        <v>1</v>
      </c>
      <c r="B489" s="54">
        <v>46303.0</v>
      </c>
      <c r="C489" s="55" t="s">
        <v>1034</v>
      </c>
      <c r="D489" s="56">
        <v>954.0</v>
      </c>
      <c r="E489" s="102">
        <v>60172.0</v>
      </c>
      <c r="F489" s="57" t="s">
        <v>40</v>
      </c>
      <c r="G489" s="42" t="s">
        <v>87</v>
      </c>
      <c r="H489" s="43"/>
      <c r="I489" s="58" t="s">
        <v>1035</v>
      </c>
      <c r="J489" s="59"/>
      <c r="K489" s="53" t="s">
        <v>10</v>
      </c>
      <c r="L489" s="59"/>
      <c r="M489" s="59"/>
      <c r="N489" s="47" t="b">
        <v>0</v>
      </c>
      <c r="O489" s="48">
        <f t="shared" si="1"/>
        <v>46320</v>
      </c>
      <c r="P489" s="60"/>
      <c r="Q489" s="61"/>
      <c r="R489" s="51" t="str">
        <f t="shared" si="2"/>
        <v/>
      </c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</row>
    <row r="490">
      <c r="A490" s="53" t="b">
        <v>1</v>
      </c>
      <c r="B490" s="54">
        <v>46301.0</v>
      </c>
      <c r="C490" s="55" t="s">
        <v>1036</v>
      </c>
      <c r="D490" s="56">
        <v>972.0</v>
      </c>
      <c r="E490" s="40">
        <f>IFERROR(__xludf.DUMMYFUNCTION("IF(C490="""", """", XLOOKUP(TRIM(C490), 'COTRATOS ALBUNS 25.2'!E:E, 'COTRATOS ALBUNS 25.2'!D:D, XLOOKUP(TRIM(C490), IMPORTRANGE(""16smdYggRVyzhu5y9HP2ayvW__ybkjb1nkVsCvZrByLM"", ""'COTRATOS 26.1'!B:B""), IMPORTRANGE(""16smdYggRVyzhu5y9HP2ayvW__ybkjb1nkVsC"&amp;"vZrByLM"", ""'COTRATOS 26.1'!A:A""), """")))"),94276.0)</f>
        <v>94276</v>
      </c>
      <c r="F490" s="57" t="s">
        <v>40</v>
      </c>
      <c r="G490" s="42"/>
      <c r="H490" s="43"/>
      <c r="I490" s="58" t="s">
        <v>1037</v>
      </c>
      <c r="J490" s="59"/>
      <c r="K490" s="53" t="s">
        <v>10</v>
      </c>
      <c r="L490" s="59"/>
      <c r="M490" s="59"/>
      <c r="N490" s="47" t="b">
        <v>0</v>
      </c>
      <c r="O490" s="48">
        <f t="shared" si="1"/>
        <v>46318</v>
      </c>
      <c r="P490" s="60"/>
      <c r="Q490" s="61"/>
      <c r="R490" s="51" t="str">
        <f t="shared" si="2"/>
        <v/>
      </c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</row>
    <row r="491">
      <c r="A491" s="53" t="b">
        <v>1</v>
      </c>
      <c r="B491" s="54">
        <v>46303.0</v>
      </c>
      <c r="C491" s="55" t="s">
        <v>1038</v>
      </c>
      <c r="D491" s="56">
        <v>954.0</v>
      </c>
      <c r="E491" s="40">
        <f>IFERROR(__xludf.DUMMYFUNCTION("IF(C491="""", """", XLOOKUP(TRIM(C491), 'COTRATOS ALBUNS 25.2'!E:E, 'COTRATOS ALBUNS 25.2'!D:D, XLOOKUP(TRIM(C491), IMPORTRANGE(""16smdYggRVyzhu5y9HP2ayvW__ybkjb1nkVsCvZrByLM"", ""'COTRATOS 26.1'!B:B""), IMPORTRANGE(""16smdYggRVyzhu5y9HP2ayvW__ybkjb1nkVsC"&amp;"vZrByLM"", ""'COTRATOS 26.1'!A:A""), """")))"),94324.0)</f>
        <v>94324</v>
      </c>
      <c r="F491" s="57" t="s">
        <v>40</v>
      </c>
      <c r="G491" s="42"/>
      <c r="H491" s="43"/>
      <c r="I491" s="58" t="s">
        <v>1039</v>
      </c>
      <c r="J491" s="59"/>
      <c r="K491" s="53" t="s">
        <v>10</v>
      </c>
      <c r="L491" s="59"/>
      <c r="M491" s="59"/>
      <c r="N491" s="47" t="b">
        <v>0</v>
      </c>
      <c r="O491" s="48">
        <f t="shared" si="1"/>
        <v>46320</v>
      </c>
      <c r="P491" s="60"/>
      <c r="Q491" s="61"/>
      <c r="R491" s="51" t="str">
        <f t="shared" si="2"/>
        <v/>
      </c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</row>
    <row r="492">
      <c r="A492" s="53" t="b">
        <v>1</v>
      </c>
      <c r="B492" s="54">
        <v>46300.0</v>
      </c>
      <c r="C492" s="55" t="s">
        <v>1040</v>
      </c>
      <c r="D492" s="56">
        <v>954.0</v>
      </c>
      <c r="E492" s="40">
        <f>IFERROR(__xludf.DUMMYFUNCTION("IF(C492="""", """", XLOOKUP(TRIM(C492), 'COTRATOS ALBUNS 25.2'!E:E, 'COTRATOS ALBUNS 25.2'!D:D, XLOOKUP(TRIM(C492), IMPORTRANGE(""16smdYggRVyzhu5y9HP2ayvW__ybkjb1nkVsCvZrByLM"", ""'COTRATOS 26.1'!B:B""), IMPORTRANGE(""16smdYggRVyzhu5y9HP2ayvW__ybkjb1nkVsC"&amp;"vZrByLM"", ""'COTRATOS 26.1'!A:A""), """")))"),91411.0)</f>
        <v>91411</v>
      </c>
      <c r="F492" s="57" t="s">
        <v>40</v>
      </c>
      <c r="G492" s="42"/>
      <c r="H492" s="43"/>
      <c r="I492" s="58" t="s">
        <v>1041</v>
      </c>
      <c r="J492" s="59"/>
      <c r="K492" s="53" t="s">
        <v>10</v>
      </c>
      <c r="L492" s="59"/>
      <c r="M492" s="59"/>
      <c r="N492" s="47" t="b">
        <v>0</v>
      </c>
      <c r="O492" s="48">
        <f t="shared" si="1"/>
        <v>46317</v>
      </c>
      <c r="P492" s="60"/>
      <c r="Q492" s="61"/>
      <c r="R492" s="51" t="str">
        <f t="shared" si="2"/>
        <v/>
      </c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</row>
    <row r="493">
      <c r="A493" s="53" t="b">
        <v>1</v>
      </c>
      <c r="B493" s="54">
        <v>46301.0</v>
      </c>
      <c r="C493" s="55" t="s">
        <v>1042</v>
      </c>
      <c r="D493" s="56">
        <v>954.0</v>
      </c>
      <c r="E493" s="40">
        <f>IFERROR(__xludf.DUMMYFUNCTION("IF(C493="""", """", XLOOKUP(TRIM(C493), 'COTRATOS ALBUNS 25.2'!E:E, 'COTRATOS ALBUNS 25.2'!D:D, XLOOKUP(TRIM(C493), IMPORTRANGE(""16smdYggRVyzhu5y9HP2ayvW__ybkjb1nkVsCvZrByLM"", ""'COTRATOS 26.1'!B:B""), IMPORTRANGE(""16smdYggRVyzhu5y9HP2ayvW__ybkjb1nkVsC"&amp;"vZrByLM"", ""'COTRATOS 26.1'!A:A""), """")))"),91311.0)</f>
        <v>91311</v>
      </c>
      <c r="F493" s="57" t="s">
        <v>40</v>
      </c>
      <c r="G493" s="42"/>
      <c r="H493" s="43"/>
      <c r="I493" s="58" t="s">
        <v>1043</v>
      </c>
      <c r="J493" s="59"/>
      <c r="K493" s="53" t="s">
        <v>10</v>
      </c>
      <c r="L493" s="59"/>
      <c r="M493" s="59"/>
      <c r="N493" s="47" t="b">
        <v>0</v>
      </c>
      <c r="O493" s="48">
        <f t="shared" si="1"/>
        <v>46318</v>
      </c>
      <c r="P493" s="60"/>
      <c r="Q493" s="61"/>
      <c r="R493" s="51" t="str">
        <f t="shared" si="2"/>
        <v/>
      </c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</row>
    <row r="494">
      <c r="A494" s="53" t="b">
        <v>1</v>
      </c>
      <c r="B494" s="54">
        <v>46301.0</v>
      </c>
      <c r="C494" s="55" t="s">
        <v>1044</v>
      </c>
      <c r="D494" s="56">
        <v>954.0</v>
      </c>
      <c r="E494" s="40">
        <f>IFERROR(__xludf.DUMMYFUNCTION("IF(C494="""", """", XLOOKUP(TRIM(C494), 'COTRATOS ALBUNS 25.2'!E:E, 'COTRATOS ALBUNS 25.2'!D:D, XLOOKUP(TRIM(C494), IMPORTRANGE(""16smdYggRVyzhu5y9HP2ayvW__ybkjb1nkVsCvZrByLM"", ""'COTRATOS 26.1'!B:B""), IMPORTRANGE(""16smdYggRVyzhu5y9HP2ayvW__ybkjb1nkVsC"&amp;"vZrByLM"", ""'COTRATOS 26.1'!A:A""), """")))"),76144.0)</f>
        <v>76144</v>
      </c>
      <c r="F494" s="57" t="s">
        <v>44</v>
      </c>
      <c r="G494" s="42"/>
      <c r="H494" s="43"/>
      <c r="I494" s="58" t="s">
        <v>1045</v>
      </c>
      <c r="J494" s="59"/>
      <c r="K494" s="53" t="s">
        <v>10</v>
      </c>
      <c r="L494" s="59"/>
      <c r="M494" s="59"/>
      <c r="N494" s="47" t="b">
        <v>0</v>
      </c>
      <c r="O494" s="48">
        <f t="shared" si="1"/>
        <v>46318</v>
      </c>
      <c r="P494" s="60"/>
      <c r="Q494" s="61"/>
      <c r="R494" s="51" t="str">
        <f t="shared" si="2"/>
        <v/>
      </c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</row>
    <row r="495">
      <c r="A495" s="53" t="b">
        <v>1</v>
      </c>
      <c r="B495" s="54">
        <v>46303.0</v>
      </c>
      <c r="C495" s="55" t="s">
        <v>1046</v>
      </c>
      <c r="D495" s="56">
        <v>1085.0</v>
      </c>
      <c r="E495" s="40">
        <f>IFERROR(__xludf.DUMMYFUNCTION("IF(C495="""", """", XLOOKUP(TRIM(C495), 'COTRATOS ALBUNS 25.2'!E:E, 'COTRATOS ALBUNS 25.2'!D:D, XLOOKUP(TRIM(C495), IMPORTRANGE(""16smdYggRVyzhu5y9HP2ayvW__ybkjb1nkVsCvZrByLM"", ""'COTRATOS 26.1'!B:B""), IMPORTRANGE(""16smdYggRVyzhu5y9HP2ayvW__ybkjb1nkVsC"&amp;"vZrByLM"", ""'COTRATOS 26.1'!A:A""), """")))"),91993.0)</f>
        <v>91993</v>
      </c>
      <c r="F495" s="57" t="s">
        <v>44</v>
      </c>
      <c r="G495" s="42"/>
      <c r="H495" s="43"/>
      <c r="I495" s="58" t="s">
        <v>1047</v>
      </c>
      <c r="J495" s="59"/>
      <c r="K495" s="53" t="s">
        <v>10</v>
      </c>
      <c r="L495" s="59"/>
      <c r="M495" s="59"/>
      <c r="N495" s="47" t="b">
        <v>0</v>
      </c>
      <c r="O495" s="48">
        <f t="shared" si="1"/>
        <v>46320</v>
      </c>
      <c r="P495" s="60"/>
      <c r="Q495" s="61"/>
      <c r="R495" s="51" t="str">
        <f t="shared" si="2"/>
        <v/>
      </c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</row>
    <row r="496">
      <c r="A496" s="53" t="b">
        <v>1</v>
      </c>
      <c r="B496" s="54">
        <v>46302.0</v>
      </c>
      <c r="C496" s="55" t="s">
        <v>1048</v>
      </c>
      <c r="D496" s="56">
        <v>954.0</v>
      </c>
      <c r="E496" s="40">
        <f>IFERROR(__xludf.DUMMYFUNCTION("IF(C496="""", """", XLOOKUP(TRIM(C496), 'COTRATOS ALBUNS 25.2'!E:E, 'COTRATOS ALBUNS 25.2'!D:D, XLOOKUP(TRIM(C496), IMPORTRANGE(""16smdYggRVyzhu5y9HP2ayvW__ybkjb1nkVsCvZrByLM"", ""'COTRATOS 26.1'!B:B""), IMPORTRANGE(""16smdYggRVyzhu5y9HP2ayvW__ybkjb1nkVsC"&amp;"vZrByLM"", ""'COTRATOS 26.1'!A:A""), """")))"),91294.0)</f>
        <v>91294</v>
      </c>
      <c r="F496" s="57" t="s">
        <v>56</v>
      </c>
      <c r="G496" s="42" t="s">
        <v>67</v>
      </c>
      <c r="H496" s="43"/>
      <c r="I496" s="58" t="s">
        <v>1049</v>
      </c>
      <c r="J496" s="59"/>
      <c r="K496" s="53" t="s">
        <v>17</v>
      </c>
      <c r="L496" s="59"/>
      <c r="M496" s="59"/>
      <c r="N496" s="47" t="b">
        <v>0</v>
      </c>
      <c r="O496" s="48">
        <f t="shared" si="1"/>
        <v>46319</v>
      </c>
      <c r="P496" s="60"/>
      <c r="Q496" s="61"/>
      <c r="R496" s="51" t="str">
        <f t="shared" si="2"/>
        <v/>
      </c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</row>
    <row r="497">
      <c r="A497" s="36" t="b">
        <v>1</v>
      </c>
      <c r="B497" s="94">
        <v>46241.499918981484</v>
      </c>
      <c r="C497" s="38" t="s">
        <v>1050</v>
      </c>
      <c r="D497" s="36">
        <v>971.0</v>
      </c>
      <c r="E497" s="40">
        <f>IFERROR(__xludf.DUMMYFUNCTION("IF(C497="""", """", XLOOKUP(TRIM(C497), 'COTRATOS ALBUNS 25.2'!E:E, 'COTRATOS ALBUNS 25.2'!D:D, XLOOKUP(TRIM(C497), IMPORTRANGE(""16smdYggRVyzhu5y9HP2ayvW__ybkjb1nkVsCvZrByLM"", ""'COTRATOS 26.1'!B:B""), IMPORTRANGE(""16smdYggRVyzhu5y9HP2ayvW__ybkjb1nkVsC"&amp;"vZrByLM"", ""'COTRATOS 26.1'!A:A""), """")))"),79140.0)</f>
        <v>79140</v>
      </c>
      <c r="F497" s="41" t="s">
        <v>36</v>
      </c>
      <c r="G497" s="42" t="s">
        <v>154</v>
      </c>
      <c r="H497" s="43"/>
      <c r="I497" s="44" t="s">
        <v>1051</v>
      </c>
      <c r="J497" s="5"/>
      <c r="K497" s="8" t="s">
        <v>13</v>
      </c>
      <c r="L497" s="163" t="s">
        <v>218</v>
      </c>
      <c r="M497" s="46" t="s">
        <v>8</v>
      </c>
      <c r="N497" s="63" t="b">
        <v>1</v>
      </c>
      <c r="O497" s="64">
        <f t="shared" si="1"/>
        <v>46258.49992</v>
      </c>
      <c r="P497" s="49">
        <v>46297.0</v>
      </c>
      <c r="Q497" s="61">
        <v>46242.55694480324</v>
      </c>
      <c r="R497" s="76">
        <f t="shared" si="2"/>
        <v>46302.55694</v>
      </c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</row>
    <row r="498">
      <c r="A498" s="36" t="b">
        <v>1</v>
      </c>
      <c r="B498" s="54">
        <v>46304.0</v>
      </c>
      <c r="C498" s="55" t="s">
        <v>1052</v>
      </c>
      <c r="D498" s="56">
        <v>972.0</v>
      </c>
      <c r="E498" s="40">
        <f>IFERROR(__xludf.DUMMYFUNCTION("IF(C498="""", """", XLOOKUP(TRIM(C498), 'COTRATOS ALBUNS 25.2'!E:E, 'COTRATOS ALBUNS 25.2'!D:D, XLOOKUP(TRIM(C498), IMPORTRANGE(""16smdYggRVyzhu5y9HP2ayvW__ybkjb1nkVsCvZrByLM"", ""'COTRATOS 26.1'!B:B""), IMPORTRANGE(""16smdYggRVyzhu5y9HP2ayvW__ybkjb1nkVsC"&amp;"vZrByLM"", ""'COTRATOS 26.1'!A:A""), """")))"),92871.0)</f>
        <v>92871</v>
      </c>
      <c r="F498" s="57" t="s">
        <v>56</v>
      </c>
      <c r="G498" s="42" t="s">
        <v>52</v>
      </c>
      <c r="H498" s="43"/>
      <c r="I498" s="58" t="s">
        <v>1053</v>
      </c>
      <c r="J498" s="59"/>
      <c r="K498" s="53" t="s">
        <v>10</v>
      </c>
      <c r="L498" s="59"/>
      <c r="M498" s="59"/>
      <c r="N498" s="47" t="b">
        <v>0</v>
      </c>
      <c r="O498" s="48">
        <f t="shared" si="1"/>
        <v>46321</v>
      </c>
      <c r="P498" s="60"/>
      <c r="Q498" s="61"/>
      <c r="R498" s="51" t="str">
        <f t="shared" si="2"/>
        <v/>
      </c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</row>
    <row r="499">
      <c r="A499" s="36" t="b">
        <v>1</v>
      </c>
      <c r="B499" s="54">
        <v>46307.0</v>
      </c>
      <c r="C499" s="55" t="s">
        <v>1054</v>
      </c>
      <c r="D499" s="56">
        <v>1179.0</v>
      </c>
      <c r="E499" s="40">
        <f>IFERROR(__xludf.DUMMYFUNCTION("IF(C499="""", """", XLOOKUP(TRIM(C499), 'COTRATOS ALBUNS 25.2'!E:E, 'COTRATOS ALBUNS 25.2'!D:D, XLOOKUP(TRIM(C499), IMPORTRANGE(""16smdYggRVyzhu5y9HP2ayvW__ybkjb1nkVsCvZrByLM"", ""'COTRATOS 26.1'!B:B""), IMPORTRANGE(""16smdYggRVyzhu5y9HP2ayvW__ybkjb1nkVsC"&amp;"vZrByLM"", ""'COTRATOS 26.1'!A:A""), """")))"),95074.0)</f>
        <v>95074</v>
      </c>
      <c r="F499" s="57" t="s">
        <v>40</v>
      </c>
      <c r="G499" s="42" t="s">
        <v>154</v>
      </c>
      <c r="H499" s="43"/>
      <c r="I499" s="58" t="s">
        <v>1055</v>
      </c>
      <c r="J499" s="59"/>
      <c r="K499" s="53" t="s">
        <v>10</v>
      </c>
      <c r="L499" s="59"/>
      <c r="M499" s="59"/>
      <c r="N499" s="47" t="b">
        <v>0</v>
      </c>
      <c r="O499" s="48">
        <f t="shared" si="1"/>
        <v>46324</v>
      </c>
      <c r="P499" s="60"/>
      <c r="Q499" s="61"/>
      <c r="R499" s="51" t="str">
        <f t="shared" si="2"/>
        <v/>
      </c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</row>
    <row r="500">
      <c r="A500" s="36" t="b">
        <v>1</v>
      </c>
      <c r="B500" s="54">
        <v>46304.0</v>
      </c>
      <c r="C500" s="55" t="s">
        <v>1056</v>
      </c>
      <c r="D500" s="56">
        <v>1099.0</v>
      </c>
      <c r="E500" s="40">
        <f>IFERROR(__xludf.DUMMYFUNCTION("IF(C500="""", """", XLOOKUP(TRIM(C500), 'COTRATOS ALBUNS 25.2'!E:E, 'COTRATOS ALBUNS 25.2'!D:D, XLOOKUP(TRIM(C500), IMPORTRANGE(""16smdYggRVyzhu5y9HP2ayvW__ybkjb1nkVsCvZrByLM"", ""'COTRATOS 26.1'!B:B""), IMPORTRANGE(""16smdYggRVyzhu5y9HP2ayvW__ybkjb1nkVsC"&amp;"vZrByLM"", ""'COTRATOS 26.1'!A:A""), """")))"),94913.0)</f>
        <v>94913</v>
      </c>
      <c r="F500" s="57" t="s">
        <v>40</v>
      </c>
      <c r="G500" s="42" t="s">
        <v>91</v>
      </c>
      <c r="H500" s="43"/>
      <c r="I500" s="58" t="s">
        <v>1057</v>
      </c>
      <c r="J500" s="59"/>
      <c r="K500" s="53" t="s">
        <v>10</v>
      </c>
      <c r="L500" s="59"/>
      <c r="M500" s="59"/>
      <c r="N500" s="47" t="b">
        <v>0</v>
      </c>
      <c r="O500" s="48">
        <f t="shared" si="1"/>
        <v>46321</v>
      </c>
      <c r="P500" s="60"/>
      <c r="Q500" s="61"/>
      <c r="R500" s="51" t="str">
        <f t="shared" si="2"/>
        <v/>
      </c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</row>
    <row r="501">
      <c r="A501" s="36" t="b">
        <v>1</v>
      </c>
      <c r="B501" s="54">
        <v>46305.0</v>
      </c>
      <c r="C501" s="55" t="s">
        <v>1058</v>
      </c>
      <c r="D501" s="56">
        <v>996.0</v>
      </c>
      <c r="E501" s="40">
        <f>IFERROR(__xludf.DUMMYFUNCTION("IF(C501="""", """", XLOOKUP(TRIM(C501), 'COTRATOS ALBUNS 25.2'!E:E, 'COTRATOS ALBUNS 25.2'!D:D, XLOOKUP(TRIM(C501), IMPORTRANGE(""16smdYggRVyzhu5y9HP2ayvW__ybkjb1nkVsCvZrByLM"", ""'COTRATOS 26.1'!B:B""), IMPORTRANGE(""16smdYggRVyzhu5y9HP2ayvW__ybkjb1nkVsC"&amp;"vZrByLM"", ""'COTRATOS 26.1'!A:A""), """")))"),88709.0)</f>
        <v>88709</v>
      </c>
      <c r="F501" s="57" t="s">
        <v>40</v>
      </c>
      <c r="G501" s="42" t="s">
        <v>57</v>
      </c>
      <c r="H501" s="43"/>
      <c r="I501" s="58" t="s">
        <v>1059</v>
      </c>
      <c r="J501" s="59"/>
      <c r="K501" s="53" t="s">
        <v>10</v>
      </c>
      <c r="L501" s="59"/>
      <c r="M501" s="59"/>
      <c r="N501" s="47" t="b">
        <v>0</v>
      </c>
      <c r="O501" s="48">
        <f t="shared" si="1"/>
        <v>46322</v>
      </c>
      <c r="P501" s="60"/>
      <c r="Q501" s="61"/>
      <c r="R501" s="51" t="str">
        <f t="shared" si="2"/>
        <v/>
      </c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</row>
    <row r="502">
      <c r="A502" s="36" t="b">
        <v>1</v>
      </c>
      <c r="B502" s="54">
        <v>46305.0</v>
      </c>
      <c r="C502" s="55" t="s">
        <v>1060</v>
      </c>
      <c r="D502" s="56">
        <v>995.0</v>
      </c>
      <c r="E502" s="40">
        <f>IFERROR(__xludf.DUMMYFUNCTION("IF(C502="""", """", XLOOKUP(TRIM(C502), 'COTRATOS ALBUNS 25.2'!E:E, 'COTRATOS ALBUNS 25.2'!D:D, XLOOKUP(TRIM(C502), IMPORTRANGE(""16smdYggRVyzhu5y9HP2ayvW__ybkjb1nkVsCvZrByLM"", ""'COTRATOS 26.1'!B:B""), IMPORTRANGE(""16smdYggRVyzhu5y9HP2ayvW__ybkjb1nkVsC"&amp;"vZrByLM"", ""'COTRATOS 26.1'!A:A""), """")))"),75487.0)</f>
        <v>75487</v>
      </c>
      <c r="F502" s="57" t="s">
        <v>56</v>
      </c>
      <c r="G502" s="114"/>
      <c r="H502" s="43"/>
      <c r="I502" s="58" t="s">
        <v>1061</v>
      </c>
      <c r="J502" s="59"/>
      <c r="K502" s="53" t="s">
        <v>10</v>
      </c>
      <c r="L502" s="59"/>
      <c r="M502" s="59"/>
      <c r="N502" s="47" t="b">
        <v>0</v>
      </c>
      <c r="O502" s="48">
        <f t="shared" si="1"/>
        <v>46322</v>
      </c>
      <c r="P502" s="60"/>
      <c r="Q502" s="61"/>
      <c r="R502" s="51" t="str">
        <f t="shared" si="2"/>
        <v/>
      </c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</row>
    <row r="503">
      <c r="A503" s="36" t="b">
        <v>1</v>
      </c>
      <c r="B503" s="54">
        <v>46307.0</v>
      </c>
      <c r="C503" s="55" t="s">
        <v>1062</v>
      </c>
      <c r="D503" s="56">
        <v>954.0</v>
      </c>
      <c r="E503" s="40">
        <f>IFERROR(__xludf.DUMMYFUNCTION("IF(C503="""", """", XLOOKUP(TRIM(C503), 'COTRATOS ALBUNS 25.2'!E:E, 'COTRATOS ALBUNS 25.2'!D:D, XLOOKUP(TRIM(C503), IMPORTRANGE(""16smdYggRVyzhu5y9HP2ayvW__ybkjb1nkVsCvZrByLM"", ""'COTRATOS 26.1'!B:B""), IMPORTRANGE(""16smdYggRVyzhu5y9HP2ayvW__ybkjb1nkVsC"&amp;"vZrByLM"", ""'COTRATOS 26.1'!A:A""), """")))"),91302.0)</f>
        <v>91302</v>
      </c>
      <c r="F503" s="57" t="s">
        <v>44</v>
      </c>
      <c r="G503" s="114"/>
      <c r="H503" s="43"/>
      <c r="I503" s="58" t="s">
        <v>1063</v>
      </c>
      <c r="J503" s="59"/>
      <c r="K503" s="53" t="s">
        <v>10</v>
      </c>
      <c r="L503" s="59"/>
      <c r="M503" s="59"/>
      <c r="N503" s="47" t="b">
        <v>0</v>
      </c>
      <c r="O503" s="48">
        <f t="shared" si="1"/>
        <v>46324</v>
      </c>
      <c r="P503" s="60"/>
      <c r="Q503" s="61"/>
      <c r="R503" s="51" t="str">
        <f t="shared" si="2"/>
        <v/>
      </c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</row>
    <row r="504">
      <c r="A504" s="36" t="b">
        <v>1</v>
      </c>
      <c r="B504" s="54">
        <v>46307.0</v>
      </c>
      <c r="C504" s="55" t="s">
        <v>1064</v>
      </c>
      <c r="D504" s="56">
        <v>954.0</v>
      </c>
      <c r="E504" s="40">
        <f>IFERROR(__xludf.DUMMYFUNCTION("IF(C504="""", """", XLOOKUP(TRIM(C504), 'COTRATOS ALBUNS 25.2'!E:E, 'COTRATOS ALBUNS 25.2'!D:D, XLOOKUP(TRIM(C504), IMPORTRANGE(""16smdYggRVyzhu5y9HP2ayvW__ybkjb1nkVsCvZrByLM"", ""'COTRATOS 26.1'!B:B""), IMPORTRANGE(""16smdYggRVyzhu5y9HP2ayvW__ybkjb1nkVsC"&amp;"vZrByLM"", ""'COTRATOS 26.1'!A:A""), """")))"),91410.0)</f>
        <v>91410</v>
      </c>
      <c r="F504" s="57" t="s">
        <v>56</v>
      </c>
      <c r="G504" s="114"/>
      <c r="H504" s="43"/>
      <c r="I504" s="58" t="s">
        <v>1065</v>
      </c>
      <c r="J504" s="59"/>
      <c r="K504" s="53" t="s">
        <v>10</v>
      </c>
      <c r="L504" s="59"/>
      <c r="M504" s="59"/>
      <c r="N504" s="47" t="b">
        <v>0</v>
      </c>
      <c r="O504" s="48">
        <f t="shared" si="1"/>
        <v>46324</v>
      </c>
      <c r="P504" s="60"/>
      <c r="Q504" s="61"/>
      <c r="R504" s="51" t="str">
        <f t="shared" si="2"/>
        <v/>
      </c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</row>
    <row r="505">
      <c r="A505" s="36" t="b">
        <v>1</v>
      </c>
      <c r="B505" s="54">
        <v>46304.0</v>
      </c>
      <c r="C505" s="55" t="s">
        <v>1066</v>
      </c>
      <c r="D505" s="56">
        <v>1099.0</v>
      </c>
      <c r="E505" s="40">
        <f>IFERROR(__xludf.DUMMYFUNCTION("IF(C505="""", """", XLOOKUP(TRIM(C505), 'COTRATOS ALBUNS 25.2'!E:E, 'COTRATOS ALBUNS 25.2'!D:D, XLOOKUP(TRIM(C505), IMPORTRANGE(""16smdYggRVyzhu5y9HP2ayvW__ybkjb1nkVsCvZrByLM"", ""'COTRATOS 26.1'!B:B""), IMPORTRANGE(""16smdYggRVyzhu5y9HP2ayvW__ybkjb1nkVsC"&amp;"vZrByLM"", ""'COTRATOS 26.1'!A:A""), """")))"),88239.0)</f>
        <v>88239</v>
      </c>
      <c r="F505" s="57" t="s">
        <v>36</v>
      </c>
      <c r="G505" s="114"/>
      <c r="H505" s="43"/>
      <c r="I505" s="58" t="s">
        <v>1067</v>
      </c>
      <c r="J505" s="59"/>
      <c r="K505" s="53" t="s">
        <v>10</v>
      </c>
      <c r="L505" s="59"/>
      <c r="M505" s="59"/>
      <c r="N505" s="47" t="b">
        <v>0</v>
      </c>
      <c r="O505" s="48">
        <f t="shared" si="1"/>
        <v>46321</v>
      </c>
      <c r="P505" s="60"/>
      <c r="Q505" s="61"/>
      <c r="R505" s="51" t="str">
        <f t="shared" si="2"/>
        <v/>
      </c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</row>
    <row r="506">
      <c r="A506" s="53" t="b">
        <v>1</v>
      </c>
      <c r="B506" s="54">
        <v>46200.0</v>
      </c>
      <c r="C506" s="55" t="s">
        <v>1068</v>
      </c>
      <c r="D506" s="56">
        <v>954.0</v>
      </c>
      <c r="E506" s="40">
        <f>IFERROR(__xludf.DUMMYFUNCTION("IF(C506="""", """", XLOOKUP(TRIM(C506), 'COTRATOS ALBUNS 25.2'!E:E, 'COTRATOS ALBUNS 25.2'!D:D, XLOOKUP(TRIM(C506), IMPORTRANGE(""16smdYggRVyzhu5y9HP2ayvW__ybkjb1nkVsCvZrByLM"", ""'COTRATOS 26.1'!B:B""), IMPORTRANGE(""16smdYggRVyzhu5y9HP2ayvW__ybkjb1nkVsC"&amp;"vZrByLM"", ""'COTRATOS 26.1'!A:A""), """")))"),90124.0)</f>
        <v>90124</v>
      </c>
      <c r="F506" s="57" t="s">
        <v>40</v>
      </c>
      <c r="G506" s="114"/>
      <c r="H506" s="43"/>
      <c r="I506" s="58" t="s">
        <v>1069</v>
      </c>
      <c r="J506" s="59"/>
      <c r="K506" s="53" t="s">
        <v>10</v>
      </c>
      <c r="L506" s="59"/>
      <c r="M506" s="59"/>
      <c r="N506" s="47" t="b">
        <v>0</v>
      </c>
      <c r="O506" s="48">
        <f t="shared" si="1"/>
        <v>46217</v>
      </c>
      <c r="P506" s="60"/>
      <c r="Q506" s="61"/>
      <c r="R506" s="51" t="str">
        <f t="shared" si="2"/>
        <v/>
      </c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</row>
    <row r="507">
      <c r="A507" s="53" t="b">
        <v>1</v>
      </c>
      <c r="B507" s="54">
        <v>46294.0</v>
      </c>
      <c r="C507" s="55" t="s">
        <v>1070</v>
      </c>
      <c r="D507" s="56">
        <v>1179.0</v>
      </c>
      <c r="E507" s="40">
        <f>IFERROR(__xludf.DUMMYFUNCTION("IF(C507="""", """", XLOOKUP(TRIM(C507), 'COTRATOS ALBUNS 25.2'!E:E, 'COTRATOS ALBUNS 25.2'!D:D, XLOOKUP(TRIM(C507), IMPORTRANGE(""16smdYggRVyzhu5y9HP2ayvW__ybkjb1nkVsCvZrByLM"", ""'COTRATOS 26.1'!B:B""), IMPORTRANGE(""16smdYggRVyzhu5y9HP2ayvW__ybkjb1nkVsC"&amp;"vZrByLM"", ""'COTRATOS 26.1'!A:A""), """")))"),86663.0)</f>
        <v>86663</v>
      </c>
      <c r="F507" s="57" t="s">
        <v>74</v>
      </c>
      <c r="G507" s="42" t="s">
        <v>67</v>
      </c>
      <c r="H507" s="43"/>
      <c r="I507" s="58" t="s">
        <v>1071</v>
      </c>
      <c r="J507" s="59"/>
      <c r="K507" s="53" t="s">
        <v>10</v>
      </c>
      <c r="L507" s="59"/>
      <c r="M507" s="59"/>
      <c r="N507" s="47" t="b">
        <v>0</v>
      </c>
      <c r="O507" s="48">
        <f t="shared" si="1"/>
        <v>46311</v>
      </c>
      <c r="P507" s="60"/>
      <c r="Q507" s="61"/>
      <c r="R507" s="51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</row>
    <row r="508">
      <c r="A508" s="53" t="b">
        <v>1</v>
      </c>
      <c r="B508" s="54">
        <v>46308.0</v>
      </c>
      <c r="C508" s="55" t="s">
        <v>1072</v>
      </c>
      <c r="D508" s="56">
        <v>1099.0</v>
      </c>
      <c r="E508" s="40">
        <f>IFERROR(__xludf.DUMMYFUNCTION("IF(C508="""", """", XLOOKUP(TRIM(C508), 'COTRATOS ALBUNS 25.2'!E:E, 'COTRATOS ALBUNS 25.2'!D:D, XLOOKUP(TRIM(C508), IMPORTRANGE(""16smdYggRVyzhu5y9HP2ayvW__ybkjb1nkVsCvZrByLM"", ""'COTRATOS 26.1'!B:B""), IMPORTRANGE(""16smdYggRVyzhu5y9HP2ayvW__ybkjb1nkVsC"&amp;"vZrByLM"", ""'COTRATOS 26.1'!A:A""), """")))"),94847.0)</f>
        <v>94847</v>
      </c>
      <c r="F508" s="57" t="s">
        <v>56</v>
      </c>
      <c r="G508" s="42" t="s">
        <v>1073</v>
      </c>
      <c r="H508" s="43"/>
      <c r="I508" s="58" t="s">
        <v>1074</v>
      </c>
      <c r="J508" s="59"/>
      <c r="K508" s="53" t="s">
        <v>10</v>
      </c>
      <c r="L508" s="59"/>
      <c r="M508" s="59"/>
      <c r="N508" s="47" t="b">
        <v>0</v>
      </c>
      <c r="O508" s="48">
        <f t="shared" si="1"/>
        <v>46325</v>
      </c>
      <c r="P508" s="60"/>
      <c r="Q508" s="61"/>
      <c r="R508" s="51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</row>
    <row r="509">
      <c r="A509" s="53" t="b">
        <v>1</v>
      </c>
      <c r="B509" s="54">
        <v>46312.0</v>
      </c>
      <c r="C509" s="55" t="s">
        <v>1075</v>
      </c>
      <c r="D509" s="56">
        <v>1085.0</v>
      </c>
      <c r="E509" s="40">
        <f>IFERROR(__xludf.DUMMYFUNCTION("IF(C509="""", """", XLOOKUP(TRIM(C509), 'COTRATOS ALBUNS 25.2'!E:E, 'COTRATOS ALBUNS 25.2'!D:D, XLOOKUP(TRIM(C509), IMPORTRANGE(""16smdYggRVyzhu5y9HP2ayvW__ybkjb1nkVsCvZrByLM"", ""'COTRATOS 26.1'!B:B""), IMPORTRANGE(""16smdYggRVyzhu5y9HP2ayvW__ybkjb1nkVsC"&amp;"vZrByLM"", ""'COTRATOS 26.1'!A:A""), """")))"),95063.0)</f>
        <v>95063</v>
      </c>
      <c r="F509" s="57" t="s">
        <v>44</v>
      </c>
      <c r="G509" s="42" t="s">
        <v>52</v>
      </c>
      <c r="H509" s="43"/>
      <c r="I509" s="58" t="s">
        <v>1076</v>
      </c>
      <c r="J509" s="59"/>
      <c r="K509" s="53" t="s">
        <v>10</v>
      </c>
      <c r="L509" s="59"/>
      <c r="M509" s="59"/>
      <c r="N509" s="47" t="b">
        <v>0</v>
      </c>
      <c r="O509" s="8"/>
      <c r="P509" s="60"/>
      <c r="Q509" s="61"/>
      <c r="R509" s="51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</row>
    <row r="510">
      <c r="A510" s="53" t="b">
        <v>1</v>
      </c>
      <c r="B510" s="54">
        <v>46311.0</v>
      </c>
      <c r="C510" s="55" t="s">
        <v>1077</v>
      </c>
      <c r="D510" s="56">
        <v>972.0</v>
      </c>
      <c r="E510" s="40">
        <f>IFERROR(__xludf.DUMMYFUNCTION("IF(C510="""", """", XLOOKUP(TRIM(C510), 'COTRATOS ALBUNS 25.2'!E:E, 'COTRATOS ALBUNS 25.2'!D:D, XLOOKUP(TRIM(C510), IMPORTRANGE(""16smdYggRVyzhu5y9HP2ayvW__ybkjb1nkVsCvZrByLM"", ""'COTRATOS 26.1'!B:B""), IMPORTRANGE(""16smdYggRVyzhu5y9HP2ayvW__ybkjb1nkVsC"&amp;"vZrByLM"", ""'COTRATOS 26.1'!A:A""), """")))"),94702.0)</f>
        <v>94702</v>
      </c>
      <c r="F510" s="57" t="s">
        <v>44</v>
      </c>
      <c r="G510" s="42" t="s">
        <v>290</v>
      </c>
      <c r="H510" s="43"/>
      <c r="I510" s="58" t="s">
        <v>1078</v>
      </c>
      <c r="J510" s="59"/>
      <c r="K510" s="53" t="s">
        <v>10</v>
      </c>
      <c r="L510" s="59"/>
      <c r="M510" s="59"/>
      <c r="N510" s="47" t="b">
        <v>0</v>
      </c>
      <c r="O510" s="8"/>
      <c r="P510" s="60"/>
      <c r="Q510" s="61"/>
      <c r="R510" s="51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</row>
    <row r="511">
      <c r="A511" s="53" t="b">
        <v>1</v>
      </c>
      <c r="B511" s="54">
        <v>46310.0</v>
      </c>
      <c r="C511" s="55" t="s">
        <v>1079</v>
      </c>
      <c r="D511" s="56">
        <v>1105.0</v>
      </c>
      <c r="E511" s="40">
        <f>IFERROR(__xludf.DUMMYFUNCTION("IF(C511="""", """", XLOOKUP(TRIM(C511), 'COTRATOS ALBUNS 25.2'!E:E, 'COTRATOS ALBUNS 25.2'!D:D, XLOOKUP(TRIM(C511), IMPORTRANGE(""16smdYggRVyzhu5y9HP2ayvW__ybkjb1nkVsCvZrByLM"", ""'COTRATOS 26.1'!B:B""), IMPORTRANGE(""16smdYggRVyzhu5y9HP2ayvW__ybkjb1nkVsC"&amp;"vZrByLM"", ""'COTRATOS 26.1'!A:A""), """")))"),94557.0)</f>
        <v>94557</v>
      </c>
      <c r="F511" s="57" t="s">
        <v>44</v>
      </c>
      <c r="G511" s="42" t="s">
        <v>57</v>
      </c>
      <c r="H511" s="43"/>
      <c r="I511" s="58" t="s">
        <v>1080</v>
      </c>
      <c r="J511" s="59"/>
      <c r="K511" s="53" t="s">
        <v>10</v>
      </c>
      <c r="L511" s="59"/>
      <c r="M511" s="59"/>
      <c r="N511" s="47" t="b">
        <v>0</v>
      </c>
      <c r="O511" s="8"/>
      <c r="P511" s="60"/>
      <c r="Q511" s="61"/>
      <c r="R511" s="51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</row>
    <row r="512">
      <c r="A512" s="53" t="b">
        <v>1</v>
      </c>
      <c r="B512" s="54">
        <v>46310.0</v>
      </c>
      <c r="C512" s="55" t="s">
        <v>1081</v>
      </c>
      <c r="D512" s="56">
        <v>1105.0</v>
      </c>
      <c r="E512" s="40">
        <f>IFERROR(__xludf.DUMMYFUNCTION("IF(C512="""", """", XLOOKUP(TRIM(C512), 'COTRATOS ALBUNS 25.2'!E:E, 'COTRATOS ALBUNS 25.2'!D:D, XLOOKUP(TRIM(C512), IMPORTRANGE(""16smdYggRVyzhu5y9HP2ayvW__ybkjb1nkVsCvZrByLM"", ""'COTRATOS 26.1'!B:B""), IMPORTRANGE(""16smdYggRVyzhu5y9HP2ayvW__ybkjb1nkVsC"&amp;"vZrByLM"", ""'COTRATOS 26.1'!A:A""), """")))"),94040.0)</f>
        <v>94040</v>
      </c>
      <c r="F512" s="57" t="s">
        <v>40</v>
      </c>
      <c r="G512" s="42" t="s">
        <v>57</v>
      </c>
      <c r="H512" s="43"/>
      <c r="I512" s="58" t="s">
        <v>1082</v>
      </c>
      <c r="J512" s="59"/>
      <c r="K512" s="53" t="s">
        <v>10</v>
      </c>
      <c r="L512" s="59"/>
      <c r="M512" s="59"/>
      <c r="N512" s="47" t="b">
        <v>0</v>
      </c>
      <c r="O512" s="8"/>
      <c r="P512" s="60"/>
      <c r="Q512" s="61"/>
      <c r="R512" s="51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</row>
    <row r="513">
      <c r="A513" s="53" t="b">
        <v>1</v>
      </c>
      <c r="B513" s="54">
        <v>46310.0</v>
      </c>
      <c r="C513" s="55" t="s">
        <v>1083</v>
      </c>
      <c r="D513" s="56">
        <v>1105.0</v>
      </c>
      <c r="E513" s="40">
        <f>IFERROR(__xludf.DUMMYFUNCTION("IF(C513="""", """", XLOOKUP(TRIM(C513), 'COTRATOS ALBUNS 25.2'!E:E, 'COTRATOS ALBUNS 25.2'!D:D, XLOOKUP(TRIM(C513), IMPORTRANGE(""16smdYggRVyzhu5y9HP2ayvW__ybkjb1nkVsCvZrByLM"", ""'COTRATOS 26.1'!B:B""), IMPORTRANGE(""16smdYggRVyzhu5y9HP2ayvW__ybkjb1nkVsC"&amp;"vZrByLM"", ""'COTRATOS 26.1'!A:A""), """")))"),94567.0)</f>
        <v>94567</v>
      </c>
      <c r="F513" s="57" t="s">
        <v>44</v>
      </c>
      <c r="G513" s="42" t="s">
        <v>57</v>
      </c>
      <c r="H513" s="43"/>
      <c r="I513" s="58" t="s">
        <v>1084</v>
      </c>
      <c r="J513" s="59"/>
      <c r="K513" s="53" t="s">
        <v>10</v>
      </c>
      <c r="L513" s="59"/>
      <c r="M513" s="59"/>
      <c r="N513" s="47" t="b">
        <v>0</v>
      </c>
      <c r="O513" s="8"/>
      <c r="P513" s="60"/>
      <c r="Q513" s="61"/>
      <c r="R513" s="51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</row>
    <row r="514">
      <c r="A514" s="53" t="b">
        <v>1</v>
      </c>
      <c r="B514" s="54">
        <v>46311.0</v>
      </c>
      <c r="C514" s="55" t="s">
        <v>1085</v>
      </c>
      <c r="D514" s="56">
        <v>1179.0</v>
      </c>
      <c r="E514" s="40">
        <f>IFERROR(__xludf.DUMMYFUNCTION("IF(C514="""", """", XLOOKUP(TRIM(C514), 'COTRATOS ALBUNS 25.2'!E:E, 'COTRATOS ALBUNS 25.2'!D:D, XLOOKUP(TRIM(C514), IMPORTRANGE(""16smdYggRVyzhu5y9HP2ayvW__ybkjb1nkVsCvZrByLM"", ""'COTRATOS 26.1'!B:B""), IMPORTRANGE(""16smdYggRVyzhu5y9HP2ayvW__ybkjb1nkVsC"&amp;"vZrByLM"", ""'COTRATOS 26.1'!A:A""), """")))"),95669.0)</f>
        <v>95669</v>
      </c>
      <c r="F514" s="57" t="s">
        <v>40</v>
      </c>
      <c r="G514" s="42" t="s">
        <v>1086</v>
      </c>
      <c r="H514" s="43"/>
      <c r="I514" s="58" t="s">
        <v>1087</v>
      </c>
      <c r="J514" s="59"/>
      <c r="K514" s="53" t="s">
        <v>10</v>
      </c>
      <c r="L514" s="59"/>
      <c r="M514" s="59"/>
      <c r="N514" s="47" t="b">
        <v>0</v>
      </c>
      <c r="O514" s="8"/>
      <c r="P514" s="60"/>
      <c r="Q514" s="61"/>
      <c r="R514" s="51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</row>
    <row r="515">
      <c r="A515" s="53" t="b">
        <v>1</v>
      </c>
      <c r="B515" s="54">
        <v>46312.0</v>
      </c>
      <c r="C515" s="55" t="s">
        <v>1088</v>
      </c>
      <c r="D515" s="56">
        <v>1099.0</v>
      </c>
      <c r="E515" s="40">
        <f>IFERROR(__xludf.DUMMYFUNCTION("IF(C515="""", """", XLOOKUP(TRIM(C515), 'COTRATOS ALBUNS 25.2'!E:E, 'COTRATOS ALBUNS 25.2'!D:D, XLOOKUP(TRIM(C515), IMPORTRANGE(""16smdYggRVyzhu5y9HP2ayvW__ybkjb1nkVsCvZrByLM"", ""'COTRATOS 26.1'!B:B""), IMPORTRANGE(""16smdYggRVyzhu5y9HP2ayvW__ybkjb1nkVsC"&amp;"vZrByLM"", ""'COTRATOS 26.1'!A:A""), """")))"),94848.0)</f>
        <v>94848</v>
      </c>
      <c r="F515" s="57" t="s">
        <v>44</v>
      </c>
      <c r="G515" s="42" t="s">
        <v>63</v>
      </c>
      <c r="H515" s="43"/>
      <c r="I515" s="44" t="s">
        <v>1089</v>
      </c>
      <c r="J515" s="59"/>
      <c r="K515" s="53" t="s">
        <v>10</v>
      </c>
      <c r="L515" s="59"/>
      <c r="M515" s="59"/>
      <c r="N515" s="47" t="b">
        <v>0</v>
      </c>
      <c r="O515" s="8"/>
      <c r="P515" s="60"/>
      <c r="Q515" s="61"/>
      <c r="R515" s="51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</row>
    <row r="516">
      <c r="A516" s="53" t="b">
        <v>1</v>
      </c>
      <c r="B516" s="54">
        <v>46310.0</v>
      </c>
      <c r="C516" s="55" t="s">
        <v>1090</v>
      </c>
      <c r="D516" s="56">
        <v>995.0</v>
      </c>
      <c r="E516" s="40">
        <f>IFERROR(__xludf.DUMMYFUNCTION("IF(C516="""", """", XLOOKUP(TRIM(C516), 'COTRATOS ALBUNS 25.2'!E:E, 'COTRATOS ALBUNS 25.2'!D:D, XLOOKUP(TRIM(C516), IMPORTRANGE(""16smdYggRVyzhu5y9HP2ayvW__ybkjb1nkVsCvZrByLM"", ""'COTRATOS 26.1'!B:B""), IMPORTRANGE(""16smdYggRVyzhu5y9HP2ayvW__ybkjb1nkVsC"&amp;"vZrByLM"", ""'COTRATOS 26.1'!A:A""), """")))"),85795.0)</f>
        <v>85795</v>
      </c>
      <c r="F516" s="57" t="s">
        <v>44</v>
      </c>
      <c r="G516" s="42" t="s">
        <v>91</v>
      </c>
      <c r="H516" s="43"/>
      <c r="I516" s="58" t="s">
        <v>1091</v>
      </c>
      <c r="J516" s="59"/>
      <c r="K516" s="53" t="s">
        <v>10</v>
      </c>
      <c r="L516" s="59"/>
      <c r="M516" s="59"/>
      <c r="N516" s="47" t="b">
        <v>0</v>
      </c>
      <c r="O516" s="8"/>
      <c r="P516" s="60"/>
      <c r="Q516" s="61"/>
      <c r="R516" s="51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</row>
    <row r="517">
      <c r="A517" s="53" t="b">
        <v>1</v>
      </c>
      <c r="B517" s="54">
        <v>46310.0</v>
      </c>
      <c r="C517" s="55" t="s">
        <v>1092</v>
      </c>
      <c r="D517" s="56">
        <v>1099.0</v>
      </c>
      <c r="E517" s="40">
        <f>IFERROR(__xludf.DUMMYFUNCTION("IF(C517="""", """", XLOOKUP(TRIM(C517), 'COTRATOS ALBUNS 25.2'!E:E, 'COTRATOS ALBUNS 25.2'!D:D, XLOOKUP(TRIM(C517), IMPORTRANGE(""16smdYggRVyzhu5y9HP2ayvW__ybkjb1nkVsCvZrByLM"", ""'COTRATOS 26.1'!B:B""), IMPORTRANGE(""16smdYggRVyzhu5y9HP2ayvW__ybkjb1nkVsC"&amp;"vZrByLM"", ""'COTRATOS 26.1'!A:A""), """")))"),95093.0)</f>
        <v>95093</v>
      </c>
      <c r="F517" s="57" t="s">
        <v>40</v>
      </c>
      <c r="G517" s="42" t="s">
        <v>1093</v>
      </c>
      <c r="H517" s="43"/>
      <c r="I517" s="58" t="s">
        <v>1094</v>
      </c>
      <c r="J517" s="59"/>
      <c r="K517" s="53" t="s">
        <v>10</v>
      </c>
      <c r="L517" s="59"/>
      <c r="M517" s="59"/>
      <c r="N517" s="47" t="b">
        <v>0</v>
      </c>
      <c r="O517" s="8"/>
      <c r="P517" s="60"/>
      <c r="Q517" s="61"/>
      <c r="R517" s="51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</row>
    <row r="518">
      <c r="A518" s="53" t="b">
        <v>1</v>
      </c>
      <c r="B518" s="54">
        <v>46309.0</v>
      </c>
      <c r="C518" s="55" t="s">
        <v>1095</v>
      </c>
      <c r="D518" s="56">
        <v>954.0</v>
      </c>
      <c r="E518" s="40">
        <f>IFERROR(__xludf.DUMMYFUNCTION("IF(C518="""", """", XLOOKUP(TRIM(C518), 'COTRATOS ALBUNS 25.2'!E:E, 'COTRATOS ALBUNS 25.2'!D:D, XLOOKUP(TRIM(C518), IMPORTRANGE(""16smdYggRVyzhu5y9HP2ayvW__ybkjb1nkVsCvZrByLM"", ""'COTRATOS 26.1'!B:B""), IMPORTRANGE(""16smdYggRVyzhu5y9HP2ayvW__ybkjb1nkVsC"&amp;"vZrByLM"", ""'COTRATOS 26.1'!A:A""), """")))"),71001.0)</f>
        <v>71001</v>
      </c>
      <c r="F518" s="57" t="s">
        <v>56</v>
      </c>
      <c r="G518" s="114"/>
      <c r="H518" s="43"/>
      <c r="I518" s="58" t="s">
        <v>1096</v>
      </c>
      <c r="J518" s="59"/>
      <c r="K518" s="53" t="s">
        <v>10</v>
      </c>
      <c r="L518" s="59"/>
      <c r="M518" s="59"/>
      <c r="N518" s="47" t="b">
        <v>0</v>
      </c>
      <c r="O518" s="8"/>
      <c r="P518" s="60"/>
      <c r="Q518" s="61"/>
      <c r="R518" s="51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</row>
    <row r="519">
      <c r="A519" s="53" t="b">
        <v>1</v>
      </c>
      <c r="B519" s="54">
        <v>46314.0</v>
      </c>
      <c r="C519" s="55" t="s">
        <v>1097</v>
      </c>
      <c r="D519" s="56">
        <v>962.0</v>
      </c>
      <c r="E519" s="40">
        <f>IFERROR(__xludf.DUMMYFUNCTION("IF(C519="""", """", XLOOKUP(TRIM(C519), 'COTRATOS ALBUNS 25.2'!E:E, 'COTRATOS ALBUNS 25.2'!D:D, XLOOKUP(TRIM(C519), IMPORTRANGE(""16smdYggRVyzhu5y9HP2ayvW__ybkjb1nkVsCvZrByLM"", ""'COTRATOS 26.1'!B:B""), IMPORTRANGE(""16smdYggRVyzhu5y9HP2ayvW__ybkjb1nkVsC"&amp;"vZrByLM"", ""'COTRATOS 26.1'!A:A""), """")))"),94244.0)</f>
        <v>94244</v>
      </c>
      <c r="F519" s="57" t="s">
        <v>44</v>
      </c>
      <c r="G519" s="42" t="s">
        <v>67</v>
      </c>
      <c r="H519" s="43"/>
      <c r="I519" s="44" t="s">
        <v>1098</v>
      </c>
      <c r="J519" s="59"/>
      <c r="K519" s="53" t="s">
        <v>10</v>
      </c>
      <c r="L519" s="59"/>
      <c r="M519" s="59"/>
      <c r="N519" s="47" t="b">
        <v>0</v>
      </c>
      <c r="O519" s="8"/>
      <c r="P519" s="60"/>
      <c r="Q519" s="61"/>
      <c r="R519" s="51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</row>
    <row r="520">
      <c r="A520" s="53" t="b">
        <v>1</v>
      </c>
      <c r="B520" s="54">
        <v>46309.0</v>
      </c>
      <c r="C520" s="55" t="s">
        <v>1099</v>
      </c>
      <c r="D520" s="56">
        <v>996.0</v>
      </c>
      <c r="E520" s="40">
        <f>IFERROR(__xludf.DUMMYFUNCTION("IF(C520="""", """", XLOOKUP(TRIM(C520), 'COTRATOS ALBUNS 25.2'!E:E, 'COTRATOS ALBUNS 25.2'!D:D, XLOOKUP(TRIM(C520), IMPORTRANGE(""16smdYggRVyzhu5y9HP2ayvW__ybkjb1nkVsCvZrByLM"", ""'COTRATOS 26.1'!B:B""), IMPORTRANGE(""16smdYggRVyzhu5y9HP2ayvW__ybkjb1nkVsC"&amp;"vZrByLM"", ""'COTRATOS 26.1'!A:A""), """")))"),93325.0)</f>
        <v>93325</v>
      </c>
      <c r="F520" s="57" t="s">
        <v>56</v>
      </c>
      <c r="G520" s="114"/>
      <c r="H520" s="43"/>
      <c r="I520" s="44" t="s">
        <v>1100</v>
      </c>
      <c r="J520" s="59"/>
      <c r="K520" s="53" t="s">
        <v>10</v>
      </c>
      <c r="L520" s="59"/>
      <c r="M520" s="59"/>
      <c r="N520" s="47" t="b">
        <v>0</v>
      </c>
      <c r="O520" s="8"/>
      <c r="P520" s="60"/>
      <c r="Q520" s="61"/>
      <c r="R520" s="51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</row>
    <row r="521">
      <c r="A521" s="53" t="b">
        <v>1</v>
      </c>
      <c r="B521" s="54">
        <v>46312.0</v>
      </c>
      <c r="C521" s="55" t="s">
        <v>1101</v>
      </c>
      <c r="D521" s="56">
        <v>972.0</v>
      </c>
      <c r="E521" s="40">
        <f>IFERROR(__xludf.DUMMYFUNCTION("IF(C521="""", """", XLOOKUP(TRIM(C521), 'COTRATOS ALBUNS 25.2'!E:E, 'COTRATOS ALBUNS 25.2'!D:D, XLOOKUP(TRIM(C521), IMPORTRANGE(""16smdYggRVyzhu5y9HP2ayvW__ybkjb1nkVsCvZrByLM"", ""'COTRATOS 26.1'!B:B""), IMPORTRANGE(""16smdYggRVyzhu5y9HP2ayvW__ybkjb1nkVsC"&amp;"vZrByLM"", ""'COTRATOS 26.1'!A:A""), """")))"),92082.0)</f>
        <v>92082</v>
      </c>
      <c r="F521" s="57" t="s">
        <v>56</v>
      </c>
      <c r="G521" s="114"/>
      <c r="H521" s="43"/>
      <c r="I521" s="44" t="s">
        <v>1102</v>
      </c>
      <c r="J521" s="59"/>
      <c r="K521" s="53" t="s">
        <v>10</v>
      </c>
      <c r="L521" s="59"/>
      <c r="M521" s="59"/>
      <c r="N521" s="47" t="b">
        <v>0</v>
      </c>
      <c r="O521" s="8"/>
      <c r="P521" s="60"/>
      <c r="Q521" s="61"/>
      <c r="R521" s="51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</row>
    <row r="522">
      <c r="A522" s="53" t="b">
        <v>1</v>
      </c>
      <c r="B522" s="54">
        <v>46311.0</v>
      </c>
      <c r="C522" s="55" t="s">
        <v>1103</v>
      </c>
      <c r="D522" s="56">
        <v>954.0</v>
      </c>
      <c r="E522" s="40">
        <f>IFERROR(__xludf.DUMMYFUNCTION("IF(C522="""", """", XLOOKUP(TRIM(C522), 'COTRATOS ALBUNS 25.2'!E:E, 'COTRATOS ALBUNS 25.2'!D:D, XLOOKUP(TRIM(C522), IMPORTRANGE(""16smdYggRVyzhu5y9HP2ayvW__ybkjb1nkVsCvZrByLM"", ""'COTRATOS 26.1'!B:B""), IMPORTRANGE(""16smdYggRVyzhu5y9HP2ayvW__ybkjb1nkVsC"&amp;"vZrByLM"", ""'COTRATOS 26.1'!A:A""), """")))"),91333.0)</f>
        <v>91333</v>
      </c>
      <c r="F522" s="57" t="s">
        <v>40</v>
      </c>
      <c r="G522" s="114"/>
      <c r="H522" s="43"/>
      <c r="I522" s="44" t="s">
        <v>1104</v>
      </c>
      <c r="J522" s="59"/>
      <c r="K522" s="53" t="s">
        <v>10</v>
      </c>
      <c r="L522" s="59"/>
      <c r="M522" s="59"/>
      <c r="N522" s="47" t="b">
        <v>0</v>
      </c>
      <c r="O522" s="8"/>
      <c r="P522" s="60"/>
      <c r="Q522" s="61"/>
      <c r="R522" s="51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</row>
    <row r="523">
      <c r="A523" s="53" t="b">
        <v>1</v>
      </c>
      <c r="B523" s="54">
        <v>46310.0</v>
      </c>
      <c r="C523" s="55" t="s">
        <v>1105</v>
      </c>
      <c r="D523" s="56">
        <v>1085.0</v>
      </c>
      <c r="E523" s="40">
        <f>IFERROR(__xludf.DUMMYFUNCTION("IF(C523="""", """", XLOOKUP(TRIM(C523), 'COTRATOS ALBUNS 25.2'!E:E, 'COTRATOS ALBUNS 25.2'!D:D, XLOOKUP(TRIM(C523), IMPORTRANGE(""16smdYggRVyzhu5y9HP2ayvW__ybkjb1nkVsCvZrByLM"", ""'COTRATOS 26.1'!B:B""), IMPORTRANGE(""16smdYggRVyzhu5y9HP2ayvW__ybkjb1nkVsC"&amp;"vZrByLM"", ""'COTRATOS 26.1'!A:A""), """")))"),78963.0)</f>
        <v>78963</v>
      </c>
      <c r="F523" s="57" t="s">
        <v>40</v>
      </c>
      <c r="G523" s="114"/>
      <c r="H523" s="43"/>
      <c r="I523" s="44" t="s">
        <v>1106</v>
      </c>
      <c r="J523" s="59"/>
      <c r="K523" s="53" t="s">
        <v>10</v>
      </c>
      <c r="L523" s="59"/>
      <c r="M523" s="59"/>
      <c r="N523" s="47" t="b">
        <v>0</v>
      </c>
      <c r="O523" s="8"/>
      <c r="P523" s="60"/>
      <c r="Q523" s="61"/>
      <c r="R523" s="51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</row>
    <row r="524">
      <c r="A524" s="53" t="b">
        <v>1</v>
      </c>
      <c r="B524" s="54">
        <v>46310.0</v>
      </c>
      <c r="C524" s="55" t="s">
        <v>1107</v>
      </c>
      <c r="D524" s="56">
        <v>954.0</v>
      </c>
      <c r="E524" s="40">
        <f>IFERROR(__xludf.DUMMYFUNCTION("IF(C524="""", """", XLOOKUP(TRIM(C524), 'COTRATOS ALBUNS 25.2'!E:E, 'COTRATOS ALBUNS 25.2'!D:D, XLOOKUP(TRIM(C524), IMPORTRANGE(""16smdYggRVyzhu5y9HP2ayvW__ybkjb1nkVsCvZrByLM"", ""'COTRATOS 26.1'!B:B""), IMPORTRANGE(""16smdYggRVyzhu5y9HP2ayvW__ybkjb1nkVsC"&amp;"vZrByLM"", ""'COTRATOS 26.1'!A:A""), """")))"),77791.0)</f>
        <v>77791</v>
      </c>
      <c r="F524" s="57" t="s">
        <v>40</v>
      </c>
      <c r="G524" s="114"/>
      <c r="H524" s="43"/>
      <c r="I524" s="58" t="s">
        <v>1108</v>
      </c>
      <c r="J524" s="59"/>
      <c r="K524" s="53" t="s">
        <v>10</v>
      </c>
      <c r="L524" s="59"/>
      <c r="M524" s="59"/>
      <c r="N524" s="47" t="b">
        <v>0</v>
      </c>
      <c r="O524" s="8"/>
      <c r="P524" s="60"/>
      <c r="Q524" s="61"/>
      <c r="R524" s="51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</row>
    <row r="525">
      <c r="A525" s="53" t="b">
        <v>1</v>
      </c>
      <c r="B525" s="54">
        <v>46310.0</v>
      </c>
      <c r="C525" s="55" t="s">
        <v>1109</v>
      </c>
      <c r="D525" s="56">
        <v>954.0</v>
      </c>
      <c r="E525" s="40">
        <f>IFERROR(__xludf.DUMMYFUNCTION("IF(C525="""", """", XLOOKUP(TRIM(C525), 'COTRATOS ALBUNS 25.2'!E:E, 'COTRATOS ALBUNS 25.2'!D:D, XLOOKUP(TRIM(C525), IMPORTRANGE(""16smdYggRVyzhu5y9HP2ayvW__ybkjb1nkVsCvZrByLM"", ""'COTRATOS 26.1'!B:B""), IMPORTRANGE(""16smdYggRVyzhu5y9HP2ayvW__ybkjb1nkVsC"&amp;"vZrByLM"", ""'COTRATOS 26.1'!A:A""), """")))"),91313.0)</f>
        <v>91313</v>
      </c>
      <c r="F525" s="57" t="s">
        <v>44</v>
      </c>
      <c r="G525" s="42" t="s">
        <v>91</v>
      </c>
      <c r="H525" s="43"/>
      <c r="I525" s="44" t="s">
        <v>1110</v>
      </c>
      <c r="J525" s="59"/>
      <c r="K525" s="53" t="s">
        <v>10</v>
      </c>
      <c r="L525" s="59"/>
      <c r="M525" s="59"/>
      <c r="N525" s="47" t="b">
        <v>0</v>
      </c>
      <c r="O525" s="8"/>
      <c r="P525" s="60"/>
      <c r="Q525" s="61"/>
      <c r="R525" s="51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</row>
    <row r="526">
      <c r="A526" s="53" t="b">
        <v>1</v>
      </c>
      <c r="B526" s="54">
        <v>46312.0</v>
      </c>
      <c r="C526" s="55" t="s">
        <v>1111</v>
      </c>
      <c r="D526" s="56">
        <v>1172.0</v>
      </c>
      <c r="E526" s="40">
        <f>IFERROR(__xludf.DUMMYFUNCTION("IF(C526="""", """", XLOOKUP(TRIM(C526), 'COTRATOS ALBUNS 25.2'!E:E, 'COTRATOS ALBUNS 25.2'!D:D, XLOOKUP(TRIM(C526), IMPORTRANGE(""16smdYggRVyzhu5y9HP2ayvW__ybkjb1nkVsCvZrByLM"", ""'COTRATOS 26.1'!B:B""), IMPORTRANGE(""16smdYggRVyzhu5y9HP2ayvW__ybkjb1nkVsC"&amp;"vZrByLM"", ""'COTRATOS 26.1'!A:A""), """")))"),85665.0)</f>
        <v>85665</v>
      </c>
      <c r="F526" s="57" t="s">
        <v>56</v>
      </c>
      <c r="G526" s="114"/>
      <c r="H526" s="43"/>
      <c r="I526" s="44" t="s">
        <v>1112</v>
      </c>
      <c r="J526" s="59"/>
      <c r="K526" s="53" t="s">
        <v>17</v>
      </c>
      <c r="L526" s="59"/>
      <c r="M526" s="59"/>
      <c r="N526" s="47" t="b">
        <v>0</v>
      </c>
      <c r="O526" s="8"/>
      <c r="P526" s="60"/>
      <c r="Q526" s="61"/>
      <c r="R526" s="51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</row>
    <row r="527">
      <c r="A527" s="53" t="b">
        <v>1</v>
      </c>
      <c r="B527" s="54">
        <v>46314.0</v>
      </c>
      <c r="C527" s="55" t="s">
        <v>1113</v>
      </c>
      <c r="D527" s="56">
        <v>1172.0</v>
      </c>
      <c r="E527" s="40">
        <f>IFERROR(__xludf.DUMMYFUNCTION("IF(C527="""", """", XLOOKUP(TRIM(C527), 'COTRATOS ALBUNS 25.2'!E:E, 'COTRATOS ALBUNS 25.2'!D:D, XLOOKUP(TRIM(C527), IMPORTRANGE(""16smdYggRVyzhu5y9HP2ayvW__ybkjb1nkVsCvZrByLM"", ""'COTRATOS 26.1'!B:B""), IMPORTRANGE(""16smdYggRVyzhu5y9HP2ayvW__ybkjb1nkVsC"&amp;"vZrByLM"", ""'COTRATOS 26.1'!A:A""), """")))"),87011.0)</f>
        <v>87011</v>
      </c>
      <c r="F527" s="57" t="s">
        <v>74</v>
      </c>
      <c r="G527" s="42" t="s">
        <v>45</v>
      </c>
      <c r="H527" s="43" t="s">
        <v>1114</v>
      </c>
      <c r="I527" s="44" t="s">
        <v>1115</v>
      </c>
      <c r="J527" s="59"/>
      <c r="K527" s="53" t="s">
        <v>17</v>
      </c>
      <c r="L527" s="59"/>
      <c r="M527" s="59"/>
      <c r="N527" s="47" t="b">
        <v>0</v>
      </c>
      <c r="O527" s="8"/>
      <c r="P527" s="60"/>
      <c r="Q527" s="61"/>
      <c r="R527" s="51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</row>
    <row r="528">
      <c r="A528" s="53" t="b">
        <v>1</v>
      </c>
      <c r="B528" s="54">
        <v>46310.0</v>
      </c>
      <c r="C528" s="55" t="s">
        <v>1116</v>
      </c>
      <c r="D528" s="56">
        <v>994.0</v>
      </c>
      <c r="E528" s="40">
        <f>IFERROR(__xludf.DUMMYFUNCTION("IF(C528="""", """", XLOOKUP(TRIM(C528), 'COTRATOS ALBUNS 25.2'!E:E, 'COTRATOS ALBUNS 25.2'!D:D, XLOOKUP(TRIM(C528), IMPORTRANGE(""16smdYggRVyzhu5y9HP2ayvW__ybkjb1nkVsCvZrByLM"", ""'COTRATOS 26.1'!B:B""), IMPORTRANGE(""16smdYggRVyzhu5y9HP2ayvW__ybkjb1nkVsC"&amp;"vZrByLM"", ""'COTRATOS 26.1'!A:A""), """")))"),88028.0)</f>
        <v>88028</v>
      </c>
      <c r="F528" s="57" t="s">
        <v>56</v>
      </c>
      <c r="G528" s="114"/>
      <c r="H528" s="43"/>
      <c r="I528" s="44" t="s">
        <v>1117</v>
      </c>
      <c r="J528" s="59"/>
      <c r="K528" s="53" t="s">
        <v>10</v>
      </c>
      <c r="L528" s="59"/>
      <c r="M528" s="59"/>
      <c r="N528" s="47" t="b">
        <v>0</v>
      </c>
      <c r="O528" s="8"/>
      <c r="P528" s="60"/>
      <c r="Q528" s="61"/>
      <c r="R528" s="51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</row>
    <row r="529">
      <c r="A529" s="59" t="b">
        <v>0</v>
      </c>
      <c r="B529" s="54"/>
      <c r="C529" s="55"/>
      <c r="D529" s="56"/>
      <c r="E529" s="40"/>
      <c r="F529" s="57"/>
      <c r="G529" s="114"/>
      <c r="H529" s="43"/>
      <c r="I529" s="164"/>
      <c r="J529" s="59"/>
      <c r="K529" s="53"/>
      <c r="L529" s="59"/>
      <c r="M529" s="59"/>
      <c r="N529" s="47" t="b">
        <v>0</v>
      </c>
      <c r="O529" s="8"/>
      <c r="P529" s="60"/>
      <c r="Q529" s="61"/>
      <c r="R529" s="51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</row>
    <row r="530">
      <c r="A530" s="59" t="b">
        <v>0</v>
      </c>
      <c r="B530" s="54"/>
      <c r="C530" s="55"/>
      <c r="D530" s="56"/>
      <c r="E530" s="40"/>
      <c r="F530" s="57"/>
      <c r="G530" s="114"/>
      <c r="H530" s="43"/>
      <c r="I530" s="164"/>
      <c r="J530" s="59"/>
      <c r="K530" s="53"/>
      <c r="L530" s="59"/>
      <c r="M530" s="59"/>
      <c r="N530" s="47" t="b">
        <v>0</v>
      </c>
      <c r="O530" s="8"/>
      <c r="P530" s="60"/>
      <c r="Q530" s="61"/>
      <c r="R530" s="51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</row>
    <row r="531">
      <c r="A531" s="59" t="b">
        <v>0</v>
      </c>
      <c r="B531" s="54"/>
      <c r="C531" s="55"/>
      <c r="D531" s="56"/>
      <c r="E531" s="40"/>
      <c r="F531" s="57"/>
      <c r="G531" s="114"/>
      <c r="H531" s="43"/>
      <c r="I531" s="164"/>
      <c r="J531" s="59"/>
      <c r="K531" s="53"/>
      <c r="L531" s="59"/>
      <c r="M531" s="59"/>
      <c r="N531" s="47" t="b">
        <v>0</v>
      </c>
      <c r="O531" s="8"/>
      <c r="P531" s="60"/>
      <c r="Q531" s="61"/>
      <c r="R531" s="51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</row>
    <row r="532">
      <c r="A532" s="59" t="b">
        <v>0</v>
      </c>
      <c r="B532" s="54"/>
      <c r="C532" s="55"/>
      <c r="D532" s="56"/>
      <c r="E532" s="40"/>
      <c r="F532" s="57"/>
      <c r="G532" s="114"/>
      <c r="H532" s="43"/>
      <c r="I532" s="164"/>
      <c r="J532" s="59"/>
      <c r="K532" s="53"/>
      <c r="L532" s="59"/>
      <c r="M532" s="59"/>
      <c r="N532" s="47" t="b">
        <v>0</v>
      </c>
      <c r="O532" s="8"/>
      <c r="P532" s="60"/>
      <c r="Q532" s="61"/>
      <c r="R532" s="51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</row>
    <row r="533">
      <c r="A533" s="59" t="b">
        <v>0</v>
      </c>
      <c r="B533" s="54"/>
      <c r="C533" s="55"/>
      <c r="D533" s="56"/>
      <c r="E533" s="40"/>
      <c r="F533" s="57"/>
      <c r="G533" s="114"/>
      <c r="H533" s="43"/>
      <c r="I533" s="164"/>
      <c r="J533" s="59"/>
      <c r="K533" s="53"/>
      <c r="L533" s="59"/>
      <c r="M533" s="59"/>
      <c r="N533" s="47" t="b">
        <v>0</v>
      </c>
      <c r="O533" s="8"/>
      <c r="P533" s="60"/>
      <c r="Q533" s="61"/>
      <c r="R533" s="51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</row>
    <row r="534">
      <c r="A534" s="59" t="b">
        <v>0</v>
      </c>
      <c r="B534" s="54"/>
      <c r="C534" s="55"/>
      <c r="D534" s="56"/>
      <c r="E534" s="40"/>
      <c r="F534" s="57"/>
      <c r="G534" s="114"/>
      <c r="H534" s="43"/>
      <c r="I534" s="164"/>
      <c r="J534" s="59"/>
      <c r="K534" s="53"/>
      <c r="L534" s="59"/>
      <c r="M534" s="59"/>
      <c r="N534" s="47" t="b">
        <v>0</v>
      </c>
      <c r="O534" s="8"/>
      <c r="P534" s="60"/>
      <c r="Q534" s="61"/>
      <c r="R534" s="51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</row>
    <row r="535">
      <c r="A535" s="59" t="b">
        <v>0</v>
      </c>
      <c r="B535" s="54"/>
      <c r="C535" s="55"/>
      <c r="D535" s="56"/>
      <c r="E535" s="40"/>
      <c r="F535" s="57"/>
      <c r="G535" s="114"/>
      <c r="H535" s="43"/>
      <c r="I535" s="164"/>
      <c r="J535" s="59"/>
      <c r="K535" s="53"/>
      <c r="L535" s="59"/>
      <c r="M535" s="59"/>
      <c r="N535" s="47" t="b">
        <v>0</v>
      </c>
      <c r="O535" s="8"/>
      <c r="P535" s="60"/>
      <c r="Q535" s="61"/>
      <c r="R535" s="51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</row>
    <row r="536">
      <c r="A536" s="59" t="b">
        <v>0</v>
      </c>
      <c r="B536" s="54"/>
      <c r="C536" s="55"/>
      <c r="D536" s="56"/>
      <c r="E536" s="40"/>
      <c r="F536" s="57"/>
      <c r="G536" s="114"/>
      <c r="H536" s="43"/>
      <c r="I536" s="164"/>
      <c r="J536" s="59"/>
      <c r="K536" s="53"/>
      <c r="L536" s="59"/>
      <c r="M536" s="59"/>
      <c r="N536" s="47" t="b">
        <v>0</v>
      </c>
      <c r="O536" s="8"/>
      <c r="P536" s="60"/>
      <c r="Q536" s="61"/>
      <c r="R536" s="51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</row>
    <row r="537">
      <c r="A537" s="59" t="b">
        <v>0</v>
      </c>
      <c r="B537" s="54"/>
      <c r="C537" s="55"/>
      <c r="D537" s="56"/>
      <c r="E537" s="40"/>
      <c r="F537" s="57"/>
      <c r="G537" s="114"/>
      <c r="H537" s="43"/>
      <c r="I537" s="164"/>
      <c r="J537" s="59"/>
      <c r="K537" s="53"/>
      <c r="L537" s="59"/>
      <c r="M537" s="59"/>
      <c r="N537" s="47" t="b">
        <v>0</v>
      </c>
      <c r="O537" s="8"/>
      <c r="P537" s="60"/>
      <c r="Q537" s="61"/>
      <c r="R537" s="51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</row>
    <row r="538">
      <c r="A538" s="59" t="b">
        <v>0</v>
      </c>
      <c r="B538" s="54"/>
      <c r="C538" s="55"/>
      <c r="D538" s="56"/>
      <c r="E538" s="40"/>
      <c r="F538" s="57"/>
      <c r="G538" s="114"/>
      <c r="H538" s="43"/>
      <c r="I538" s="164"/>
      <c r="J538" s="59"/>
      <c r="K538" s="53"/>
      <c r="L538" s="59"/>
      <c r="M538" s="59"/>
      <c r="N538" s="47" t="b">
        <v>0</v>
      </c>
      <c r="O538" s="8"/>
      <c r="P538" s="60"/>
      <c r="Q538" s="61"/>
      <c r="R538" s="51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</row>
    <row r="539">
      <c r="A539" s="59" t="b">
        <v>0</v>
      </c>
      <c r="B539" s="54"/>
      <c r="C539" s="55"/>
      <c r="D539" s="56"/>
      <c r="E539" s="40"/>
      <c r="F539" s="57"/>
      <c r="G539" s="114"/>
      <c r="H539" s="43"/>
      <c r="I539" s="164"/>
      <c r="J539" s="59"/>
      <c r="K539" s="53"/>
      <c r="L539" s="59"/>
      <c r="M539" s="59"/>
      <c r="N539" s="47" t="b">
        <v>0</v>
      </c>
      <c r="O539" s="8"/>
      <c r="P539" s="60"/>
      <c r="Q539" s="61"/>
      <c r="R539" s="51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</row>
    <row r="540">
      <c r="A540" s="59" t="b">
        <v>0</v>
      </c>
      <c r="B540" s="54"/>
      <c r="C540" s="55"/>
      <c r="D540" s="56"/>
      <c r="E540" s="40"/>
      <c r="F540" s="57"/>
      <c r="G540" s="114"/>
      <c r="H540" s="43"/>
      <c r="I540" s="164"/>
      <c r="J540" s="59"/>
      <c r="K540" s="53"/>
      <c r="L540" s="59"/>
      <c r="M540" s="59"/>
      <c r="N540" s="47" t="b">
        <v>0</v>
      </c>
      <c r="O540" s="8"/>
      <c r="P540" s="60"/>
      <c r="Q540" s="61"/>
      <c r="R540" s="51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</row>
    <row r="541">
      <c r="A541" s="59" t="b">
        <v>0</v>
      </c>
      <c r="B541" s="54"/>
      <c r="C541" s="55"/>
      <c r="D541" s="56"/>
      <c r="E541" s="40"/>
      <c r="F541" s="57"/>
      <c r="G541" s="114"/>
      <c r="H541" s="43"/>
      <c r="I541" s="164"/>
      <c r="J541" s="59"/>
      <c r="K541" s="53"/>
      <c r="L541" s="59"/>
      <c r="M541" s="59"/>
      <c r="N541" s="47" t="b">
        <v>0</v>
      </c>
      <c r="O541" s="8"/>
      <c r="P541" s="60"/>
      <c r="Q541" s="61"/>
      <c r="R541" s="51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</row>
    <row r="542">
      <c r="A542" s="59" t="b">
        <v>0</v>
      </c>
      <c r="B542" s="54"/>
      <c r="C542" s="55"/>
      <c r="D542" s="56"/>
      <c r="E542" s="40"/>
      <c r="F542" s="57"/>
      <c r="G542" s="114"/>
      <c r="H542" s="43"/>
      <c r="I542" s="164"/>
      <c r="J542" s="59"/>
      <c r="K542" s="53"/>
      <c r="L542" s="59"/>
      <c r="M542" s="59"/>
      <c r="N542" s="47" t="b">
        <v>0</v>
      </c>
      <c r="O542" s="8"/>
      <c r="P542" s="60"/>
      <c r="Q542" s="61"/>
      <c r="R542" s="51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</row>
    <row r="543">
      <c r="A543" s="59" t="b">
        <v>0</v>
      </c>
      <c r="B543" s="54"/>
      <c r="C543" s="55"/>
      <c r="D543" s="56"/>
      <c r="E543" s="40"/>
      <c r="F543" s="57"/>
      <c r="G543" s="114"/>
      <c r="H543" s="43"/>
      <c r="I543" s="164"/>
      <c r="J543" s="59"/>
      <c r="K543" s="53"/>
      <c r="L543" s="59"/>
      <c r="M543" s="59"/>
      <c r="N543" s="47" t="b">
        <v>0</v>
      </c>
      <c r="O543" s="8"/>
      <c r="P543" s="60"/>
      <c r="Q543" s="61"/>
      <c r="R543" s="51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</row>
    <row r="544">
      <c r="A544" s="59" t="b">
        <v>0</v>
      </c>
      <c r="B544" s="54"/>
      <c r="C544" s="55"/>
      <c r="D544" s="56"/>
      <c r="E544" s="40"/>
      <c r="F544" s="57"/>
      <c r="G544" s="114"/>
      <c r="H544" s="43"/>
      <c r="I544" s="164"/>
      <c r="J544" s="59"/>
      <c r="K544" s="53"/>
      <c r="L544" s="59"/>
      <c r="M544" s="59"/>
      <c r="N544" s="47" t="b">
        <v>0</v>
      </c>
      <c r="O544" s="8"/>
      <c r="P544" s="60"/>
      <c r="Q544" s="61"/>
      <c r="R544" s="51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</row>
    <row r="545">
      <c r="A545" s="59" t="b">
        <v>0</v>
      </c>
      <c r="B545" s="54"/>
      <c r="C545" s="55"/>
      <c r="D545" s="56"/>
      <c r="E545" s="40"/>
      <c r="F545" s="57"/>
      <c r="G545" s="114"/>
      <c r="H545" s="43"/>
      <c r="I545" s="164"/>
      <c r="J545" s="59"/>
      <c r="K545" s="53"/>
      <c r="L545" s="59"/>
      <c r="M545" s="59"/>
      <c r="N545" s="47" t="b">
        <v>0</v>
      </c>
      <c r="O545" s="8"/>
      <c r="P545" s="60"/>
      <c r="Q545" s="61"/>
      <c r="R545" s="51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</row>
    <row r="546">
      <c r="A546" s="59" t="b">
        <v>0</v>
      </c>
      <c r="B546" s="54"/>
      <c r="C546" s="55"/>
      <c r="D546" s="56"/>
      <c r="E546" s="40"/>
      <c r="F546" s="57"/>
      <c r="G546" s="114"/>
      <c r="H546" s="43"/>
      <c r="I546" s="164"/>
      <c r="J546" s="59"/>
      <c r="K546" s="53"/>
      <c r="L546" s="59"/>
      <c r="M546" s="59"/>
      <c r="N546" s="47" t="b">
        <v>0</v>
      </c>
      <c r="O546" s="8"/>
      <c r="P546" s="60"/>
      <c r="Q546" s="61"/>
      <c r="R546" s="51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</row>
    <row r="547">
      <c r="A547" s="59" t="b">
        <v>0</v>
      </c>
      <c r="B547" s="54"/>
      <c r="C547" s="55"/>
      <c r="D547" s="56"/>
      <c r="E547" s="40"/>
      <c r="F547" s="57"/>
      <c r="G547" s="114"/>
      <c r="H547" s="43"/>
      <c r="I547" s="164"/>
      <c r="J547" s="59"/>
      <c r="K547" s="53"/>
      <c r="L547" s="59"/>
      <c r="M547" s="59"/>
      <c r="N547" s="47" t="b">
        <v>0</v>
      </c>
      <c r="O547" s="8"/>
      <c r="P547" s="60"/>
      <c r="Q547" s="61"/>
      <c r="R547" s="51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</row>
    <row r="548">
      <c r="A548" s="59" t="b">
        <v>0</v>
      </c>
      <c r="B548" s="54"/>
      <c r="C548" s="55"/>
      <c r="D548" s="56"/>
      <c r="E548" s="40"/>
      <c r="F548" s="57"/>
      <c r="G548" s="114"/>
      <c r="H548" s="43"/>
      <c r="I548" s="164"/>
      <c r="J548" s="59"/>
      <c r="K548" s="53"/>
      <c r="L548" s="59"/>
      <c r="M548" s="59"/>
      <c r="N548" s="47" t="b">
        <v>0</v>
      </c>
      <c r="O548" s="8"/>
      <c r="P548" s="60"/>
      <c r="Q548" s="61"/>
      <c r="R548" s="51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</row>
    <row r="549">
      <c r="A549" s="59" t="b">
        <v>0</v>
      </c>
      <c r="B549" s="54"/>
      <c r="C549" s="55"/>
      <c r="D549" s="56"/>
      <c r="E549" s="40"/>
      <c r="F549" s="57"/>
      <c r="G549" s="114"/>
      <c r="H549" s="43"/>
      <c r="I549" s="164"/>
      <c r="J549" s="59"/>
      <c r="K549" s="53"/>
      <c r="L549" s="59"/>
      <c r="M549" s="59"/>
      <c r="N549" s="47" t="b">
        <v>0</v>
      </c>
      <c r="O549" s="8"/>
      <c r="P549" s="60"/>
      <c r="Q549" s="61"/>
      <c r="R549" s="51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</row>
    <row r="550">
      <c r="A550" s="59" t="b">
        <v>0</v>
      </c>
      <c r="B550" s="54"/>
      <c r="C550" s="55"/>
      <c r="D550" s="56"/>
      <c r="E550" s="40"/>
      <c r="F550" s="57"/>
      <c r="G550" s="114"/>
      <c r="H550" s="43"/>
      <c r="I550" s="164"/>
      <c r="J550" s="59"/>
      <c r="K550" s="53"/>
      <c r="L550" s="59"/>
      <c r="M550" s="59"/>
      <c r="N550" s="47" t="b">
        <v>0</v>
      </c>
      <c r="O550" s="8"/>
      <c r="P550" s="60"/>
      <c r="Q550" s="61"/>
      <c r="R550" s="51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</row>
    <row r="551">
      <c r="A551" s="59" t="b">
        <v>0</v>
      </c>
      <c r="B551" s="54"/>
      <c r="C551" s="55"/>
      <c r="D551" s="56"/>
      <c r="E551" s="40"/>
      <c r="F551" s="57"/>
      <c r="G551" s="114"/>
      <c r="H551" s="43"/>
      <c r="I551" s="164"/>
      <c r="J551" s="59"/>
      <c r="K551" s="53"/>
      <c r="L551" s="59"/>
      <c r="M551" s="59"/>
      <c r="N551" s="47" t="b">
        <v>0</v>
      </c>
      <c r="O551" s="8"/>
      <c r="P551" s="60"/>
      <c r="Q551" s="61"/>
      <c r="R551" s="51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</row>
    <row r="552">
      <c r="A552" s="59" t="b">
        <v>0</v>
      </c>
      <c r="B552" s="54"/>
      <c r="C552" s="55"/>
      <c r="D552" s="56"/>
      <c r="E552" s="40"/>
      <c r="F552" s="57"/>
      <c r="G552" s="114"/>
      <c r="H552" s="43"/>
      <c r="I552" s="164"/>
      <c r="J552" s="59"/>
      <c r="K552" s="53"/>
      <c r="L552" s="59"/>
      <c r="M552" s="59"/>
      <c r="N552" s="47" t="b">
        <v>0</v>
      </c>
      <c r="O552" s="8"/>
      <c r="P552" s="60"/>
      <c r="Q552" s="61"/>
      <c r="R552" s="51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</row>
    <row r="553">
      <c r="A553" s="59" t="b">
        <v>0</v>
      </c>
      <c r="B553" s="54"/>
      <c r="C553" s="55"/>
      <c r="D553" s="56"/>
      <c r="E553" s="40"/>
      <c r="F553" s="57"/>
      <c r="G553" s="114"/>
      <c r="H553" s="43"/>
      <c r="I553" s="164"/>
      <c r="J553" s="59"/>
      <c r="K553" s="53"/>
      <c r="L553" s="59"/>
      <c r="M553" s="59"/>
      <c r="N553" s="47" t="b">
        <v>0</v>
      </c>
      <c r="O553" s="8"/>
      <c r="P553" s="60"/>
      <c r="Q553" s="61"/>
      <c r="R553" s="51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</row>
    <row r="554">
      <c r="A554" s="59" t="b">
        <v>0</v>
      </c>
      <c r="B554" s="54"/>
      <c r="C554" s="55"/>
      <c r="D554" s="56"/>
      <c r="E554" s="40"/>
      <c r="F554" s="57"/>
      <c r="G554" s="114"/>
      <c r="H554" s="43"/>
      <c r="I554" s="164"/>
      <c r="J554" s="59"/>
      <c r="K554" s="53"/>
      <c r="L554" s="59"/>
      <c r="M554" s="59"/>
      <c r="N554" s="47" t="b">
        <v>0</v>
      </c>
      <c r="O554" s="8"/>
      <c r="P554" s="60"/>
      <c r="Q554" s="61"/>
      <c r="R554" s="51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</row>
    <row r="555">
      <c r="A555" s="59" t="b">
        <v>0</v>
      </c>
      <c r="B555" s="54"/>
      <c r="C555" s="55"/>
      <c r="D555" s="56"/>
      <c r="E555" s="40"/>
      <c r="F555" s="57"/>
      <c r="G555" s="114"/>
      <c r="H555" s="43"/>
      <c r="I555" s="164"/>
      <c r="J555" s="59"/>
      <c r="K555" s="53"/>
      <c r="L555" s="59"/>
      <c r="M555" s="59"/>
      <c r="N555" s="47" t="b">
        <v>0</v>
      </c>
      <c r="O555" s="8"/>
      <c r="P555" s="60"/>
      <c r="Q555" s="61"/>
      <c r="R555" s="51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</row>
    <row r="556">
      <c r="A556" s="59" t="b">
        <v>0</v>
      </c>
      <c r="B556" s="54"/>
      <c r="C556" s="55"/>
      <c r="D556" s="56"/>
      <c r="E556" s="40"/>
      <c r="F556" s="57"/>
      <c r="G556" s="114"/>
      <c r="H556" s="43"/>
      <c r="I556" s="164"/>
      <c r="J556" s="59"/>
      <c r="K556" s="53"/>
      <c r="L556" s="59"/>
      <c r="M556" s="59"/>
      <c r="N556" s="47" t="b">
        <v>0</v>
      </c>
      <c r="O556" s="8"/>
      <c r="P556" s="60"/>
      <c r="Q556" s="61"/>
      <c r="R556" s="51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</row>
    <row r="557">
      <c r="A557" s="59" t="b">
        <v>0</v>
      </c>
      <c r="B557" s="54"/>
      <c r="C557" s="55"/>
      <c r="D557" s="56"/>
      <c r="E557" s="40"/>
      <c r="F557" s="57"/>
      <c r="G557" s="114"/>
      <c r="H557" s="43"/>
      <c r="I557" s="164"/>
      <c r="J557" s="59"/>
      <c r="K557" s="53"/>
      <c r="L557" s="59"/>
      <c r="M557" s="59"/>
      <c r="N557" s="47" t="b">
        <v>0</v>
      </c>
      <c r="O557" s="8"/>
      <c r="P557" s="60"/>
      <c r="Q557" s="61"/>
      <c r="R557" s="51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</row>
    <row r="558">
      <c r="A558" s="59" t="b">
        <v>0</v>
      </c>
      <c r="B558" s="54"/>
      <c r="C558" s="55"/>
      <c r="D558" s="56"/>
      <c r="E558" s="40"/>
      <c r="F558" s="57"/>
      <c r="G558" s="114"/>
      <c r="H558" s="43"/>
      <c r="I558" s="164"/>
      <c r="J558" s="59"/>
      <c r="K558" s="53"/>
      <c r="L558" s="59"/>
      <c r="M558" s="59"/>
      <c r="N558" s="47" t="b">
        <v>0</v>
      </c>
      <c r="O558" s="8"/>
      <c r="P558" s="60"/>
      <c r="Q558" s="61"/>
      <c r="R558" s="51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</row>
    <row r="559">
      <c r="A559" s="59" t="b">
        <v>0</v>
      </c>
      <c r="B559" s="54"/>
      <c r="C559" s="55"/>
      <c r="D559" s="56"/>
      <c r="E559" s="40"/>
      <c r="F559" s="57"/>
      <c r="G559" s="114"/>
      <c r="H559" s="43"/>
      <c r="I559" s="164"/>
      <c r="J559" s="59"/>
      <c r="K559" s="53"/>
      <c r="L559" s="59"/>
      <c r="M559" s="59"/>
      <c r="N559" s="47" t="b">
        <v>0</v>
      </c>
      <c r="O559" s="8"/>
      <c r="P559" s="60"/>
      <c r="Q559" s="61"/>
      <c r="R559" s="51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</row>
    <row r="560">
      <c r="A560" s="59" t="b">
        <v>0</v>
      </c>
      <c r="B560" s="54"/>
      <c r="C560" s="55"/>
      <c r="D560" s="56"/>
      <c r="E560" s="40"/>
      <c r="F560" s="57"/>
      <c r="G560" s="114"/>
      <c r="H560" s="43"/>
      <c r="I560" s="164"/>
      <c r="J560" s="59"/>
      <c r="K560" s="53"/>
      <c r="L560" s="59"/>
      <c r="M560" s="59"/>
      <c r="N560" s="47" t="b">
        <v>0</v>
      </c>
      <c r="O560" s="8"/>
      <c r="P560" s="60"/>
      <c r="Q560" s="61"/>
      <c r="R560" s="51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</row>
    <row r="561">
      <c r="A561" s="59" t="b">
        <v>0</v>
      </c>
      <c r="B561" s="54"/>
      <c r="C561" s="55"/>
      <c r="D561" s="56"/>
      <c r="E561" s="40"/>
      <c r="F561" s="57"/>
      <c r="G561" s="114"/>
      <c r="H561" s="43"/>
      <c r="I561" s="164"/>
      <c r="J561" s="59"/>
      <c r="K561" s="53"/>
      <c r="L561" s="59"/>
      <c r="M561" s="59"/>
      <c r="N561" s="47" t="b">
        <v>0</v>
      </c>
      <c r="O561" s="8"/>
      <c r="P561" s="60"/>
      <c r="Q561" s="61"/>
      <c r="R561" s="51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</row>
    <row r="562">
      <c r="A562" s="59" t="b">
        <v>0</v>
      </c>
      <c r="B562" s="54"/>
      <c r="C562" s="55"/>
      <c r="D562" s="56"/>
      <c r="E562" s="40"/>
      <c r="F562" s="57"/>
      <c r="G562" s="114"/>
      <c r="H562" s="43"/>
      <c r="I562" s="164"/>
      <c r="J562" s="59"/>
      <c r="K562" s="53"/>
      <c r="L562" s="59"/>
      <c r="M562" s="59"/>
      <c r="N562" s="47" t="b">
        <v>0</v>
      </c>
      <c r="O562" s="8"/>
      <c r="P562" s="60"/>
      <c r="Q562" s="61"/>
      <c r="R562" s="51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</row>
    <row r="563">
      <c r="A563" s="59" t="b">
        <v>0</v>
      </c>
      <c r="B563" s="54"/>
      <c r="C563" s="55"/>
      <c r="D563" s="56"/>
      <c r="E563" s="40"/>
      <c r="F563" s="57"/>
      <c r="G563" s="114"/>
      <c r="H563" s="43"/>
      <c r="I563" s="164"/>
      <c r="J563" s="59"/>
      <c r="K563" s="53"/>
      <c r="L563" s="59"/>
      <c r="M563" s="59"/>
      <c r="N563" s="47" t="b">
        <v>0</v>
      </c>
      <c r="O563" s="8"/>
      <c r="P563" s="60"/>
      <c r="Q563" s="61"/>
      <c r="R563" s="51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</row>
    <row r="564">
      <c r="A564" s="59" t="b">
        <v>0</v>
      </c>
      <c r="B564" s="54"/>
      <c r="C564" s="55"/>
      <c r="D564" s="56"/>
      <c r="E564" s="40"/>
      <c r="F564" s="57"/>
      <c r="G564" s="114"/>
      <c r="H564" s="43"/>
      <c r="I564" s="164"/>
      <c r="J564" s="59"/>
      <c r="K564" s="53"/>
      <c r="L564" s="59"/>
      <c r="M564" s="59"/>
      <c r="N564" s="47" t="b">
        <v>0</v>
      </c>
      <c r="O564" s="8"/>
      <c r="P564" s="60"/>
      <c r="Q564" s="61"/>
      <c r="R564" s="51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</row>
    <row r="565">
      <c r="A565" s="59" t="b">
        <v>0</v>
      </c>
      <c r="B565" s="54"/>
      <c r="C565" s="55"/>
      <c r="D565" s="56"/>
      <c r="E565" s="40"/>
      <c r="F565" s="57"/>
      <c r="G565" s="114"/>
      <c r="H565" s="43"/>
      <c r="I565" s="164"/>
      <c r="J565" s="59"/>
      <c r="K565" s="53"/>
      <c r="L565" s="59"/>
      <c r="M565" s="59"/>
      <c r="N565" s="47" t="b">
        <v>0</v>
      </c>
      <c r="O565" s="8"/>
      <c r="P565" s="60"/>
      <c r="Q565" s="61"/>
      <c r="R565" s="51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</row>
    <row r="566">
      <c r="A566" s="59" t="b">
        <v>0</v>
      </c>
      <c r="B566" s="54"/>
      <c r="C566" s="55"/>
      <c r="D566" s="56"/>
      <c r="E566" s="40"/>
      <c r="F566" s="57"/>
      <c r="G566" s="114"/>
      <c r="H566" s="43"/>
      <c r="I566" s="164"/>
      <c r="J566" s="59"/>
      <c r="K566" s="53"/>
      <c r="L566" s="59"/>
      <c r="M566" s="59"/>
      <c r="N566" s="47" t="b">
        <v>0</v>
      </c>
      <c r="O566" s="8"/>
      <c r="P566" s="60"/>
      <c r="Q566" s="61"/>
      <c r="R566" s="51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</row>
    <row r="567">
      <c r="A567" s="59" t="b">
        <v>0</v>
      </c>
      <c r="B567" s="54"/>
      <c r="C567" s="55"/>
      <c r="D567" s="56"/>
      <c r="E567" s="40"/>
      <c r="F567" s="57"/>
      <c r="G567" s="114"/>
      <c r="H567" s="43"/>
      <c r="I567" s="164"/>
      <c r="J567" s="59"/>
      <c r="K567" s="53"/>
      <c r="L567" s="59"/>
      <c r="M567" s="59"/>
      <c r="N567" s="47" t="b">
        <v>0</v>
      </c>
      <c r="O567" s="8"/>
      <c r="P567" s="60"/>
      <c r="Q567" s="61"/>
      <c r="R567" s="51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</row>
    <row r="568">
      <c r="A568" s="59" t="b">
        <v>0</v>
      </c>
      <c r="B568" s="54"/>
      <c r="C568" s="55"/>
      <c r="D568" s="56"/>
      <c r="E568" s="40"/>
      <c r="F568" s="57"/>
      <c r="G568" s="114"/>
      <c r="H568" s="43"/>
      <c r="I568" s="164"/>
      <c r="J568" s="59"/>
      <c r="K568" s="53"/>
      <c r="L568" s="59"/>
      <c r="M568" s="59"/>
      <c r="N568" s="47" t="b">
        <v>0</v>
      </c>
      <c r="O568" s="8"/>
      <c r="P568" s="60"/>
      <c r="Q568" s="61"/>
      <c r="R568" s="51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</row>
    <row r="569">
      <c r="A569" s="59" t="b">
        <v>0</v>
      </c>
      <c r="B569" s="54"/>
      <c r="C569" s="55"/>
      <c r="D569" s="56"/>
      <c r="E569" s="40" t="str">
        <f>IFERROR(__xludf.DUMMYFUNCTION("IF(C569="""", """", XLOOKUP(TRIM(C569), 'COTRATOS ALBUNS 25.2'!E:E, 'COTRATOS ALBUNS 25.2'!D:D, XLOOKUP(TRIM(C569), IMPORTRANGE(""16smdYggRVyzhu5y9HP2ayvW__ybkjb1nkVsCvZrByLM"", ""'COTRATOS 26.1'!B:B""), IMPORTRANGE(""16smdYggRVyzhu5y9HP2ayvW__ybkjb1nkVsC"&amp;"vZrByLM"", ""'COTRATOS 26.1'!A:A""), """")))"),"")</f>
        <v/>
      </c>
      <c r="F569" s="57"/>
      <c r="G569" s="114"/>
      <c r="H569" s="43"/>
      <c r="I569" s="164"/>
      <c r="J569" s="59"/>
      <c r="K569" s="53"/>
      <c r="L569" s="59"/>
      <c r="M569" s="59"/>
      <c r="N569" s="47" t="b">
        <v>0</v>
      </c>
      <c r="O569" s="8"/>
      <c r="P569" s="60"/>
      <c r="Q569" s="61"/>
      <c r="R569" s="51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</row>
    <row r="570">
      <c r="A570" s="59" t="b">
        <v>0</v>
      </c>
      <c r="B570" s="54"/>
      <c r="C570" s="55"/>
      <c r="D570" s="56"/>
      <c r="E570" s="40"/>
      <c r="F570" s="57"/>
      <c r="G570" s="114"/>
      <c r="H570" s="43"/>
      <c r="I570" s="164"/>
      <c r="J570" s="59"/>
      <c r="K570" s="53"/>
      <c r="L570" s="59"/>
      <c r="M570" s="59"/>
      <c r="N570" s="47" t="b">
        <v>0</v>
      </c>
      <c r="O570" s="8"/>
      <c r="P570" s="60"/>
      <c r="Q570" s="61"/>
      <c r="R570" s="51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</row>
    <row r="571">
      <c r="A571" s="59" t="b">
        <v>0</v>
      </c>
      <c r="B571" s="54"/>
      <c r="C571" s="55"/>
      <c r="D571" s="56"/>
      <c r="E571" s="40" t="str">
        <f>IFERROR(__xludf.DUMMYFUNCTION("IF(C571="""", """", XLOOKUP(TRIM(C571), 'COTRATOS ALBUNS 25.2'!E:E, 'COTRATOS ALBUNS 25.2'!D:D, XLOOKUP(TRIM(C571), IMPORTRANGE(""16smdYggRVyzhu5y9HP2ayvW__ybkjb1nkVsCvZrByLM"", ""'COTRATOS 26.1'!B:B""), IMPORTRANGE(""16smdYggRVyzhu5y9HP2ayvW__ybkjb1nkVsC"&amp;"vZrByLM"", ""'COTRATOS 26.1'!A:A""), """")))"),"")</f>
        <v/>
      </c>
      <c r="F571" s="57"/>
      <c r="G571" s="114"/>
      <c r="H571" s="43"/>
      <c r="I571" s="164"/>
      <c r="J571" s="59"/>
      <c r="K571" s="53"/>
      <c r="L571" s="59"/>
      <c r="M571" s="59"/>
      <c r="N571" s="47" t="b">
        <v>0</v>
      </c>
      <c r="O571" s="48">
        <f>B571+17</f>
        <v>17</v>
      </c>
      <c r="P571" s="60"/>
      <c r="Q571" s="61"/>
      <c r="R571" s="51" t="str">
        <f>IF(Q571="", "", Q571+60)</f>
        <v/>
      </c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</row>
    <row r="572">
      <c r="A572" s="53" t="b">
        <v>0</v>
      </c>
      <c r="B572" s="54"/>
      <c r="C572" s="55"/>
      <c r="D572" s="56"/>
      <c r="E572" s="40" t="str">
        <f>IFERROR(__xludf.DUMMYFUNCTION("IF(C572="""", """", XLOOKUP(TRIM(C572), 'COTRATOS ALBUNS 25.2'!E:E, 'COTRATOS ALBUNS 25.2'!D:D, XLOOKUP(TRIM(C572), IMPORTRANGE(""16smdYggRVyzhu5y9HP2ayvW__ybkjb1nkVsCvZrByLM"", ""'COTRATOS 26.1'!B:B""), IMPORTRANGE(""16smdYggRVyzhu5y9HP2ayvW__ybkjb1nkVsC"&amp;"vZrByLM"", ""'COTRATOS 26.1'!A:A""), """")))"),"")</f>
        <v/>
      </c>
      <c r="F572" s="57"/>
      <c r="G572" s="42"/>
      <c r="H572" s="59"/>
      <c r="I572" s="165"/>
      <c r="J572" s="59"/>
      <c r="K572" s="53"/>
      <c r="L572" s="59"/>
      <c r="M572" s="59"/>
      <c r="N572" s="47" t="b">
        <v>0</v>
      </c>
      <c r="O572" s="59"/>
      <c r="Q572" s="54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</row>
    <row r="573">
      <c r="A573" s="53" t="b">
        <v>0</v>
      </c>
      <c r="B573" s="54"/>
      <c r="C573" s="55"/>
      <c r="D573" s="56"/>
      <c r="E573" s="40"/>
      <c r="F573" s="57"/>
      <c r="G573" s="42"/>
      <c r="H573" s="59"/>
      <c r="I573" s="165"/>
      <c r="J573" s="59"/>
      <c r="K573" s="53"/>
      <c r="L573" s="59"/>
      <c r="M573" s="59"/>
      <c r="N573" s="47" t="b">
        <v>0</v>
      </c>
      <c r="O573" s="59"/>
      <c r="Q573" s="54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</row>
    <row r="574">
      <c r="A574" s="53" t="b">
        <v>0</v>
      </c>
      <c r="B574" s="54"/>
      <c r="C574" s="55"/>
      <c r="D574" s="56"/>
      <c r="E574" s="40"/>
      <c r="F574" s="57"/>
      <c r="G574" s="42"/>
      <c r="H574" s="59"/>
      <c r="I574" s="165"/>
      <c r="J574" s="59"/>
      <c r="K574" s="53"/>
      <c r="L574" s="59"/>
      <c r="M574" s="59"/>
      <c r="N574" s="47" t="b">
        <v>0</v>
      </c>
      <c r="O574" s="59"/>
      <c r="Q574" s="54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</row>
    <row r="575">
      <c r="A575" s="53" t="b">
        <v>0</v>
      </c>
      <c r="B575" s="54"/>
      <c r="C575" s="55"/>
      <c r="D575" s="56"/>
      <c r="E575" s="40"/>
      <c r="F575" s="57"/>
      <c r="G575" s="42"/>
      <c r="H575" s="59"/>
      <c r="I575" s="165"/>
      <c r="J575" s="59"/>
      <c r="K575" s="53"/>
      <c r="L575" s="59"/>
      <c r="M575" s="59"/>
      <c r="N575" s="47" t="b">
        <v>0</v>
      </c>
      <c r="O575" s="59"/>
      <c r="Q575" s="54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</row>
    <row r="576">
      <c r="A576" s="53" t="b">
        <v>0</v>
      </c>
      <c r="B576" s="54"/>
      <c r="C576" s="55"/>
      <c r="D576" s="56"/>
      <c r="E576" s="40"/>
      <c r="F576" s="57"/>
      <c r="G576" s="42"/>
      <c r="H576" s="59"/>
      <c r="I576" s="165"/>
      <c r="J576" s="59"/>
      <c r="K576" s="53"/>
      <c r="L576" s="59"/>
      <c r="M576" s="59"/>
      <c r="N576" s="47" t="b">
        <v>0</v>
      </c>
      <c r="O576" s="59"/>
      <c r="Q576" s="54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</row>
    <row r="577">
      <c r="A577" s="53" t="b">
        <v>0</v>
      </c>
      <c r="B577" s="54"/>
      <c r="C577" s="55"/>
      <c r="D577" s="56"/>
      <c r="E577" s="40"/>
      <c r="F577" s="57"/>
      <c r="G577" s="42"/>
      <c r="H577" s="59"/>
      <c r="I577" s="165"/>
      <c r="J577" s="59"/>
      <c r="K577" s="53"/>
      <c r="L577" s="59"/>
      <c r="M577" s="59"/>
      <c r="N577" s="47" t="b">
        <v>0</v>
      </c>
      <c r="O577" s="59"/>
      <c r="Q577" s="54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</row>
    <row r="578">
      <c r="A578" s="53" t="b">
        <v>0</v>
      </c>
      <c r="B578" s="54"/>
      <c r="C578" s="55"/>
      <c r="D578" s="56"/>
      <c r="E578" s="40"/>
      <c r="F578" s="57"/>
      <c r="G578" s="42"/>
      <c r="H578" s="59"/>
      <c r="I578" s="165"/>
      <c r="J578" s="59"/>
      <c r="K578" s="53"/>
      <c r="L578" s="59"/>
      <c r="M578" s="59"/>
      <c r="N578" s="47" t="b">
        <v>0</v>
      </c>
      <c r="O578" s="59"/>
      <c r="Q578" s="54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</row>
    <row r="579">
      <c r="A579" s="53" t="b">
        <v>0</v>
      </c>
      <c r="B579" s="54"/>
      <c r="C579" s="55"/>
      <c r="D579" s="56"/>
      <c r="E579" s="40"/>
      <c r="F579" s="57"/>
      <c r="G579" s="42"/>
      <c r="H579" s="59"/>
      <c r="I579" s="165"/>
      <c r="J579" s="59"/>
      <c r="K579" s="53"/>
      <c r="L579" s="59"/>
      <c r="M579" s="59"/>
      <c r="N579" s="47" t="b">
        <v>0</v>
      </c>
      <c r="O579" s="59"/>
      <c r="Q579" s="54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</row>
    <row r="580">
      <c r="A580" s="53" t="b">
        <v>0</v>
      </c>
      <c r="B580" s="54"/>
      <c r="C580" s="55"/>
      <c r="D580" s="56"/>
      <c r="E580" s="40"/>
      <c r="F580" s="57"/>
      <c r="G580" s="42"/>
      <c r="H580" s="59"/>
      <c r="I580" s="165"/>
      <c r="J580" s="59"/>
      <c r="K580" s="53"/>
      <c r="L580" s="59"/>
      <c r="M580" s="59"/>
      <c r="N580" s="47" t="b">
        <v>0</v>
      </c>
      <c r="O580" s="59"/>
      <c r="Q580" s="54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</row>
    <row r="581">
      <c r="A581" s="53" t="b">
        <v>0</v>
      </c>
      <c r="B581" s="54"/>
      <c r="C581" s="55"/>
      <c r="D581" s="56"/>
      <c r="E581" s="40"/>
      <c r="F581" s="57"/>
      <c r="G581" s="42"/>
      <c r="H581" s="59"/>
      <c r="I581" s="165"/>
      <c r="J581" s="59"/>
      <c r="K581" s="53"/>
      <c r="L581" s="59"/>
      <c r="M581" s="59"/>
      <c r="N581" s="47" t="b">
        <v>0</v>
      </c>
      <c r="O581" s="59"/>
      <c r="Q581" s="54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</row>
    <row r="582">
      <c r="A582" s="53" t="b">
        <v>0</v>
      </c>
      <c r="B582" s="54"/>
      <c r="C582" s="55"/>
      <c r="D582" s="56"/>
      <c r="E582" s="40"/>
      <c r="F582" s="57"/>
      <c r="G582" s="42"/>
      <c r="H582" s="59"/>
      <c r="I582" s="165"/>
      <c r="J582" s="59"/>
      <c r="K582" s="53"/>
      <c r="L582" s="59"/>
      <c r="M582" s="59"/>
      <c r="N582" s="47" t="b">
        <v>0</v>
      </c>
      <c r="O582" s="59"/>
      <c r="Q582" s="54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</row>
    <row r="583">
      <c r="A583" s="53" t="b">
        <v>0</v>
      </c>
      <c r="B583" s="54"/>
      <c r="C583" s="55"/>
      <c r="D583" s="56"/>
      <c r="E583" s="40"/>
      <c r="F583" s="57"/>
      <c r="G583" s="42"/>
      <c r="H583" s="59"/>
      <c r="I583" s="165"/>
      <c r="J583" s="59"/>
      <c r="K583" s="53"/>
      <c r="L583" s="59"/>
      <c r="M583" s="59"/>
      <c r="N583" s="47" t="b">
        <v>0</v>
      </c>
      <c r="O583" s="59"/>
      <c r="Q583" s="54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</row>
    <row r="584">
      <c r="A584" s="53" t="b">
        <v>0</v>
      </c>
      <c r="B584" s="54"/>
      <c r="C584" s="55"/>
      <c r="D584" s="56"/>
      <c r="E584" s="40"/>
      <c r="F584" s="57"/>
      <c r="G584" s="42"/>
      <c r="H584" s="59"/>
      <c r="I584" s="165"/>
      <c r="J584" s="59"/>
      <c r="K584" s="53"/>
      <c r="L584" s="59"/>
      <c r="M584" s="59"/>
      <c r="N584" s="47" t="b">
        <v>0</v>
      </c>
      <c r="O584" s="59"/>
      <c r="Q584" s="54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</row>
    <row r="585">
      <c r="A585" s="53" t="b">
        <v>0</v>
      </c>
      <c r="B585" s="54"/>
      <c r="C585" s="55"/>
      <c r="D585" s="56"/>
      <c r="E585" s="40"/>
      <c r="F585" s="57"/>
      <c r="G585" s="42"/>
      <c r="H585" s="59"/>
      <c r="I585" s="165"/>
      <c r="J585" s="59"/>
      <c r="K585" s="53"/>
      <c r="L585" s="59"/>
      <c r="M585" s="59"/>
      <c r="N585" s="47" t="b">
        <v>0</v>
      </c>
      <c r="O585" s="59"/>
      <c r="Q585" s="54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</row>
    <row r="586">
      <c r="A586" s="53" t="b">
        <v>0</v>
      </c>
      <c r="B586" s="54"/>
      <c r="C586" s="55"/>
      <c r="D586" s="56"/>
      <c r="E586" s="40"/>
      <c r="F586" s="57"/>
      <c r="G586" s="42"/>
      <c r="H586" s="59"/>
      <c r="I586" s="165"/>
      <c r="J586" s="59"/>
      <c r="K586" s="53"/>
      <c r="L586" s="59"/>
      <c r="M586" s="59"/>
      <c r="N586" s="47" t="b">
        <v>0</v>
      </c>
      <c r="O586" s="59"/>
      <c r="Q586" s="54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</row>
    <row r="587">
      <c r="A587" s="53" t="b">
        <v>0</v>
      </c>
      <c r="B587" s="54"/>
      <c r="C587" s="55"/>
      <c r="D587" s="56"/>
      <c r="E587" s="40"/>
      <c r="F587" s="57"/>
      <c r="G587" s="42"/>
      <c r="H587" s="59"/>
      <c r="I587" s="165"/>
      <c r="J587" s="59"/>
      <c r="K587" s="53"/>
      <c r="L587" s="59"/>
      <c r="M587" s="59"/>
      <c r="N587" s="47" t="b">
        <v>0</v>
      </c>
      <c r="O587" s="59"/>
      <c r="Q587" s="54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</row>
    <row r="588">
      <c r="A588" s="53" t="b">
        <v>0</v>
      </c>
      <c r="B588" s="54"/>
      <c r="C588" s="55"/>
      <c r="D588" s="56"/>
      <c r="E588" s="40"/>
      <c r="F588" s="57"/>
      <c r="G588" s="42"/>
      <c r="H588" s="59"/>
      <c r="I588" s="165"/>
      <c r="J588" s="59"/>
      <c r="K588" s="53"/>
      <c r="L588" s="59"/>
      <c r="M588" s="59"/>
      <c r="N588" s="47" t="b">
        <v>0</v>
      </c>
      <c r="O588" s="59"/>
      <c r="Q588" s="54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</row>
    <row r="589">
      <c r="A589" s="53" t="b">
        <v>0</v>
      </c>
      <c r="B589" s="54"/>
      <c r="C589" s="55"/>
      <c r="D589" s="56"/>
      <c r="E589" s="40"/>
      <c r="F589" s="57"/>
      <c r="G589" s="42"/>
      <c r="H589" s="59"/>
      <c r="I589" s="165"/>
      <c r="J589" s="59"/>
      <c r="K589" s="53"/>
      <c r="L589" s="59"/>
      <c r="M589" s="59"/>
      <c r="N589" s="47" t="b">
        <v>0</v>
      </c>
      <c r="O589" s="59"/>
      <c r="Q589" s="54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</row>
    <row r="590">
      <c r="A590" s="59" t="b">
        <v>0</v>
      </c>
      <c r="B590" s="54"/>
      <c r="C590" s="55"/>
      <c r="D590" s="56"/>
      <c r="E590" s="40"/>
      <c r="F590" s="57"/>
      <c r="G590" s="114"/>
      <c r="H590" s="59"/>
      <c r="I590" s="165"/>
      <c r="J590" s="59"/>
      <c r="K590" s="53"/>
      <c r="L590" s="59"/>
      <c r="M590" s="59"/>
      <c r="N590" s="47" t="b">
        <v>0</v>
      </c>
      <c r="O590" s="59"/>
      <c r="Q590" s="54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</row>
    <row r="591">
      <c r="A591" s="59" t="b">
        <v>0</v>
      </c>
      <c r="B591" s="54"/>
      <c r="C591" s="55"/>
      <c r="D591" s="56"/>
      <c r="E591" s="40"/>
      <c r="F591" s="57"/>
      <c r="G591" s="114"/>
      <c r="H591" s="59"/>
      <c r="I591" s="165"/>
      <c r="J591" s="59"/>
      <c r="K591" s="53"/>
      <c r="L591" s="59"/>
      <c r="M591" s="59"/>
      <c r="N591" s="47" t="b">
        <v>0</v>
      </c>
      <c r="O591" s="59"/>
      <c r="Q591" s="54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</row>
    <row r="592">
      <c r="A592" s="59" t="b">
        <v>0</v>
      </c>
      <c r="B592" s="54"/>
      <c r="C592" s="55"/>
      <c r="D592" s="56"/>
      <c r="E592" s="40"/>
      <c r="F592" s="57"/>
      <c r="G592" s="114"/>
      <c r="H592" s="59"/>
      <c r="I592" s="165"/>
      <c r="J592" s="59"/>
      <c r="K592" s="53"/>
      <c r="L592" s="59"/>
      <c r="M592" s="59"/>
      <c r="N592" s="47" t="b">
        <v>0</v>
      </c>
      <c r="O592" s="59"/>
      <c r="Q592" s="54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</row>
    <row r="593">
      <c r="A593" s="59" t="b">
        <v>0</v>
      </c>
      <c r="B593" s="54"/>
      <c r="C593" s="55"/>
      <c r="D593" s="56"/>
      <c r="E593" s="40"/>
      <c r="F593" s="57"/>
      <c r="G593" s="114"/>
      <c r="H593" s="59"/>
      <c r="I593" s="165"/>
      <c r="J593" s="59"/>
      <c r="K593" s="53"/>
      <c r="L593" s="59"/>
      <c r="M593" s="59"/>
      <c r="N593" s="47" t="b">
        <v>0</v>
      </c>
      <c r="O593" s="59"/>
      <c r="Q593" s="54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</row>
    <row r="594">
      <c r="A594" s="59" t="b">
        <v>0</v>
      </c>
      <c r="B594" s="54"/>
      <c r="C594" s="55"/>
      <c r="D594" s="56"/>
      <c r="E594" s="40"/>
      <c r="F594" s="57"/>
      <c r="G594" s="114"/>
      <c r="H594" s="59"/>
      <c r="I594" s="165"/>
      <c r="J594" s="59"/>
      <c r="K594" s="53"/>
      <c r="L594" s="59"/>
      <c r="M594" s="59"/>
      <c r="N594" s="47" t="b">
        <v>0</v>
      </c>
      <c r="O594" s="59"/>
      <c r="Q594" s="54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</row>
    <row r="595">
      <c r="A595" s="59" t="b">
        <v>0</v>
      </c>
      <c r="B595" s="54"/>
      <c r="C595" s="55"/>
      <c r="D595" s="56"/>
      <c r="E595" s="40"/>
      <c r="F595" s="57"/>
      <c r="G595" s="114"/>
      <c r="H595" s="59"/>
      <c r="I595" s="165"/>
      <c r="J595" s="59"/>
      <c r="K595" s="53"/>
      <c r="L595" s="59"/>
      <c r="M595" s="59"/>
      <c r="N595" s="47" t="b">
        <v>0</v>
      </c>
      <c r="O595" s="59"/>
      <c r="Q595" s="54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</row>
    <row r="596">
      <c r="A596" s="59" t="b">
        <v>0</v>
      </c>
      <c r="B596" s="54"/>
      <c r="C596" s="55"/>
      <c r="D596" s="56"/>
      <c r="E596" s="40"/>
      <c r="F596" s="57"/>
      <c r="G596" s="114"/>
      <c r="H596" s="59"/>
      <c r="I596" s="165"/>
      <c r="J596" s="59"/>
      <c r="K596" s="53"/>
      <c r="L596" s="59"/>
      <c r="M596" s="59"/>
      <c r="N596" s="47" t="b">
        <v>0</v>
      </c>
      <c r="O596" s="59"/>
      <c r="Q596" s="54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</row>
    <row r="597">
      <c r="A597" s="59" t="b">
        <v>0</v>
      </c>
      <c r="B597" s="54"/>
      <c r="C597" s="55"/>
      <c r="D597" s="56"/>
      <c r="E597" s="40"/>
      <c r="F597" s="57"/>
      <c r="G597" s="114"/>
      <c r="H597" s="59"/>
      <c r="I597" s="165"/>
      <c r="J597" s="59"/>
      <c r="K597" s="53"/>
      <c r="L597" s="59"/>
      <c r="M597" s="59"/>
      <c r="N597" s="47" t="b">
        <v>0</v>
      </c>
      <c r="O597" s="59"/>
      <c r="Q597" s="54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</row>
    <row r="598">
      <c r="A598" s="59" t="b">
        <v>0</v>
      </c>
      <c r="B598" s="54"/>
      <c r="C598" s="55"/>
      <c r="D598" s="56"/>
      <c r="E598" s="40"/>
      <c r="F598" s="57"/>
      <c r="G598" s="114"/>
      <c r="H598" s="59"/>
      <c r="I598" s="165"/>
      <c r="J598" s="59"/>
      <c r="K598" s="53"/>
      <c r="L598" s="59"/>
      <c r="M598" s="59"/>
      <c r="N598" s="47" t="b">
        <v>0</v>
      </c>
      <c r="O598" s="59"/>
      <c r="Q598" s="54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</row>
    <row r="599">
      <c r="A599" s="59" t="b">
        <v>0</v>
      </c>
      <c r="B599" s="54"/>
      <c r="C599" s="55"/>
      <c r="D599" s="56"/>
      <c r="E599" s="40"/>
      <c r="F599" s="57"/>
      <c r="G599" s="114"/>
      <c r="H599" s="59"/>
      <c r="I599" s="165"/>
      <c r="J599" s="59"/>
      <c r="K599" s="53"/>
      <c r="L599" s="59"/>
      <c r="M599" s="59"/>
      <c r="N599" s="47" t="b">
        <v>0</v>
      </c>
      <c r="O599" s="59"/>
      <c r="Q599" s="54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</row>
    <row r="600">
      <c r="A600" s="59" t="b">
        <v>0</v>
      </c>
      <c r="B600" s="54"/>
      <c r="C600" s="55"/>
      <c r="D600" s="56"/>
      <c r="E600" s="40"/>
      <c r="F600" s="57"/>
      <c r="G600" s="114"/>
      <c r="H600" s="59"/>
      <c r="I600" s="165"/>
      <c r="J600" s="59"/>
      <c r="K600" s="53"/>
      <c r="L600" s="59"/>
      <c r="M600" s="59"/>
      <c r="N600" s="47" t="b">
        <v>0</v>
      </c>
      <c r="O600" s="59"/>
      <c r="Q600" s="54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</row>
    <row r="601">
      <c r="A601" s="59" t="b">
        <v>0</v>
      </c>
      <c r="B601" s="54"/>
      <c r="C601" s="55"/>
      <c r="D601" s="56"/>
      <c r="E601" s="40"/>
      <c r="F601" s="57"/>
      <c r="G601" s="114"/>
      <c r="H601" s="59"/>
      <c r="I601" s="165"/>
      <c r="J601" s="59"/>
      <c r="K601" s="53"/>
      <c r="L601" s="59"/>
      <c r="M601" s="59"/>
      <c r="N601" s="47" t="b">
        <v>0</v>
      </c>
      <c r="O601" s="59"/>
      <c r="Q601" s="54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</row>
    <row r="602">
      <c r="A602" s="59" t="b">
        <v>0</v>
      </c>
      <c r="B602" s="54"/>
      <c r="C602" s="55"/>
      <c r="D602" s="56"/>
      <c r="E602" s="40"/>
      <c r="F602" s="57"/>
      <c r="G602" s="114"/>
      <c r="H602" s="59"/>
      <c r="I602" s="165"/>
      <c r="J602" s="59"/>
      <c r="K602" s="53"/>
      <c r="L602" s="59"/>
      <c r="M602" s="59"/>
      <c r="N602" s="47" t="b">
        <v>0</v>
      </c>
      <c r="O602" s="59"/>
      <c r="Q602" s="54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</row>
    <row r="603">
      <c r="A603" s="59" t="b">
        <v>0</v>
      </c>
      <c r="B603" s="54"/>
      <c r="C603" s="55"/>
      <c r="D603" s="56"/>
      <c r="E603" s="40"/>
      <c r="F603" s="57"/>
      <c r="G603" s="114"/>
      <c r="H603" s="59"/>
      <c r="I603" s="165"/>
      <c r="J603" s="59"/>
      <c r="K603" s="53"/>
      <c r="L603" s="59"/>
      <c r="M603" s="59"/>
      <c r="N603" s="47" t="b">
        <v>0</v>
      </c>
      <c r="O603" s="59"/>
      <c r="Q603" s="54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</row>
    <row r="604">
      <c r="A604" s="59" t="b">
        <v>0</v>
      </c>
      <c r="B604" s="54"/>
      <c r="C604" s="55"/>
      <c r="D604" s="56"/>
      <c r="E604" s="40"/>
      <c r="F604" s="57"/>
      <c r="G604" s="114"/>
      <c r="H604" s="59"/>
      <c r="I604" s="165"/>
      <c r="J604" s="59"/>
      <c r="K604" s="53"/>
      <c r="L604" s="59"/>
      <c r="M604" s="59"/>
      <c r="N604" s="47" t="b">
        <v>0</v>
      </c>
      <c r="O604" s="59"/>
      <c r="Q604" s="54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</row>
    <row r="605">
      <c r="A605" s="59" t="b">
        <v>0</v>
      </c>
      <c r="B605" s="54"/>
      <c r="C605" s="55"/>
      <c r="D605" s="56"/>
      <c r="E605" s="40"/>
      <c r="F605" s="57"/>
      <c r="G605" s="114"/>
      <c r="H605" s="59"/>
      <c r="I605" s="165"/>
      <c r="J605" s="59"/>
      <c r="K605" s="53"/>
      <c r="L605" s="59"/>
      <c r="M605" s="59"/>
      <c r="N605" s="47" t="b">
        <v>0</v>
      </c>
      <c r="O605" s="59"/>
      <c r="Q605" s="54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</row>
    <row r="606">
      <c r="A606" s="59" t="b">
        <v>0</v>
      </c>
      <c r="B606" s="54"/>
      <c r="C606" s="55"/>
      <c r="D606" s="56"/>
      <c r="E606" s="40"/>
      <c r="F606" s="57"/>
      <c r="G606" s="114"/>
      <c r="H606" s="59"/>
      <c r="I606" s="165"/>
      <c r="J606" s="59"/>
      <c r="K606" s="53"/>
      <c r="L606" s="59"/>
      <c r="M606" s="59"/>
      <c r="N606" s="47" t="b">
        <v>0</v>
      </c>
      <c r="O606" s="59"/>
      <c r="Q606" s="54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</row>
    <row r="607">
      <c r="A607" s="59" t="b">
        <v>0</v>
      </c>
      <c r="B607" s="54"/>
      <c r="C607" s="55"/>
      <c r="D607" s="56"/>
      <c r="E607" s="40"/>
      <c r="F607" s="57"/>
      <c r="G607" s="114"/>
      <c r="H607" s="59"/>
      <c r="I607" s="165"/>
      <c r="J607" s="59"/>
      <c r="K607" s="53"/>
      <c r="L607" s="59"/>
      <c r="M607" s="59"/>
      <c r="N607" s="47" t="b">
        <v>0</v>
      </c>
      <c r="O607" s="59"/>
      <c r="Q607" s="54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</row>
    <row r="608">
      <c r="A608" s="59" t="b">
        <v>0</v>
      </c>
      <c r="B608" s="54"/>
      <c r="C608" s="55"/>
      <c r="D608" s="56"/>
      <c r="E608" s="40"/>
      <c r="F608" s="57"/>
      <c r="G608" s="114"/>
      <c r="H608" s="59"/>
      <c r="I608" s="165"/>
      <c r="J608" s="59"/>
      <c r="K608" s="53"/>
      <c r="L608" s="59"/>
      <c r="M608" s="59"/>
      <c r="N608" s="47" t="b">
        <v>0</v>
      </c>
      <c r="O608" s="59"/>
      <c r="Q608" s="54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</row>
    <row r="609">
      <c r="A609" s="59" t="b">
        <v>0</v>
      </c>
      <c r="B609" s="54"/>
      <c r="C609" s="55"/>
      <c r="D609" s="56"/>
      <c r="E609" s="40"/>
      <c r="F609" s="57"/>
      <c r="G609" s="114"/>
      <c r="H609" s="59"/>
      <c r="I609" s="165"/>
      <c r="J609" s="59"/>
      <c r="K609" s="53"/>
      <c r="L609" s="59"/>
      <c r="M609" s="59"/>
      <c r="N609" s="47" t="b">
        <v>0</v>
      </c>
      <c r="O609" s="59"/>
      <c r="Q609" s="54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</row>
    <row r="610">
      <c r="A610" s="59" t="b">
        <v>0</v>
      </c>
      <c r="B610" s="54"/>
      <c r="C610" s="55"/>
      <c r="D610" s="56"/>
      <c r="E610" s="40"/>
      <c r="F610" s="57"/>
      <c r="G610" s="114"/>
      <c r="H610" s="59"/>
      <c r="I610" s="165"/>
      <c r="J610" s="59"/>
      <c r="K610" s="53"/>
      <c r="L610" s="59"/>
      <c r="M610" s="59"/>
      <c r="N610" s="47" t="b">
        <v>0</v>
      </c>
      <c r="O610" s="59"/>
      <c r="Q610" s="54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</row>
    <row r="611">
      <c r="A611" s="59" t="b">
        <v>0</v>
      </c>
      <c r="B611" s="54"/>
      <c r="C611" s="55"/>
      <c r="D611" s="56"/>
      <c r="E611" s="40"/>
      <c r="F611" s="57"/>
      <c r="G611" s="114"/>
      <c r="H611" s="59"/>
      <c r="I611" s="165"/>
      <c r="J611" s="59"/>
      <c r="K611" s="53"/>
      <c r="L611" s="59"/>
      <c r="M611" s="59"/>
      <c r="N611" s="47" t="b">
        <v>0</v>
      </c>
      <c r="O611" s="59"/>
      <c r="Q611" s="54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</row>
    <row r="612">
      <c r="A612" s="59" t="b">
        <v>0</v>
      </c>
      <c r="B612" s="54"/>
      <c r="C612" s="55"/>
      <c r="D612" s="56"/>
      <c r="E612" s="40"/>
      <c r="F612" s="57"/>
      <c r="G612" s="114"/>
      <c r="H612" s="59"/>
      <c r="I612" s="165"/>
      <c r="J612" s="59"/>
      <c r="K612" s="53"/>
      <c r="L612" s="59"/>
      <c r="M612" s="59"/>
      <c r="N612" s="47" t="b">
        <v>0</v>
      </c>
      <c r="O612" s="59"/>
      <c r="Q612" s="54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</row>
    <row r="613">
      <c r="A613" s="59" t="b">
        <v>0</v>
      </c>
      <c r="B613" s="54"/>
      <c r="C613" s="55"/>
      <c r="D613" s="56"/>
      <c r="E613" s="40"/>
      <c r="F613" s="57"/>
      <c r="G613" s="114"/>
      <c r="H613" s="59"/>
      <c r="I613" s="165"/>
      <c r="J613" s="59"/>
      <c r="K613" s="53"/>
      <c r="L613" s="59"/>
      <c r="M613" s="59"/>
      <c r="N613" s="47" t="b">
        <v>0</v>
      </c>
      <c r="O613" s="59"/>
      <c r="Q613" s="54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</row>
    <row r="614">
      <c r="A614" s="59" t="b">
        <v>0</v>
      </c>
      <c r="B614" s="54"/>
      <c r="C614" s="55"/>
      <c r="D614" s="56"/>
      <c r="E614" s="40"/>
      <c r="F614" s="57"/>
      <c r="G614" s="114"/>
      <c r="H614" s="59"/>
      <c r="I614" s="165"/>
      <c r="J614" s="59"/>
      <c r="K614" s="53"/>
      <c r="L614" s="59"/>
      <c r="M614" s="59"/>
      <c r="N614" s="47" t="b">
        <v>0</v>
      </c>
      <c r="O614" s="59"/>
      <c r="Q614" s="54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</row>
    <row r="615">
      <c r="A615" s="59" t="b">
        <v>0</v>
      </c>
      <c r="B615" s="54"/>
      <c r="C615" s="55"/>
      <c r="D615" s="56"/>
      <c r="E615" s="40"/>
      <c r="F615" s="57"/>
      <c r="G615" s="114"/>
      <c r="H615" s="59"/>
      <c r="I615" s="165"/>
      <c r="J615" s="59"/>
      <c r="K615" s="53"/>
      <c r="L615" s="59"/>
      <c r="M615" s="59"/>
      <c r="N615" s="47" t="b">
        <v>0</v>
      </c>
      <c r="O615" s="59"/>
      <c r="Q615" s="54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</row>
    <row r="616">
      <c r="A616" s="59" t="b">
        <v>0</v>
      </c>
      <c r="B616" s="54"/>
      <c r="C616" s="55"/>
      <c r="D616" s="56"/>
      <c r="E616" s="40"/>
      <c r="F616" s="57"/>
      <c r="G616" s="114"/>
      <c r="H616" s="59"/>
      <c r="I616" s="165"/>
      <c r="J616" s="59"/>
      <c r="K616" s="53"/>
      <c r="L616" s="59"/>
      <c r="M616" s="59"/>
      <c r="N616" s="47" t="b">
        <v>0</v>
      </c>
      <c r="O616" s="59"/>
      <c r="Q616" s="54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</row>
    <row r="617">
      <c r="A617" s="59" t="b">
        <v>0</v>
      </c>
      <c r="B617" s="54"/>
      <c r="C617" s="55"/>
      <c r="D617" s="56"/>
      <c r="E617" s="40"/>
      <c r="F617" s="57"/>
      <c r="G617" s="114"/>
      <c r="H617" s="59"/>
      <c r="I617" s="165"/>
      <c r="J617" s="59"/>
      <c r="K617" s="53"/>
      <c r="L617" s="59"/>
      <c r="M617" s="59"/>
      <c r="N617" s="47" t="b">
        <v>0</v>
      </c>
      <c r="O617" s="59"/>
      <c r="Q617" s="54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</row>
    <row r="618">
      <c r="A618" s="59" t="b">
        <v>0</v>
      </c>
      <c r="B618" s="54"/>
      <c r="C618" s="55"/>
      <c r="D618" s="56"/>
      <c r="E618" s="40"/>
      <c r="F618" s="57"/>
      <c r="G618" s="114"/>
      <c r="H618" s="59"/>
      <c r="I618" s="165"/>
      <c r="J618" s="59"/>
      <c r="K618" s="53"/>
      <c r="L618" s="59"/>
      <c r="M618" s="59"/>
      <c r="N618" s="47" t="b">
        <v>0</v>
      </c>
      <c r="O618" s="59"/>
      <c r="Q618" s="54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</row>
    <row r="619">
      <c r="A619" s="59" t="b">
        <v>0</v>
      </c>
      <c r="B619" s="54"/>
      <c r="C619" s="55"/>
      <c r="D619" s="56"/>
      <c r="E619" s="40"/>
      <c r="F619" s="57"/>
      <c r="G619" s="114"/>
      <c r="H619" s="59"/>
      <c r="I619" s="165"/>
      <c r="J619" s="59"/>
      <c r="K619" s="53"/>
      <c r="L619" s="59"/>
      <c r="M619" s="59"/>
      <c r="N619" s="47" t="b">
        <v>0</v>
      </c>
      <c r="O619" s="59"/>
      <c r="Q619" s="54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</row>
    <row r="620">
      <c r="A620" s="59" t="b">
        <v>0</v>
      </c>
      <c r="B620" s="54"/>
      <c r="C620" s="55"/>
      <c r="D620" s="56"/>
      <c r="E620" s="40"/>
      <c r="F620" s="57"/>
      <c r="G620" s="114"/>
      <c r="H620" s="59"/>
      <c r="I620" s="165"/>
      <c r="J620" s="59"/>
      <c r="K620" s="53"/>
      <c r="L620" s="59"/>
      <c r="M620" s="59"/>
      <c r="N620" s="47" t="b">
        <v>0</v>
      </c>
      <c r="O620" s="59"/>
      <c r="Q620" s="54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</row>
    <row r="621">
      <c r="A621" s="59" t="b">
        <v>0</v>
      </c>
      <c r="B621" s="54"/>
      <c r="C621" s="55"/>
      <c r="D621" s="56"/>
      <c r="E621" s="40"/>
      <c r="F621" s="57"/>
      <c r="G621" s="114"/>
      <c r="H621" s="59"/>
      <c r="I621" s="165"/>
      <c r="J621" s="59"/>
      <c r="K621" s="53"/>
      <c r="L621" s="59"/>
      <c r="M621" s="59"/>
      <c r="N621" s="47" t="b">
        <v>0</v>
      </c>
      <c r="O621" s="59"/>
      <c r="Q621" s="54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</row>
    <row r="622">
      <c r="A622" s="59" t="b">
        <v>0</v>
      </c>
      <c r="B622" s="54"/>
      <c r="C622" s="55"/>
      <c r="D622" s="56"/>
      <c r="E622" s="40"/>
      <c r="F622" s="57"/>
      <c r="G622" s="114"/>
      <c r="H622" s="59"/>
      <c r="I622" s="165"/>
      <c r="J622" s="59"/>
      <c r="K622" s="53"/>
      <c r="L622" s="59"/>
      <c r="M622" s="59"/>
      <c r="N622" s="47" t="b">
        <v>0</v>
      </c>
      <c r="O622" s="59"/>
      <c r="Q622" s="54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</row>
    <row r="623">
      <c r="A623" s="59" t="b">
        <v>0</v>
      </c>
      <c r="B623" s="54"/>
      <c r="C623" s="55"/>
      <c r="D623" s="56"/>
      <c r="E623" s="40"/>
      <c r="F623" s="57"/>
      <c r="G623" s="114"/>
      <c r="H623" s="59"/>
      <c r="I623" s="165"/>
      <c r="J623" s="59"/>
      <c r="K623" s="53"/>
      <c r="L623" s="59"/>
      <c r="M623" s="59"/>
      <c r="N623" s="47" t="b">
        <v>0</v>
      </c>
      <c r="O623" s="59"/>
      <c r="Q623" s="54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</row>
    <row r="624">
      <c r="A624" s="59" t="b">
        <v>0</v>
      </c>
      <c r="B624" s="54"/>
      <c r="C624" s="55"/>
      <c r="D624" s="56"/>
      <c r="E624" s="40"/>
      <c r="F624" s="57"/>
      <c r="G624" s="114"/>
      <c r="H624" s="59"/>
      <c r="I624" s="165"/>
      <c r="J624" s="59"/>
      <c r="K624" s="53"/>
      <c r="L624" s="59"/>
      <c r="M624" s="59"/>
      <c r="N624" s="47" t="b">
        <v>0</v>
      </c>
      <c r="O624" s="59"/>
      <c r="Q624" s="54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</row>
    <row r="625">
      <c r="A625" s="59" t="b">
        <v>0</v>
      </c>
      <c r="B625" s="54"/>
      <c r="C625" s="55"/>
      <c r="D625" s="56"/>
      <c r="E625" s="40"/>
      <c r="F625" s="57"/>
      <c r="G625" s="114"/>
      <c r="H625" s="59"/>
      <c r="I625" s="165"/>
      <c r="J625" s="59"/>
      <c r="K625" s="53"/>
      <c r="L625" s="59"/>
      <c r="M625" s="59"/>
      <c r="N625" s="47" t="b">
        <v>0</v>
      </c>
      <c r="O625" s="59"/>
      <c r="Q625" s="54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</row>
    <row r="626">
      <c r="A626" s="59" t="b">
        <v>0</v>
      </c>
      <c r="B626" s="54"/>
      <c r="C626" s="55"/>
      <c r="D626" s="56"/>
      <c r="E626" s="40"/>
      <c r="F626" s="57"/>
      <c r="G626" s="114"/>
      <c r="H626" s="59"/>
      <c r="I626" s="165"/>
      <c r="J626" s="59"/>
      <c r="K626" s="53"/>
      <c r="L626" s="59"/>
      <c r="M626" s="59"/>
      <c r="N626" s="47" t="b">
        <v>0</v>
      </c>
      <c r="O626" s="59"/>
      <c r="Q626" s="54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</row>
    <row r="627">
      <c r="A627" s="59" t="b">
        <v>0</v>
      </c>
      <c r="B627" s="54"/>
      <c r="C627" s="55"/>
      <c r="D627" s="56"/>
      <c r="E627" s="40"/>
      <c r="F627" s="57"/>
      <c r="G627" s="114"/>
      <c r="H627" s="59"/>
      <c r="I627" s="165"/>
      <c r="J627" s="59"/>
      <c r="K627" s="53"/>
      <c r="L627" s="59"/>
      <c r="M627" s="59"/>
      <c r="N627" s="47" t="b">
        <v>0</v>
      </c>
      <c r="O627" s="59"/>
      <c r="Q627" s="54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</row>
    <row r="628">
      <c r="A628" s="59" t="b">
        <v>0</v>
      </c>
      <c r="B628" s="54"/>
      <c r="C628" s="55"/>
      <c r="D628" s="56"/>
      <c r="E628" s="40"/>
      <c r="F628" s="57"/>
      <c r="G628" s="114"/>
      <c r="H628" s="59"/>
      <c r="I628" s="165"/>
      <c r="J628" s="59"/>
      <c r="K628" s="53"/>
      <c r="L628" s="59"/>
      <c r="M628" s="59"/>
      <c r="N628" s="47" t="b">
        <v>0</v>
      </c>
      <c r="O628" s="59"/>
      <c r="Q628" s="54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</row>
    <row r="629">
      <c r="A629" s="59" t="b">
        <v>0</v>
      </c>
      <c r="B629" s="54"/>
      <c r="C629" s="55"/>
      <c r="D629" s="56"/>
      <c r="E629" s="40"/>
      <c r="F629" s="57"/>
      <c r="G629" s="114"/>
      <c r="H629" s="59"/>
      <c r="I629" s="165"/>
      <c r="J629" s="59"/>
      <c r="K629" s="53"/>
      <c r="L629" s="59"/>
      <c r="M629" s="59"/>
      <c r="N629" s="47" t="b">
        <v>0</v>
      </c>
      <c r="O629" s="59"/>
      <c r="Q629" s="54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</row>
    <row r="630">
      <c r="A630" s="59" t="b">
        <v>0</v>
      </c>
      <c r="B630" s="54"/>
      <c r="C630" s="55"/>
      <c r="D630" s="56"/>
      <c r="E630" s="40"/>
      <c r="F630" s="57"/>
      <c r="G630" s="114"/>
      <c r="H630" s="59"/>
      <c r="I630" s="165"/>
      <c r="J630" s="59"/>
      <c r="K630" s="53"/>
      <c r="L630" s="59"/>
      <c r="M630" s="59"/>
      <c r="N630" s="47" t="b">
        <v>0</v>
      </c>
      <c r="O630" s="59"/>
      <c r="Q630" s="54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</row>
    <row r="631">
      <c r="A631" s="59" t="b">
        <v>0</v>
      </c>
      <c r="B631" s="54"/>
      <c r="C631" s="55"/>
      <c r="D631" s="56"/>
      <c r="E631" s="40"/>
      <c r="F631" s="57"/>
      <c r="G631" s="114"/>
      <c r="H631" s="59"/>
      <c r="I631" s="165"/>
      <c r="J631" s="59"/>
      <c r="K631" s="53"/>
      <c r="L631" s="59"/>
      <c r="M631" s="59"/>
      <c r="N631" s="47" t="b">
        <v>0</v>
      </c>
      <c r="O631" s="59"/>
      <c r="Q631" s="54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</row>
    <row r="632">
      <c r="A632" s="59" t="b">
        <v>0</v>
      </c>
      <c r="B632" s="54"/>
      <c r="C632" s="55"/>
      <c r="D632" s="56"/>
      <c r="E632" s="40"/>
      <c r="F632" s="57"/>
      <c r="G632" s="114"/>
      <c r="H632" s="59"/>
      <c r="I632" s="165"/>
      <c r="J632" s="59"/>
      <c r="K632" s="53"/>
      <c r="L632" s="59"/>
      <c r="M632" s="59"/>
      <c r="N632" s="47" t="b">
        <v>0</v>
      </c>
      <c r="O632" s="59"/>
      <c r="Q632" s="54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</row>
    <row r="633">
      <c r="A633" s="59" t="b">
        <v>0</v>
      </c>
      <c r="B633" s="54"/>
      <c r="C633" s="55"/>
      <c r="D633" s="56"/>
      <c r="E633" s="40"/>
      <c r="F633" s="57"/>
      <c r="G633" s="114"/>
      <c r="H633" s="59"/>
      <c r="I633" s="165"/>
      <c r="J633" s="59"/>
      <c r="K633" s="53"/>
      <c r="L633" s="59"/>
      <c r="M633" s="59"/>
      <c r="N633" s="47" t="b">
        <v>0</v>
      </c>
      <c r="O633" s="59"/>
      <c r="Q633" s="54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</row>
    <row r="634">
      <c r="A634" s="59" t="b">
        <v>0</v>
      </c>
      <c r="B634" s="54"/>
      <c r="C634" s="55"/>
      <c r="D634" s="56"/>
      <c r="E634" s="40"/>
      <c r="F634" s="57"/>
      <c r="G634" s="114"/>
      <c r="H634" s="59"/>
      <c r="I634" s="165"/>
      <c r="J634" s="59"/>
      <c r="K634" s="53"/>
      <c r="L634" s="59"/>
      <c r="M634" s="59"/>
      <c r="N634" s="47" t="b">
        <v>0</v>
      </c>
      <c r="O634" s="59"/>
      <c r="Q634" s="54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</row>
    <row r="635">
      <c r="A635" s="59" t="b">
        <v>0</v>
      </c>
      <c r="B635" s="54"/>
      <c r="C635" s="55"/>
      <c r="D635" s="56"/>
      <c r="E635" s="40"/>
      <c r="F635" s="57"/>
      <c r="G635" s="114"/>
      <c r="H635" s="59"/>
      <c r="I635" s="165"/>
      <c r="J635" s="59"/>
      <c r="K635" s="53"/>
      <c r="L635" s="59"/>
      <c r="M635" s="59"/>
      <c r="N635" s="47" t="b">
        <v>0</v>
      </c>
      <c r="O635" s="59"/>
      <c r="Q635" s="54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</row>
    <row r="636">
      <c r="A636" s="59" t="b">
        <v>0</v>
      </c>
      <c r="B636" s="54"/>
      <c r="C636" s="55"/>
      <c r="D636" s="56"/>
      <c r="E636" s="40"/>
      <c r="F636" s="57"/>
      <c r="G636" s="114"/>
      <c r="H636" s="59"/>
      <c r="I636" s="165"/>
      <c r="J636" s="59"/>
      <c r="K636" s="53"/>
      <c r="L636" s="59"/>
      <c r="M636" s="59"/>
      <c r="N636" s="47" t="b">
        <v>0</v>
      </c>
      <c r="O636" s="59"/>
      <c r="Q636" s="54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</row>
    <row r="637">
      <c r="A637" s="59" t="b">
        <v>0</v>
      </c>
      <c r="B637" s="54"/>
      <c r="C637" s="55"/>
      <c r="D637" s="56"/>
      <c r="E637" s="40"/>
      <c r="F637" s="57"/>
      <c r="G637" s="114"/>
      <c r="H637" s="59"/>
      <c r="I637" s="165"/>
      <c r="J637" s="59"/>
      <c r="K637" s="53"/>
      <c r="L637" s="59"/>
      <c r="M637" s="59"/>
      <c r="N637" s="47" t="b">
        <v>0</v>
      </c>
      <c r="O637" s="59"/>
      <c r="Q637" s="54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</row>
    <row r="638">
      <c r="A638" s="59" t="b">
        <v>0</v>
      </c>
      <c r="B638" s="54"/>
      <c r="C638" s="55"/>
      <c r="D638" s="56"/>
      <c r="E638" s="40"/>
      <c r="F638" s="57"/>
      <c r="G638" s="114"/>
      <c r="H638" s="59"/>
      <c r="I638" s="165"/>
      <c r="J638" s="59"/>
      <c r="K638" s="53"/>
      <c r="L638" s="59"/>
      <c r="M638" s="59"/>
      <c r="N638" s="47" t="b">
        <v>0</v>
      </c>
      <c r="O638" s="59"/>
      <c r="Q638" s="54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</row>
    <row r="639">
      <c r="A639" s="59" t="b">
        <v>0</v>
      </c>
      <c r="B639" s="54"/>
      <c r="C639" s="55"/>
      <c r="D639" s="56"/>
      <c r="E639" s="40"/>
      <c r="F639" s="57"/>
      <c r="G639" s="114"/>
      <c r="H639" s="59"/>
      <c r="I639" s="165"/>
      <c r="J639" s="59"/>
      <c r="K639" s="53"/>
      <c r="L639" s="59"/>
      <c r="M639" s="59"/>
      <c r="N639" s="47" t="b">
        <v>0</v>
      </c>
      <c r="O639" s="59"/>
      <c r="Q639" s="54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</row>
    <row r="640">
      <c r="A640" s="59" t="b">
        <v>0</v>
      </c>
      <c r="B640" s="54"/>
      <c r="C640" s="55"/>
      <c r="D640" s="56"/>
      <c r="E640" s="40"/>
      <c r="F640" s="57"/>
      <c r="G640" s="114"/>
      <c r="H640" s="59"/>
      <c r="I640" s="165"/>
      <c r="J640" s="59"/>
      <c r="K640" s="53"/>
      <c r="L640" s="59"/>
      <c r="M640" s="59"/>
      <c r="N640" s="47" t="b">
        <v>0</v>
      </c>
      <c r="O640" s="59"/>
      <c r="Q640" s="54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</row>
    <row r="641">
      <c r="A641" s="59" t="b">
        <v>0</v>
      </c>
      <c r="B641" s="54"/>
      <c r="C641" s="55"/>
      <c r="D641" s="56"/>
      <c r="E641" s="40"/>
      <c r="F641" s="57"/>
      <c r="G641" s="114"/>
      <c r="H641" s="59"/>
      <c r="I641" s="165"/>
      <c r="J641" s="59"/>
      <c r="K641" s="53"/>
      <c r="L641" s="59"/>
      <c r="M641" s="59"/>
      <c r="N641" s="47" t="b">
        <v>0</v>
      </c>
      <c r="O641" s="59"/>
      <c r="Q641" s="54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</row>
    <row r="642">
      <c r="A642" s="59" t="b">
        <v>0</v>
      </c>
      <c r="B642" s="54"/>
      <c r="C642" s="55"/>
      <c r="D642" s="56"/>
      <c r="E642" s="40"/>
      <c r="F642" s="57"/>
      <c r="G642" s="114"/>
      <c r="H642" s="59"/>
      <c r="I642" s="165"/>
      <c r="J642" s="59"/>
      <c r="K642" s="53"/>
      <c r="L642" s="59"/>
      <c r="M642" s="59"/>
      <c r="N642" s="47" t="b">
        <v>0</v>
      </c>
      <c r="O642" s="59"/>
      <c r="Q642" s="54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</row>
    <row r="643">
      <c r="A643" s="59" t="b">
        <v>0</v>
      </c>
      <c r="B643" s="54"/>
      <c r="C643" s="55"/>
      <c r="D643" s="56"/>
      <c r="E643" s="40"/>
      <c r="F643" s="57"/>
      <c r="G643" s="114"/>
      <c r="H643" s="59"/>
      <c r="I643" s="165"/>
      <c r="J643" s="59"/>
      <c r="K643" s="53"/>
      <c r="L643" s="59"/>
      <c r="M643" s="59"/>
      <c r="N643" s="47" t="b">
        <v>0</v>
      </c>
      <c r="O643" s="59"/>
      <c r="Q643" s="54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</row>
    <row r="644">
      <c r="A644" s="59" t="b">
        <v>0</v>
      </c>
      <c r="B644" s="54"/>
      <c r="C644" s="55"/>
      <c r="D644" s="56"/>
      <c r="E644" s="40"/>
      <c r="F644" s="57"/>
      <c r="G644" s="114"/>
      <c r="H644" s="59"/>
      <c r="I644" s="165"/>
      <c r="J644" s="59"/>
      <c r="K644" s="53"/>
      <c r="L644" s="59"/>
      <c r="M644" s="59"/>
      <c r="N644" s="47" t="b">
        <v>0</v>
      </c>
      <c r="O644" s="59"/>
      <c r="Q644" s="54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</row>
    <row r="645">
      <c r="A645" s="59" t="b">
        <v>0</v>
      </c>
      <c r="B645" s="54"/>
      <c r="C645" s="55"/>
      <c r="D645" s="56"/>
      <c r="E645" s="40"/>
      <c r="F645" s="57"/>
      <c r="G645" s="114"/>
      <c r="H645" s="59"/>
      <c r="I645" s="165"/>
      <c r="J645" s="59"/>
      <c r="K645" s="53"/>
      <c r="L645" s="59"/>
      <c r="M645" s="59"/>
      <c r="N645" s="47" t="b">
        <v>0</v>
      </c>
      <c r="O645" s="59"/>
      <c r="Q645" s="54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</row>
    <row r="646">
      <c r="A646" s="59" t="b">
        <v>0</v>
      </c>
      <c r="B646" s="54"/>
      <c r="C646" s="55"/>
      <c r="D646" s="56"/>
      <c r="E646" s="40"/>
      <c r="F646" s="57"/>
      <c r="G646" s="114"/>
      <c r="H646" s="59"/>
      <c r="I646" s="165"/>
      <c r="J646" s="59"/>
      <c r="K646" s="53"/>
      <c r="L646" s="59"/>
      <c r="M646" s="59"/>
      <c r="N646" s="47" t="b">
        <v>0</v>
      </c>
      <c r="O646" s="59"/>
      <c r="Q646" s="54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</row>
    <row r="647">
      <c r="A647" s="59" t="b">
        <v>0</v>
      </c>
      <c r="B647" s="54"/>
      <c r="C647" s="55"/>
      <c r="D647" s="56"/>
      <c r="E647" s="40"/>
      <c r="F647" s="57"/>
      <c r="G647" s="114"/>
      <c r="H647" s="59"/>
      <c r="I647" s="165"/>
      <c r="J647" s="59"/>
      <c r="K647" s="53"/>
      <c r="L647" s="59"/>
      <c r="M647" s="59"/>
      <c r="N647" s="47" t="b">
        <v>0</v>
      </c>
      <c r="O647" s="59"/>
      <c r="Q647" s="54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</row>
    <row r="648">
      <c r="A648" s="59" t="b">
        <v>0</v>
      </c>
      <c r="B648" s="54"/>
      <c r="C648" s="55"/>
      <c r="D648" s="56"/>
      <c r="E648" s="40"/>
      <c r="F648" s="57"/>
      <c r="G648" s="114"/>
      <c r="H648" s="59"/>
      <c r="I648" s="165"/>
      <c r="J648" s="59"/>
      <c r="K648" s="53"/>
      <c r="L648" s="59"/>
      <c r="M648" s="59"/>
      <c r="N648" s="47" t="b">
        <v>0</v>
      </c>
      <c r="O648" s="59"/>
      <c r="Q648" s="54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</row>
    <row r="649">
      <c r="A649" s="59" t="b">
        <v>0</v>
      </c>
      <c r="B649" s="54"/>
      <c r="C649" s="55"/>
      <c r="D649" s="56"/>
      <c r="E649" s="40"/>
      <c r="F649" s="57"/>
      <c r="G649" s="114"/>
      <c r="H649" s="59"/>
      <c r="I649" s="165"/>
      <c r="J649" s="59"/>
      <c r="K649" s="53"/>
      <c r="L649" s="59"/>
      <c r="M649" s="59"/>
      <c r="N649" s="47" t="b">
        <v>0</v>
      </c>
      <c r="O649" s="59"/>
      <c r="Q649" s="54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</row>
    <row r="650">
      <c r="A650" s="59" t="b">
        <v>0</v>
      </c>
      <c r="B650" s="54"/>
      <c r="C650" s="55"/>
      <c r="D650" s="56"/>
      <c r="E650" s="40"/>
      <c r="F650" s="57"/>
      <c r="G650" s="114"/>
      <c r="H650" s="59"/>
      <c r="I650" s="165"/>
      <c r="J650" s="59"/>
      <c r="K650" s="53"/>
      <c r="L650" s="59"/>
      <c r="M650" s="59"/>
      <c r="N650" s="47" t="b">
        <v>0</v>
      </c>
      <c r="O650" s="59"/>
      <c r="Q650" s="54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</row>
    <row r="651">
      <c r="A651" s="59" t="b">
        <v>0</v>
      </c>
      <c r="B651" s="54"/>
      <c r="C651" s="55"/>
      <c r="D651" s="56"/>
      <c r="E651" s="40"/>
      <c r="F651" s="57"/>
      <c r="G651" s="114"/>
      <c r="H651" s="59"/>
      <c r="I651" s="165"/>
      <c r="J651" s="59"/>
      <c r="K651" s="53"/>
      <c r="L651" s="59"/>
      <c r="M651" s="59"/>
      <c r="N651" s="47" t="b">
        <v>0</v>
      </c>
      <c r="O651" s="59"/>
      <c r="Q651" s="54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</row>
    <row r="652">
      <c r="A652" s="59" t="b">
        <v>0</v>
      </c>
      <c r="B652" s="54"/>
      <c r="C652" s="55"/>
      <c r="D652" s="56"/>
      <c r="E652" s="40"/>
      <c r="F652" s="57"/>
      <c r="G652" s="114"/>
      <c r="H652" s="59"/>
      <c r="I652" s="165"/>
      <c r="J652" s="59"/>
      <c r="K652" s="53"/>
      <c r="L652" s="59"/>
      <c r="M652" s="59"/>
      <c r="N652" s="47" t="b">
        <v>0</v>
      </c>
      <c r="O652" s="59"/>
      <c r="Q652" s="54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</row>
    <row r="653">
      <c r="A653" s="59" t="b">
        <v>0</v>
      </c>
      <c r="B653" s="54"/>
      <c r="C653" s="55"/>
      <c r="D653" s="56"/>
      <c r="E653" s="40"/>
      <c r="F653" s="57"/>
      <c r="G653" s="114"/>
      <c r="H653" s="59"/>
      <c r="I653" s="165"/>
      <c r="J653" s="59"/>
      <c r="K653" s="53"/>
      <c r="L653" s="59"/>
      <c r="M653" s="59"/>
      <c r="N653" s="47" t="b">
        <v>0</v>
      </c>
      <c r="O653" s="59"/>
      <c r="Q653" s="54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</row>
    <row r="654">
      <c r="A654" s="59" t="b">
        <v>0</v>
      </c>
      <c r="B654" s="54"/>
      <c r="C654" s="55"/>
      <c r="D654" s="56"/>
      <c r="E654" s="40"/>
      <c r="F654" s="57"/>
      <c r="G654" s="114"/>
      <c r="H654" s="59"/>
      <c r="I654" s="165"/>
      <c r="J654" s="59"/>
      <c r="K654" s="53"/>
      <c r="L654" s="59"/>
      <c r="M654" s="59"/>
      <c r="N654" s="47" t="b">
        <v>0</v>
      </c>
      <c r="O654" s="59"/>
      <c r="Q654" s="54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</row>
    <row r="655">
      <c r="A655" s="59" t="b">
        <v>0</v>
      </c>
      <c r="B655" s="54"/>
      <c r="C655" s="55"/>
      <c r="D655" s="56"/>
      <c r="E655" s="40"/>
      <c r="F655" s="57"/>
      <c r="G655" s="114"/>
      <c r="H655" s="59"/>
      <c r="I655" s="165"/>
      <c r="J655" s="59"/>
      <c r="K655" s="53"/>
      <c r="L655" s="59"/>
      <c r="M655" s="59"/>
      <c r="N655" s="47" t="b">
        <v>0</v>
      </c>
      <c r="O655" s="59"/>
      <c r="Q655" s="54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</row>
    <row r="656">
      <c r="A656" s="59" t="b">
        <v>0</v>
      </c>
      <c r="B656" s="54"/>
      <c r="C656" s="55"/>
      <c r="D656" s="56"/>
      <c r="E656" s="40"/>
      <c r="F656" s="57"/>
      <c r="G656" s="114"/>
      <c r="H656" s="59"/>
      <c r="I656" s="165"/>
      <c r="J656" s="59"/>
      <c r="K656" s="53"/>
      <c r="L656" s="59"/>
      <c r="M656" s="59"/>
      <c r="N656" s="47" t="b">
        <v>0</v>
      </c>
      <c r="O656" s="59"/>
      <c r="Q656" s="54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</row>
    <row r="657">
      <c r="A657" s="59" t="b">
        <v>0</v>
      </c>
      <c r="B657" s="54"/>
      <c r="C657" s="55"/>
      <c r="D657" s="56"/>
      <c r="E657" s="40"/>
      <c r="F657" s="57"/>
      <c r="G657" s="114"/>
      <c r="H657" s="59"/>
      <c r="I657" s="165"/>
      <c r="J657" s="59"/>
      <c r="K657" s="53"/>
      <c r="L657" s="59"/>
      <c r="M657" s="59"/>
      <c r="N657" s="47" t="b">
        <v>0</v>
      </c>
      <c r="O657" s="59"/>
      <c r="Q657" s="54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</row>
    <row r="658">
      <c r="A658" s="59" t="b">
        <v>0</v>
      </c>
      <c r="B658" s="54"/>
      <c r="C658" s="55"/>
      <c r="D658" s="56"/>
      <c r="E658" s="40"/>
      <c r="F658" s="57"/>
      <c r="G658" s="114"/>
      <c r="H658" s="59"/>
      <c r="I658" s="165"/>
      <c r="J658" s="59"/>
      <c r="K658" s="53"/>
      <c r="L658" s="59"/>
      <c r="M658" s="59"/>
      <c r="N658" s="47" t="b">
        <v>0</v>
      </c>
      <c r="O658" s="59"/>
      <c r="Q658" s="54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</row>
    <row r="659">
      <c r="A659" s="59" t="b">
        <v>0</v>
      </c>
      <c r="B659" s="54"/>
      <c r="C659" s="55"/>
      <c r="D659" s="56"/>
      <c r="E659" s="40"/>
      <c r="F659" s="57"/>
      <c r="G659" s="114"/>
      <c r="H659" s="59"/>
      <c r="I659" s="165"/>
      <c r="J659" s="59"/>
      <c r="K659" s="53"/>
      <c r="L659" s="59"/>
      <c r="M659" s="59"/>
      <c r="N659" s="47" t="b">
        <v>0</v>
      </c>
      <c r="O659" s="59"/>
      <c r="Q659" s="54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</row>
    <row r="660">
      <c r="A660" s="59" t="b">
        <v>0</v>
      </c>
      <c r="B660" s="54"/>
      <c r="C660" s="55"/>
      <c r="D660" s="56"/>
      <c r="E660" s="40"/>
      <c r="F660" s="57"/>
      <c r="G660" s="114"/>
      <c r="H660" s="59"/>
      <c r="I660" s="165"/>
      <c r="J660" s="59"/>
      <c r="K660" s="53"/>
      <c r="L660" s="59"/>
      <c r="M660" s="59"/>
      <c r="N660" s="47" t="b">
        <v>0</v>
      </c>
      <c r="O660" s="59"/>
      <c r="Q660" s="54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</row>
    <row r="661">
      <c r="A661" s="59" t="b">
        <v>0</v>
      </c>
      <c r="B661" s="54"/>
      <c r="C661" s="55"/>
      <c r="D661" s="56"/>
      <c r="E661" s="40"/>
      <c r="F661" s="57"/>
      <c r="G661" s="114"/>
      <c r="H661" s="59"/>
      <c r="I661" s="165"/>
      <c r="J661" s="59"/>
      <c r="K661" s="53"/>
      <c r="L661" s="59"/>
      <c r="M661" s="59"/>
      <c r="N661" s="47" t="b">
        <v>0</v>
      </c>
      <c r="O661" s="59"/>
      <c r="Q661" s="54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</row>
    <row r="662">
      <c r="A662" s="59" t="b">
        <v>0</v>
      </c>
      <c r="B662" s="54"/>
      <c r="C662" s="55"/>
      <c r="D662" s="56"/>
      <c r="E662" s="40"/>
      <c r="F662" s="57"/>
      <c r="G662" s="114"/>
      <c r="H662" s="59"/>
      <c r="I662" s="165"/>
      <c r="J662" s="59"/>
      <c r="K662" s="53"/>
      <c r="L662" s="59"/>
      <c r="M662" s="59"/>
      <c r="N662" s="47" t="b">
        <v>0</v>
      </c>
      <c r="O662" s="59"/>
      <c r="Q662" s="54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</row>
    <row r="663">
      <c r="A663" s="59" t="b">
        <v>0</v>
      </c>
      <c r="B663" s="54"/>
      <c r="C663" s="55"/>
      <c r="D663" s="56"/>
      <c r="E663" s="40"/>
      <c r="F663" s="57"/>
      <c r="G663" s="114"/>
      <c r="H663" s="59"/>
      <c r="I663" s="165"/>
      <c r="J663" s="59"/>
      <c r="K663" s="53"/>
      <c r="L663" s="59"/>
      <c r="M663" s="59"/>
      <c r="N663" s="47" t="b">
        <v>0</v>
      </c>
      <c r="O663" s="59"/>
      <c r="Q663" s="54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</row>
    <row r="664">
      <c r="A664" s="59" t="b">
        <v>0</v>
      </c>
      <c r="B664" s="54"/>
      <c r="C664" s="55"/>
      <c r="D664" s="56"/>
      <c r="E664" s="40"/>
      <c r="F664" s="57"/>
      <c r="G664" s="114"/>
      <c r="H664" s="59"/>
      <c r="I664" s="165"/>
      <c r="J664" s="59"/>
      <c r="K664" s="53"/>
      <c r="L664" s="59"/>
      <c r="M664" s="59"/>
      <c r="N664" s="47" t="b">
        <v>0</v>
      </c>
      <c r="O664" s="59"/>
      <c r="Q664" s="54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</row>
    <row r="665">
      <c r="A665" s="59" t="b">
        <v>0</v>
      </c>
      <c r="B665" s="54"/>
      <c r="C665" s="55"/>
      <c r="D665" s="56"/>
      <c r="E665" s="40"/>
      <c r="F665" s="57"/>
      <c r="G665" s="114"/>
      <c r="H665" s="59"/>
      <c r="I665" s="165"/>
      <c r="J665" s="59"/>
      <c r="K665" s="53"/>
      <c r="L665" s="59"/>
      <c r="M665" s="59"/>
      <c r="N665" s="47" t="b">
        <v>0</v>
      </c>
      <c r="O665" s="59"/>
      <c r="Q665" s="54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</row>
    <row r="666">
      <c r="A666" s="59" t="b">
        <v>0</v>
      </c>
      <c r="B666" s="54"/>
      <c r="C666" s="55"/>
      <c r="D666" s="56"/>
      <c r="E666" s="40"/>
      <c r="F666" s="57"/>
      <c r="G666" s="114"/>
      <c r="H666" s="59"/>
      <c r="I666" s="165"/>
      <c r="J666" s="59"/>
      <c r="K666" s="53"/>
      <c r="L666" s="59"/>
      <c r="M666" s="59"/>
      <c r="N666" s="47" t="b">
        <v>0</v>
      </c>
      <c r="O666" s="59"/>
      <c r="Q666" s="54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</row>
    <row r="667">
      <c r="A667" s="59" t="b">
        <v>0</v>
      </c>
      <c r="B667" s="54"/>
      <c r="C667" s="55"/>
      <c r="D667" s="56"/>
      <c r="E667" s="40"/>
      <c r="F667" s="57"/>
      <c r="G667" s="114"/>
      <c r="H667" s="59"/>
      <c r="I667" s="165"/>
      <c r="J667" s="59"/>
      <c r="K667" s="53"/>
      <c r="L667" s="59"/>
      <c r="M667" s="59"/>
      <c r="N667" s="47" t="b">
        <v>0</v>
      </c>
      <c r="O667" s="59"/>
      <c r="Q667" s="54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</row>
    <row r="668">
      <c r="A668" s="59" t="b">
        <v>0</v>
      </c>
      <c r="B668" s="54"/>
      <c r="C668" s="55"/>
      <c r="D668" s="56"/>
      <c r="E668" s="40"/>
      <c r="F668" s="57"/>
      <c r="G668" s="114"/>
      <c r="H668" s="59"/>
      <c r="I668" s="165"/>
      <c r="J668" s="59"/>
      <c r="K668" s="53"/>
      <c r="L668" s="59"/>
      <c r="M668" s="59"/>
      <c r="N668" s="47" t="b">
        <v>0</v>
      </c>
      <c r="O668" s="59"/>
      <c r="Q668" s="54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</row>
    <row r="669">
      <c r="A669" s="59" t="b">
        <v>0</v>
      </c>
      <c r="B669" s="54"/>
      <c r="C669" s="55"/>
      <c r="D669" s="56"/>
      <c r="E669" s="40"/>
      <c r="F669" s="57"/>
      <c r="G669" s="114"/>
      <c r="H669" s="59"/>
      <c r="I669" s="165"/>
      <c r="J669" s="59"/>
      <c r="K669" s="53"/>
      <c r="L669" s="59"/>
      <c r="M669" s="59"/>
      <c r="N669" s="47" t="b">
        <v>0</v>
      </c>
      <c r="O669" s="59"/>
      <c r="Q669" s="54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</row>
    <row r="670">
      <c r="A670" s="59" t="b">
        <v>0</v>
      </c>
      <c r="B670" s="54"/>
      <c r="C670" s="55"/>
      <c r="D670" s="56"/>
      <c r="E670" s="40"/>
      <c r="F670" s="57"/>
      <c r="G670" s="114"/>
      <c r="H670" s="59"/>
      <c r="I670" s="165"/>
      <c r="J670" s="59"/>
      <c r="K670" s="53"/>
      <c r="L670" s="59"/>
      <c r="M670" s="59"/>
      <c r="N670" s="47" t="b">
        <v>0</v>
      </c>
      <c r="O670" s="59"/>
      <c r="Q670" s="54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</row>
    <row r="671">
      <c r="A671" s="59" t="b">
        <v>0</v>
      </c>
      <c r="B671" s="54"/>
      <c r="C671" s="55"/>
      <c r="D671" s="56"/>
      <c r="E671" s="40"/>
      <c r="F671" s="57"/>
      <c r="G671" s="114"/>
      <c r="H671" s="59"/>
      <c r="I671" s="165"/>
      <c r="J671" s="59"/>
      <c r="K671" s="53"/>
      <c r="L671" s="59"/>
      <c r="M671" s="59"/>
      <c r="N671" s="47" t="b">
        <v>0</v>
      </c>
      <c r="O671" s="59"/>
      <c r="Q671" s="54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</row>
    <row r="672">
      <c r="A672" s="59" t="b">
        <v>0</v>
      </c>
      <c r="B672" s="54"/>
      <c r="C672" s="55"/>
      <c r="D672" s="56"/>
      <c r="E672" s="40"/>
      <c r="F672" s="57"/>
      <c r="G672" s="114"/>
      <c r="H672" s="59"/>
      <c r="I672" s="165"/>
      <c r="J672" s="59"/>
      <c r="K672" s="53"/>
      <c r="L672" s="59"/>
      <c r="M672" s="59"/>
      <c r="N672" s="47" t="b">
        <v>0</v>
      </c>
      <c r="O672" s="59"/>
      <c r="Q672" s="54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</row>
    <row r="673">
      <c r="A673" s="59" t="b">
        <v>0</v>
      </c>
      <c r="B673" s="54"/>
      <c r="C673" s="55"/>
      <c r="D673" s="56"/>
      <c r="E673" s="40"/>
      <c r="F673" s="57"/>
      <c r="G673" s="114"/>
      <c r="H673" s="59"/>
      <c r="I673" s="165"/>
      <c r="J673" s="59"/>
      <c r="K673" s="53"/>
      <c r="L673" s="59"/>
      <c r="M673" s="59"/>
      <c r="N673" s="47" t="b">
        <v>0</v>
      </c>
      <c r="O673" s="59"/>
      <c r="Q673" s="54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</row>
    <row r="674">
      <c r="A674" s="59" t="b">
        <v>0</v>
      </c>
      <c r="B674" s="54"/>
      <c r="C674" s="55"/>
      <c r="D674" s="56"/>
      <c r="E674" s="40"/>
      <c r="F674" s="57"/>
      <c r="G674" s="114"/>
      <c r="H674" s="59"/>
      <c r="I674" s="165"/>
      <c r="J674" s="59"/>
      <c r="K674" s="53"/>
      <c r="L674" s="59"/>
      <c r="M674" s="59"/>
      <c r="N674" s="47" t="b">
        <v>0</v>
      </c>
      <c r="O674" s="59"/>
      <c r="Q674" s="54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</row>
    <row r="675">
      <c r="A675" s="59" t="b">
        <v>0</v>
      </c>
      <c r="B675" s="54"/>
      <c r="C675" s="55"/>
      <c r="D675" s="56"/>
      <c r="E675" s="40"/>
      <c r="F675" s="57"/>
      <c r="G675" s="114"/>
      <c r="H675" s="59"/>
      <c r="I675" s="165"/>
      <c r="J675" s="59"/>
      <c r="K675" s="53"/>
      <c r="L675" s="59"/>
      <c r="M675" s="59"/>
      <c r="N675" s="47" t="b">
        <v>0</v>
      </c>
      <c r="O675" s="59"/>
      <c r="Q675" s="54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</row>
    <row r="676">
      <c r="A676" s="59" t="b">
        <v>0</v>
      </c>
      <c r="B676" s="54"/>
      <c r="C676" s="55"/>
      <c r="D676" s="56"/>
      <c r="E676" s="40"/>
      <c r="F676" s="57"/>
      <c r="G676" s="114"/>
      <c r="H676" s="59"/>
      <c r="I676" s="165"/>
      <c r="J676" s="59"/>
      <c r="K676" s="53"/>
      <c r="L676" s="59"/>
      <c r="M676" s="59"/>
      <c r="N676" s="47" t="b">
        <v>0</v>
      </c>
      <c r="O676" s="59"/>
      <c r="Q676" s="54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</row>
    <row r="677">
      <c r="A677" s="59" t="b">
        <v>0</v>
      </c>
      <c r="B677" s="54"/>
      <c r="C677" s="55"/>
      <c r="D677" s="56"/>
      <c r="E677" s="40"/>
      <c r="F677" s="57"/>
      <c r="G677" s="114"/>
      <c r="H677" s="59"/>
      <c r="I677" s="165"/>
      <c r="J677" s="59"/>
      <c r="K677" s="53"/>
      <c r="L677" s="59"/>
      <c r="M677" s="59"/>
      <c r="N677" s="47" t="b">
        <v>0</v>
      </c>
      <c r="O677" s="59"/>
      <c r="Q677" s="54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</row>
    <row r="678">
      <c r="A678" s="59" t="b">
        <v>0</v>
      </c>
      <c r="B678" s="54"/>
      <c r="C678" s="55"/>
      <c r="D678" s="56"/>
      <c r="E678" s="40"/>
      <c r="F678" s="57"/>
      <c r="G678" s="114"/>
      <c r="H678" s="59"/>
      <c r="I678" s="165"/>
      <c r="J678" s="59"/>
      <c r="K678" s="53"/>
      <c r="L678" s="59"/>
      <c r="M678" s="59"/>
      <c r="N678" s="47" t="b">
        <v>0</v>
      </c>
      <c r="O678" s="59"/>
      <c r="Q678" s="54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</row>
    <row r="679">
      <c r="A679" s="59" t="b">
        <v>0</v>
      </c>
      <c r="B679" s="54"/>
      <c r="C679" s="55"/>
      <c r="D679" s="56"/>
      <c r="E679" s="40"/>
      <c r="F679" s="57"/>
      <c r="G679" s="114"/>
      <c r="H679" s="59"/>
      <c r="I679" s="165"/>
      <c r="J679" s="59"/>
      <c r="K679" s="53"/>
      <c r="L679" s="59"/>
      <c r="M679" s="59"/>
      <c r="N679" s="47" t="b">
        <v>0</v>
      </c>
      <c r="O679" s="59"/>
      <c r="Q679" s="54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</row>
    <row r="680">
      <c r="A680" s="59" t="b">
        <v>0</v>
      </c>
      <c r="B680" s="54"/>
      <c r="C680" s="55"/>
      <c r="D680" s="56"/>
      <c r="E680" s="40"/>
      <c r="F680" s="57"/>
      <c r="G680" s="114"/>
      <c r="H680" s="59"/>
      <c r="I680" s="165"/>
      <c r="J680" s="59"/>
      <c r="K680" s="53"/>
      <c r="L680" s="59"/>
      <c r="M680" s="59"/>
      <c r="N680" s="47" t="b">
        <v>0</v>
      </c>
      <c r="O680" s="59"/>
      <c r="Q680" s="54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</row>
    <row r="681">
      <c r="A681" s="59" t="b">
        <v>0</v>
      </c>
      <c r="B681" s="54"/>
      <c r="C681" s="55"/>
      <c r="D681" s="56"/>
      <c r="E681" s="40"/>
      <c r="F681" s="57"/>
      <c r="G681" s="114"/>
      <c r="H681" s="59"/>
      <c r="I681" s="165"/>
      <c r="J681" s="59"/>
      <c r="K681" s="53"/>
      <c r="L681" s="59"/>
      <c r="M681" s="59"/>
      <c r="N681" s="47" t="b">
        <v>0</v>
      </c>
      <c r="O681" s="59"/>
      <c r="Q681" s="54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</row>
    <row r="682">
      <c r="A682" s="59" t="b">
        <v>0</v>
      </c>
      <c r="B682" s="54"/>
      <c r="C682" s="55"/>
      <c r="D682" s="56"/>
      <c r="E682" s="40"/>
      <c r="F682" s="57"/>
      <c r="G682" s="114"/>
      <c r="H682" s="59"/>
      <c r="I682" s="165"/>
      <c r="J682" s="59"/>
      <c r="K682" s="53"/>
      <c r="L682" s="59"/>
      <c r="M682" s="59"/>
      <c r="N682" s="47" t="b">
        <v>0</v>
      </c>
      <c r="O682" s="59"/>
      <c r="Q682" s="54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</row>
    <row r="683">
      <c r="A683" s="59" t="b">
        <v>0</v>
      </c>
      <c r="B683" s="54"/>
      <c r="C683" s="55"/>
      <c r="D683" s="56"/>
      <c r="E683" s="40"/>
      <c r="F683" s="57"/>
      <c r="G683" s="114"/>
      <c r="H683" s="59"/>
      <c r="I683" s="165"/>
      <c r="J683" s="59"/>
      <c r="K683" s="53"/>
      <c r="L683" s="59"/>
      <c r="M683" s="59"/>
      <c r="N683" s="47" t="b">
        <v>0</v>
      </c>
      <c r="O683" s="59"/>
      <c r="Q683" s="54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</row>
    <row r="684">
      <c r="A684" s="59" t="b">
        <v>0</v>
      </c>
      <c r="B684" s="54"/>
      <c r="C684" s="55"/>
      <c r="D684" s="56"/>
      <c r="E684" s="40"/>
      <c r="F684" s="57"/>
      <c r="G684" s="114"/>
      <c r="H684" s="59"/>
      <c r="I684" s="165"/>
      <c r="J684" s="59"/>
      <c r="K684" s="53"/>
      <c r="L684" s="59"/>
      <c r="M684" s="59"/>
      <c r="N684" s="47" t="b">
        <v>0</v>
      </c>
      <c r="O684" s="59"/>
      <c r="Q684" s="54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</row>
    <row r="685">
      <c r="A685" s="59" t="b">
        <v>0</v>
      </c>
      <c r="B685" s="54"/>
      <c r="C685" s="55"/>
      <c r="D685" s="56"/>
      <c r="E685" s="40"/>
      <c r="F685" s="57"/>
      <c r="G685" s="114"/>
      <c r="H685" s="59"/>
      <c r="I685" s="165"/>
      <c r="J685" s="59"/>
      <c r="K685" s="53"/>
      <c r="L685" s="59"/>
      <c r="M685" s="59"/>
      <c r="N685" s="47" t="b">
        <v>0</v>
      </c>
      <c r="O685" s="59"/>
      <c r="Q685" s="54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</row>
    <row r="686">
      <c r="A686" s="59" t="b">
        <v>0</v>
      </c>
      <c r="B686" s="54"/>
      <c r="C686" s="55"/>
      <c r="D686" s="56"/>
      <c r="E686" s="40"/>
      <c r="F686" s="57"/>
      <c r="G686" s="114"/>
      <c r="H686" s="59"/>
      <c r="I686" s="165"/>
      <c r="J686" s="59"/>
      <c r="K686" s="53"/>
      <c r="L686" s="59"/>
      <c r="M686" s="59"/>
      <c r="N686" s="47" t="b">
        <v>0</v>
      </c>
      <c r="O686" s="59"/>
      <c r="Q686" s="54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</row>
    <row r="687">
      <c r="A687" s="59" t="b">
        <v>0</v>
      </c>
      <c r="B687" s="54"/>
      <c r="C687" s="55"/>
      <c r="D687" s="56"/>
      <c r="E687" s="40"/>
      <c r="F687" s="57"/>
      <c r="G687" s="114"/>
      <c r="H687" s="59"/>
      <c r="I687" s="165"/>
      <c r="J687" s="59"/>
      <c r="K687" s="53"/>
      <c r="L687" s="59"/>
      <c r="M687" s="59"/>
      <c r="N687" s="47" t="b">
        <v>0</v>
      </c>
      <c r="O687" s="59"/>
      <c r="Q687" s="54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</row>
    <row r="688">
      <c r="A688" s="59" t="b">
        <v>0</v>
      </c>
      <c r="B688" s="54"/>
      <c r="C688" s="55"/>
      <c r="D688" s="56"/>
      <c r="E688" s="40"/>
      <c r="F688" s="57"/>
      <c r="G688" s="114"/>
      <c r="H688" s="59"/>
      <c r="I688" s="165"/>
      <c r="J688" s="59"/>
      <c r="K688" s="53"/>
      <c r="L688" s="59"/>
      <c r="M688" s="59"/>
      <c r="N688" s="47" t="b">
        <v>0</v>
      </c>
      <c r="O688" s="59"/>
      <c r="Q688" s="54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</row>
    <row r="689">
      <c r="A689" s="59" t="b">
        <v>0</v>
      </c>
      <c r="B689" s="54"/>
      <c r="C689" s="55"/>
      <c r="D689" s="56"/>
      <c r="E689" s="40"/>
      <c r="F689" s="57"/>
      <c r="G689" s="114"/>
      <c r="H689" s="59"/>
      <c r="I689" s="165"/>
      <c r="J689" s="59"/>
      <c r="K689" s="53"/>
      <c r="L689" s="59"/>
      <c r="M689" s="59"/>
      <c r="N689" s="47" t="b">
        <v>0</v>
      </c>
      <c r="O689" s="59"/>
      <c r="Q689" s="54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</row>
    <row r="690">
      <c r="A690" s="59" t="b">
        <v>0</v>
      </c>
      <c r="B690" s="54"/>
      <c r="C690" s="55"/>
      <c r="D690" s="56"/>
      <c r="E690" s="40"/>
      <c r="F690" s="57"/>
      <c r="G690" s="114"/>
      <c r="H690" s="59"/>
      <c r="I690" s="165"/>
      <c r="J690" s="59"/>
      <c r="K690" s="53"/>
      <c r="L690" s="59"/>
      <c r="M690" s="59"/>
      <c r="N690" s="47" t="b">
        <v>0</v>
      </c>
      <c r="O690" s="59"/>
      <c r="Q690" s="54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</row>
    <row r="691">
      <c r="A691" s="59" t="b">
        <v>0</v>
      </c>
      <c r="B691" s="54"/>
      <c r="C691" s="55"/>
      <c r="D691" s="56"/>
      <c r="E691" s="40"/>
      <c r="F691" s="57"/>
      <c r="G691" s="114"/>
      <c r="H691" s="59"/>
      <c r="I691" s="165"/>
      <c r="J691" s="59"/>
      <c r="K691" s="53"/>
      <c r="L691" s="59"/>
      <c r="M691" s="59"/>
      <c r="N691" s="47" t="b">
        <v>0</v>
      </c>
      <c r="O691" s="59"/>
      <c r="Q691" s="54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</row>
    <row r="692">
      <c r="A692" s="59" t="b">
        <v>0</v>
      </c>
      <c r="B692" s="54"/>
      <c r="C692" s="55"/>
      <c r="D692" s="56"/>
      <c r="E692" s="40"/>
      <c r="F692" s="57"/>
      <c r="G692" s="114"/>
      <c r="H692" s="59"/>
      <c r="I692" s="165"/>
      <c r="J692" s="59"/>
      <c r="K692" s="53"/>
      <c r="L692" s="59"/>
      <c r="M692" s="59"/>
      <c r="N692" s="47" t="b">
        <v>0</v>
      </c>
      <c r="O692" s="59"/>
      <c r="Q692" s="54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</row>
    <row r="693">
      <c r="A693" s="59" t="b">
        <v>0</v>
      </c>
      <c r="B693" s="54"/>
      <c r="C693" s="55"/>
      <c r="D693" s="56"/>
      <c r="E693" s="40"/>
      <c r="F693" s="57"/>
      <c r="G693" s="114"/>
      <c r="H693" s="59"/>
      <c r="I693" s="165"/>
      <c r="J693" s="59"/>
      <c r="K693" s="53"/>
      <c r="L693" s="59"/>
      <c r="M693" s="59"/>
      <c r="N693" s="47" t="b">
        <v>0</v>
      </c>
      <c r="O693" s="59"/>
      <c r="Q693" s="54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</row>
    <row r="694">
      <c r="A694" s="59" t="b">
        <v>0</v>
      </c>
      <c r="B694" s="54"/>
      <c r="C694" s="55"/>
      <c r="D694" s="56"/>
      <c r="E694" s="40"/>
      <c r="F694" s="57"/>
      <c r="G694" s="114"/>
      <c r="H694" s="59"/>
      <c r="I694" s="165"/>
      <c r="J694" s="59"/>
      <c r="K694" s="53"/>
      <c r="L694" s="59"/>
      <c r="M694" s="59"/>
      <c r="N694" s="47" t="b">
        <v>0</v>
      </c>
      <c r="O694" s="59"/>
      <c r="Q694" s="54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</row>
    <row r="695">
      <c r="A695" s="59" t="b">
        <v>0</v>
      </c>
      <c r="B695" s="54"/>
      <c r="C695" s="55"/>
      <c r="D695" s="56"/>
      <c r="E695" s="40"/>
      <c r="F695" s="57"/>
      <c r="G695" s="114"/>
      <c r="H695" s="59"/>
      <c r="I695" s="165"/>
      <c r="J695" s="59"/>
      <c r="K695" s="53"/>
      <c r="L695" s="59"/>
      <c r="M695" s="59"/>
      <c r="N695" s="47" t="b">
        <v>0</v>
      </c>
      <c r="O695" s="59"/>
      <c r="Q695" s="54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</row>
    <row r="696">
      <c r="A696" s="59" t="b">
        <v>0</v>
      </c>
      <c r="B696" s="54"/>
      <c r="C696" s="55"/>
      <c r="D696" s="56"/>
      <c r="E696" s="40"/>
      <c r="F696" s="57"/>
      <c r="G696" s="114"/>
      <c r="H696" s="59"/>
      <c r="I696" s="165"/>
      <c r="J696" s="59"/>
      <c r="K696" s="53"/>
      <c r="L696" s="59"/>
      <c r="M696" s="59"/>
      <c r="N696" s="47" t="b">
        <v>0</v>
      </c>
      <c r="O696" s="59"/>
      <c r="Q696" s="54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</row>
    <row r="697">
      <c r="A697" s="59" t="b">
        <v>0</v>
      </c>
      <c r="B697" s="54"/>
      <c r="C697" s="55"/>
      <c r="D697" s="56"/>
      <c r="E697" s="40"/>
      <c r="F697" s="57"/>
      <c r="G697" s="114"/>
      <c r="H697" s="59"/>
      <c r="I697" s="165"/>
      <c r="J697" s="59"/>
      <c r="K697" s="53"/>
      <c r="L697" s="59"/>
      <c r="M697" s="59"/>
      <c r="N697" s="47" t="b">
        <v>0</v>
      </c>
      <c r="O697" s="59"/>
      <c r="Q697" s="54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</row>
    <row r="698">
      <c r="A698" s="59" t="b">
        <v>0</v>
      </c>
      <c r="B698" s="54"/>
      <c r="C698" s="55"/>
      <c r="D698" s="56"/>
      <c r="E698" s="40"/>
      <c r="F698" s="57"/>
      <c r="G698" s="114"/>
      <c r="H698" s="59"/>
      <c r="I698" s="165"/>
      <c r="J698" s="59"/>
      <c r="K698" s="53"/>
      <c r="L698" s="59"/>
      <c r="M698" s="59"/>
      <c r="N698" s="47" t="b">
        <v>0</v>
      </c>
      <c r="O698" s="59"/>
      <c r="Q698" s="54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</row>
    <row r="699">
      <c r="A699" s="59" t="b">
        <v>0</v>
      </c>
      <c r="B699" s="54"/>
      <c r="C699" s="55"/>
      <c r="D699" s="56"/>
      <c r="E699" s="40"/>
      <c r="F699" s="57"/>
      <c r="G699" s="114"/>
      <c r="H699" s="59"/>
      <c r="I699" s="165"/>
      <c r="J699" s="59"/>
      <c r="K699" s="53"/>
      <c r="L699" s="59"/>
      <c r="M699" s="59"/>
      <c r="N699" s="47" t="b">
        <v>0</v>
      </c>
      <c r="O699" s="59"/>
      <c r="Q699" s="54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</row>
    <row r="700">
      <c r="A700" s="59" t="b">
        <v>0</v>
      </c>
      <c r="B700" s="54"/>
      <c r="C700" s="55"/>
      <c r="D700" s="56"/>
      <c r="E700" s="40"/>
      <c r="F700" s="57"/>
      <c r="G700" s="114"/>
      <c r="H700" s="59"/>
      <c r="I700" s="165"/>
      <c r="J700" s="59"/>
      <c r="K700" s="53"/>
      <c r="L700" s="59"/>
      <c r="M700" s="59"/>
      <c r="N700" s="47" t="b">
        <v>0</v>
      </c>
      <c r="O700" s="59"/>
      <c r="Q700" s="54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</row>
    <row r="701">
      <c r="A701" s="59" t="b">
        <v>0</v>
      </c>
      <c r="B701" s="54"/>
      <c r="C701" s="55"/>
      <c r="D701" s="56"/>
      <c r="E701" s="40"/>
      <c r="F701" s="57"/>
      <c r="G701" s="114"/>
      <c r="H701" s="59"/>
      <c r="I701" s="165"/>
      <c r="J701" s="59"/>
      <c r="K701" s="53"/>
      <c r="L701" s="59"/>
      <c r="M701" s="59"/>
      <c r="N701" s="47" t="b">
        <v>0</v>
      </c>
      <c r="O701" s="59"/>
      <c r="Q701" s="54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</row>
    <row r="702">
      <c r="A702" s="59" t="b">
        <v>0</v>
      </c>
      <c r="B702" s="54"/>
      <c r="C702" s="55"/>
      <c r="D702" s="56"/>
      <c r="E702" s="40"/>
      <c r="F702" s="57"/>
      <c r="G702" s="114"/>
      <c r="H702" s="59"/>
      <c r="I702" s="165"/>
      <c r="J702" s="59"/>
      <c r="K702" s="53"/>
      <c r="L702" s="59"/>
      <c r="M702" s="59"/>
      <c r="N702" s="47" t="b">
        <v>0</v>
      </c>
      <c r="O702" s="59"/>
      <c r="Q702" s="54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</row>
    <row r="703">
      <c r="A703" s="59" t="b">
        <v>0</v>
      </c>
      <c r="B703" s="54"/>
      <c r="C703" s="55"/>
      <c r="D703" s="56"/>
      <c r="E703" s="40"/>
      <c r="F703" s="57"/>
      <c r="G703" s="114"/>
      <c r="H703" s="59"/>
      <c r="I703" s="165"/>
      <c r="J703" s="59"/>
      <c r="K703" s="53"/>
      <c r="L703" s="59"/>
      <c r="M703" s="59"/>
      <c r="N703" s="47" t="b">
        <v>0</v>
      </c>
      <c r="O703" s="59"/>
      <c r="Q703" s="54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</row>
    <row r="704">
      <c r="A704" s="59" t="b">
        <v>0</v>
      </c>
      <c r="B704" s="54"/>
      <c r="C704" s="55"/>
      <c r="D704" s="56"/>
      <c r="E704" s="40"/>
      <c r="F704" s="57"/>
      <c r="G704" s="114"/>
      <c r="H704" s="59"/>
      <c r="I704" s="165"/>
      <c r="J704" s="59"/>
      <c r="K704" s="53"/>
      <c r="L704" s="59"/>
      <c r="M704" s="59"/>
      <c r="N704" s="47" t="b">
        <v>0</v>
      </c>
      <c r="O704" s="59"/>
      <c r="Q704" s="54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</row>
    <row r="705">
      <c r="A705" s="59" t="b">
        <v>0</v>
      </c>
      <c r="B705" s="54"/>
      <c r="C705" s="55"/>
      <c r="D705" s="56"/>
      <c r="E705" s="40"/>
      <c r="F705" s="57"/>
      <c r="G705" s="114"/>
      <c r="H705" s="59"/>
      <c r="I705" s="165"/>
      <c r="J705" s="59"/>
      <c r="K705" s="53"/>
      <c r="L705" s="59"/>
      <c r="M705" s="59"/>
      <c r="N705" s="47" t="b">
        <v>0</v>
      </c>
      <c r="O705" s="59"/>
      <c r="Q705" s="54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</row>
    <row r="706">
      <c r="A706" s="59" t="b">
        <v>0</v>
      </c>
      <c r="B706" s="54"/>
      <c r="C706" s="55"/>
      <c r="D706" s="56"/>
      <c r="E706" s="40"/>
      <c r="F706" s="57"/>
      <c r="G706" s="114"/>
      <c r="H706" s="59"/>
      <c r="I706" s="165"/>
      <c r="J706" s="59"/>
      <c r="K706" s="53"/>
      <c r="L706" s="59"/>
      <c r="M706" s="59"/>
      <c r="N706" s="47" t="b">
        <v>0</v>
      </c>
      <c r="O706" s="59"/>
      <c r="Q706" s="54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</row>
    <row r="707">
      <c r="A707" s="59" t="b">
        <v>0</v>
      </c>
      <c r="B707" s="54"/>
      <c r="C707" s="55"/>
      <c r="D707" s="56"/>
      <c r="E707" s="40"/>
      <c r="F707" s="57"/>
      <c r="G707" s="114"/>
      <c r="H707" s="59"/>
      <c r="I707" s="165"/>
      <c r="J707" s="59"/>
      <c r="K707" s="53"/>
      <c r="L707" s="59"/>
      <c r="M707" s="59"/>
      <c r="N707" s="47" t="b">
        <v>0</v>
      </c>
      <c r="O707" s="59"/>
      <c r="Q707" s="54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</row>
    <row r="708">
      <c r="A708" s="59" t="b">
        <v>0</v>
      </c>
      <c r="B708" s="54"/>
      <c r="C708" s="55"/>
      <c r="D708" s="56"/>
      <c r="E708" s="40"/>
      <c r="F708" s="57"/>
      <c r="G708" s="114"/>
      <c r="H708" s="59"/>
      <c r="I708" s="165"/>
      <c r="J708" s="59"/>
      <c r="K708" s="53"/>
      <c r="L708" s="59"/>
      <c r="M708" s="59"/>
      <c r="N708" s="47" t="b">
        <v>0</v>
      </c>
      <c r="O708" s="59"/>
      <c r="Q708" s="54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</row>
    <row r="709">
      <c r="A709" s="59" t="b">
        <v>0</v>
      </c>
      <c r="B709" s="54"/>
      <c r="C709" s="55"/>
      <c r="D709" s="56"/>
      <c r="E709" s="40"/>
      <c r="F709" s="57"/>
      <c r="G709" s="114"/>
      <c r="H709" s="59"/>
      <c r="I709" s="165"/>
      <c r="J709" s="59"/>
      <c r="K709" s="53"/>
      <c r="L709" s="59"/>
      <c r="M709" s="59"/>
      <c r="N709" s="47" t="b">
        <v>0</v>
      </c>
      <c r="O709" s="59"/>
      <c r="Q709" s="54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</row>
    <row r="710">
      <c r="A710" s="59" t="b">
        <v>0</v>
      </c>
      <c r="B710" s="54"/>
      <c r="C710" s="55"/>
      <c r="D710" s="56"/>
      <c r="E710" s="40"/>
      <c r="F710" s="57"/>
      <c r="G710" s="114"/>
      <c r="H710" s="59"/>
      <c r="I710" s="165"/>
      <c r="J710" s="59"/>
      <c r="K710" s="53"/>
      <c r="L710" s="59"/>
      <c r="M710" s="59"/>
      <c r="N710" s="47" t="b">
        <v>0</v>
      </c>
      <c r="O710" s="59"/>
      <c r="Q710" s="54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</row>
    <row r="711">
      <c r="A711" s="59" t="b">
        <v>0</v>
      </c>
      <c r="B711" s="54"/>
      <c r="C711" s="55"/>
      <c r="D711" s="56"/>
      <c r="E711" s="40"/>
      <c r="F711" s="57"/>
      <c r="G711" s="114"/>
      <c r="H711" s="59"/>
      <c r="I711" s="165"/>
      <c r="J711" s="59"/>
      <c r="K711" s="53"/>
      <c r="L711" s="59"/>
      <c r="M711" s="59"/>
      <c r="N711" s="47" t="b">
        <v>0</v>
      </c>
      <c r="O711" s="59"/>
      <c r="Q711" s="54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</row>
    <row r="712">
      <c r="A712" s="59" t="b">
        <v>0</v>
      </c>
      <c r="B712" s="54"/>
      <c r="C712" s="55"/>
      <c r="D712" s="56"/>
      <c r="E712" s="40"/>
      <c r="F712" s="57"/>
      <c r="G712" s="114"/>
      <c r="H712" s="59"/>
      <c r="I712" s="165"/>
      <c r="J712" s="59"/>
      <c r="K712" s="53"/>
      <c r="L712" s="59"/>
      <c r="M712" s="59"/>
      <c r="N712" s="47" t="b">
        <v>0</v>
      </c>
      <c r="O712" s="59"/>
      <c r="Q712" s="54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</row>
    <row r="713">
      <c r="A713" s="59" t="b">
        <v>0</v>
      </c>
      <c r="B713" s="54"/>
      <c r="C713" s="55"/>
      <c r="D713" s="56"/>
      <c r="E713" s="40"/>
      <c r="F713" s="57"/>
      <c r="G713" s="114"/>
      <c r="H713" s="59"/>
      <c r="I713" s="165"/>
      <c r="J713" s="59"/>
      <c r="K713" s="53"/>
      <c r="L713" s="59"/>
      <c r="M713" s="59"/>
      <c r="N713" s="47" t="b">
        <v>0</v>
      </c>
      <c r="O713" s="59"/>
      <c r="Q713" s="54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</row>
    <row r="714">
      <c r="A714" s="59" t="b">
        <v>0</v>
      </c>
      <c r="B714" s="54"/>
      <c r="C714" s="55"/>
      <c r="D714" s="56"/>
      <c r="E714" s="40"/>
      <c r="F714" s="57"/>
      <c r="G714" s="114"/>
      <c r="H714" s="59"/>
      <c r="I714" s="165"/>
      <c r="J714" s="59"/>
      <c r="K714" s="53"/>
      <c r="L714" s="59"/>
      <c r="M714" s="59"/>
      <c r="N714" s="47" t="b">
        <v>0</v>
      </c>
      <c r="O714" s="59"/>
      <c r="Q714" s="54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</row>
    <row r="715">
      <c r="A715" s="59" t="b">
        <v>0</v>
      </c>
      <c r="B715" s="54"/>
      <c r="C715" s="55"/>
      <c r="D715" s="56"/>
      <c r="E715" s="40"/>
      <c r="F715" s="57"/>
      <c r="G715" s="114"/>
      <c r="H715" s="59"/>
      <c r="I715" s="165"/>
      <c r="J715" s="59"/>
      <c r="K715" s="53"/>
      <c r="L715" s="59"/>
      <c r="M715" s="59"/>
      <c r="N715" s="47" t="b">
        <v>0</v>
      </c>
      <c r="O715" s="59"/>
      <c r="Q715" s="54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</row>
    <row r="716">
      <c r="A716" s="59" t="b">
        <v>0</v>
      </c>
      <c r="B716" s="54"/>
      <c r="C716" s="55"/>
      <c r="D716" s="56"/>
      <c r="E716" s="40"/>
      <c r="F716" s="57"/>
      <c r="G716" s="114"/>
      <c r="H716" s="59"/>
      <c r="I716" s="165"/>
      <c r="J716" s="59"/>
      <c r="K716" s="53"/>
      <c r="L716" s="59"/>
      <c r="M716" s="59"/>
      <c r="N716" s="47" t="b">
        <v>0</v>
      </c>
      <c r="O716" s="59"/>
      <c r="Q716" s="54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</row>
    <row r="717">
      <c r="A717" s="59" t="b">
        <v>0</v>
      </c>
      <c r="B717" s="54"/>
      <c r="C717" s="55"/>
      <c r="D717" s="56"/>
      <c r="E717" s="40"/>
      <c r="F717" s="57"/>
      <c r="G717" s="114"/>
      <c r="H717" s="59"/>
      <c r="I717" s="165"/>
      <c r="J717" s="59"/>
      <c r="K717" s="53"/>
      <c r="L717" s="59"/>
      <c r="M717" s="59"/>
      <c r="N717" s="47" t="b">
        <v>0</v>
      </c>
      <c r="O717" s="59"/>
      <c r="Q717" s="54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</row>
    <row r="718">
      <c r="A718" s="59" t="b">
        <v>0</v>
      </c>
      <c r="B718" s="54"/>
      <c r="C718" s="55"/>
      <c r="D718" s="56"/>
      <c r="E718" s="40"/>
      <c r="F718" s="57"/>
      <c r="G718" s="114"/>
      <c r="H718" s="59"/>
      <c r="I718" s="165"/>
      <c r="J718" s="59"/>
      <c r="K718" s="53"/>
      <c r="L718" s="59"/>
      <c r="M718" s="59"/>
      <c r="N718" s="47" t="b">
        <v>0</v>
      </c>
      <c r="O718" s="59"/>
      <c r="Q718" s="54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</row>
    <row r="719">
      <c r="A719" s="59" t="b">
        <v>0</v>
      </c>
      <c r="B719" s="54"/>
      <c r="C719" s="55"/>
      <c r="D719" s="56"/>
      <c r="E719" s="40"/>
      <c r="F719" s="57"/>
      <c r="G719" s="114"/>
      <c r="H719" s="59"/>
      <c r="I719" s="165"/>
      <c r="J719" s="59"/>
      <c r="K719" s="53"/>
      <c r="L719" s="59"/>
      <c r="M719" s="59"/>
      <c r="N719" s="47" t="b">
        <v>0</v>
      </c>
      <c r="O719" s="59"/>
      <c r="Q719" s="54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</row>
    <row r="720">
      <c r="A720" s="59" t="b">
        <v>0</v>
      </c>
      <c r="B720" s="54"/>
      <c r="C720" s="55"/>
      <c r="D720" s="56"/>
      <c r="E720" s="40"/>
      <c r="F720" s="57"/>
      <c r="G720" s="114"/>
      <c r="H720" s="59"/>
      <c r="I720" s="165"/>
      <c r="J720" s="59"/>
      <c r="K720" s="53"/>
      <c r="L720" s="59"/>
      <c r="M720" s="59"/>
      <c r="N720" s="47" t="b">
        <v>0</v>
      </c>
      <c r="O720" s="59"/>
      <c r="Q720" s="54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</row>
    <row r="721">
      <c r="A721" s="59" t="b">
        <v>0</v>
      </c>
      <c r="B721" s="54"/>
      <c r="C721" s="55"/>
      <c r="D721" s="56"/>
      <c r="E721" s="40"/>
      <c r="F721" s="57"/>
      <c r="G721" s="114"/>
      <c r="H721" s="59"/>
      <c r="I721" s="165"/>
      <c r="J721" s="59"/>
      <c r="K721" s="53"/>
      <c r="L721" s="59"/>
      <c r="M721" s="59"/>
      <c r="N721" s="47" t="b">
        <v>0</v>
      </c>
      <c r="O721" s="59"/>
      <c r="Q721" s="54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</row>
    <row r="722">
      <c r="A722" s="59" t="b">
        <v>0</v>
      </c>
      <c r="B722" s="54"/>
      <c r="C722" s="55"/>
      <c r="D722" s="56"/>
      <c r="E722" s="40"/>
      <c r="F722" s="57"/>
      <c r="G722" s="114"/>
      <c r="H722" s="59"/>
      <c r="I722" s="165"/>
      <c r="J722" s="59"/>
      <c r="K722" s="53"/>
      <c r="L722" s="59"/>
      <c r="M722" s="59"/>
      <c r="N722" s="47" t="b">
        <v>0</v>
      </c>
      <c r="O722" s="59"/>
      <c r="Q722" s="54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</row>
    <row r="723">
      <c r="A723" s="59" t="b">
        <v>0</v>
      </c>
      <c r="B723" s="54"/>
      <c r="C723" s="55"/>
      <c r="D723" s="56"/>
      <c r="E723" s="40"/>
      <c r="F723" s="57"/>
      <c r="G723" s="114"/>
      <c r="H723" s="59"/>
      <c r="I723" s="165"/>
      <c r="J723" s="59"/>
      <c r="K723" s="53"/>
      <c r="L723" s="59"/>
      <c r="M723" s="59"/>
      <c r="N723" s="47" t="b">
        <v>0</v>
      </c>
      <c r="O723" s="59"/>
      <c r="Q723" s="54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</row>
    <row r="724">
      <c r="A724" s="59" t="b">
        <v>0</v>
      </c>
      <c r="B724" s="54"/>
      <c r="C724" s="55"/>
      <c r="D724" s="56"/>
      <c r="E724" s="40"/>
      <c r="F724" s="57"/>
      <c r="G724" s="114"/>
      <c r="H724" s="59"/>
      <c r="I724" s="165"/>
      <c r="J724" s="59"/>
      <c r="K724" s="53"/>
      <c r="L724" s="59"/>
      <c r="M724" s="59"/>
      <c r="N724" s="47" t="b">
        <v>0</v>
      </c>
      <c r="O724" s="59"/>
      <c r="Q724" s="54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</row>
    <row r="725">
      <c r="A725" s="59" t="b">
        <v>0</v>
      </c>
      <c r="B725" s="54"/>
      <c r="C725" s="55"/>
      <c r="D725" s="56"/>
      <c r="E725" s="40"/>
      <c r="F725" s="57"/>
      <c r="G725" s="114"/>
      <c r="H725" s="59"/>
      <c r="I725" s="165"/>
      <c r="J725" s="59"/>
      <c r="K725" s="53"/>
      <c r="L725" s="59"/>
      <c r="M725" s="59"/>
      <c r="N725" s="47" t="b">
        <v>0</v>
      </c>
      <c r="O725" s="59"/>
      <c r="Q725" s="54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</row>
    <row r="726">
      <c r="A726" s="59" t="b">
        <v>0</v>
      </c>
      <c r="B726" s="54"/>
      <c r="C726" s="55"/>
      <c r="D726" s="56"/>
      <c r="E726" s="40"/>
      <c r="F726" s="57"/>
      <c r="G726" s="114"/>
      <c r="H726" s="59"/>
      <c r="I726" s="165"/>
      <c r="J726" s="59"/>
      <c r="K726" s="53"/>
      <c r="L726" s="59"/>
      <c r="M726" s="59"/>
      <c r="N726" s="47" t="b">
        <v>0</v>
      </c>
      <c r="O726" s="59"/>
      <c r="Q726" s="54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</row>
    <row r="727">
      <c r="A727" s="59" t="b">
        <v>0</v>
      </c>
      <c r="B727" s="54"/>
      <c r="C727" s="55"/>
      <c r="D727" s="56"/>
      <c r="E727" s="40"/>
      <c r="F727" s="57"/>
      <c r="G727" s="114"/>
      <c r="H727" s="59"/>
      <c r="I727" s="165"/>
      <c r="J727" s="59"/>
      <c r="K727" s="53"/>
      <c r="L727" s="59"/>
      <c r="M727" s="59"/>
      <c r="N727" s="47" t="b">
        <v>0</v>
      </c>
      <c r="O727" s="59"/>
      <c r="Q727" s="54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</row>
    <row r="728">
      <c r="A728" s="59" t="b">
        <v>0</v>
      </c>
      <c r="B728" s="54"/>
      <c r="C728" s="55"/>
      <c r="D728" s="56"/>
      <c r="E728" s="40"/>
      <c r="F728" s="57"/>
      <c r="G728" s="114"/>
      <c r="H728" s="59"/>
      <c r="I728" s="165"/>
      <c r="J728" s="59"/>
      <c r="K728" s="53"/>
      <c r="L728" s="59"/>
      <c r="M728" s="59"/>
      <c r="N728" s="47" t="b">
        <v>0</v>
      </c>
      <c r="O728" s="59"/>
      <c r="Q728" s="54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</row>
    <row r="729">
      <c r="A729" s="59" t="b">
        <v>0</v>
      </c>
      <c r="B729" s="54"/>
      <c r="C729" s="55"/>
      <c r="D729" s="56"/>
      <c r="E729" s="40"/>
      <c r="F729" s="57"/>
      <c r="G729" s="114"/>
      <c r="H729" s="59"/>
      <c r="I729" s="165"/>
      <c r="J729" s="59"/>
      <c r="K729" s="53"/>
      <c r="L729" s="59"/>
      <c r="M729" s="59"/>
      <c r="N729" s="47" t="b">
        <v>0</v>
      </c>
      <c r="O729" s="59"/>
      <c r="Q729" s="54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</row>
    <row r="730">
      <c r="A730" s="59" t="b">
        <v>0</v>
      </c>
      <c r="B730" s="54"/>
      <c r="C730" s="55"/>
      <c r="D730" s="56"/>
      <c r="E730" s="40"/>
      <c r="F730" s="57"/>
      <c r="G730" s="114"/>
      <c r="H730" s="59"/>
      <c r="I730" s="165"/>
      <c r="J730" s="59"/>
      <c r="K730" s="53"/>
      <c r="L730" s="59"/>
      <c r="M730" s="59"/>
      <c r="N730" s="47" t="b">
        <v>0</v>
      </c>
      <c r="O730" s="59"/>
      <c r="Q730" s="54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</row>
    <row r="731">
      <c r="A731" s="59" t="b">
        <v>0</v>
      </c>
      <c r="B731" s="54"/>
      <c r="C731" s="55"/>
      <c r="D731" s="56"/>
      <c r="E731" s="40"/>
      <c r="F731" s="57"/>
      <c r="G731" s="114"/>
      <c r="H731" s="59"/>
      <c r="I731" s="165"/>
      <c r="J731" s="59"/>
      <c r="K731" s="53"/>
      <c r="L731" s="59"/>
      <c r="M731" s="59"/>
      <c r="N731" s="47" t="b">
        <v>0</v>
      </c>
      <c r="O731" s="59"/>
      <c r="Q731" s="54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</row>
    <row r="732">
      <c r="A732" s="59" t="b">
        <v>0</v>
      </c>
      <c r="B732" s="54"/>
      <c r="C732" s="55"/>
      <c r="D732" s="56"/>
      <c r="E732" s="40"/>
      <c r="F732" s="57"/>
      <c r="G732" s="114"/>
      <c r="H732" s="59"/>
      <c r="I732" s="165"/>
      <c r="J732" s="59"/>
      <c r="K732" s="53"/>
      <c r="L732" s="59"/>
      <c r="M732" s="59"/>
      <c r="N732" s="47" t="b">
        <v>0</v>
      </c>
      <c r="O732" s="59"/>
      <c r="Q732" s="54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</row>
    <row r="733">
      <c r="A733" s="59" t="b">
        <v>0</v>
      </c>
      <c r="B733" s="54"/>
      <c r="C733" s="55"/>
      <c r="D733" s="56"/>
      <c r="E733" s="40"/>
      <c r="F733" s="57"/>
      <c r="G733" s="114"/>
      <c r="H733" s="59"/>
      <c r="I733" s="165"/>
      <c r="J733" s="59"/>
      <c r="K733" s="53"/>
      <c r="L733" s="59"/>
      <c r="M733" s="59"/>
      <c r="N733" s="47" t="b">
        <v>0</v>
      </c>
      <c r="O733" s="59"/>
      <c r="Q733" s="54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</row>
    <row r="734">
      <c r="A734" s="59" t="b">
        <v>0</v>
      </c>
      <c r="B734" s="54"/>
      <c r="C734" s="55"/>
      <c r="D734" s="56"/>
      <c r="E734" s="40"/>
      <c r="F734" s="57"/>
      <c r="G734" s="114"/>
      <c r="H734" s="59"/>
      <c r="I734" s="165"/>
      <c r="J734" s="59"/>
      <c r="K734" s="53"/>
      <c r="L734" s="59"/>
      <c r="M734" s="59"/>
      <c r="N734" s="47" t="b">
        <v>0</v>
      </c>
      <c r="O734" s="59"/>
      <c r="Q734" s="54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</row>
    <row r="735">
      <c r="A735" s="59" t="b">
        <v>0</v>
      </c>
      <c r="B735" s="54"/>
      <c r="C735" s="55"/>
      <c r="D735" s="56"/>
      <c r="E735" s="40"/>
      <c r="F735" s="57"/>
      <c r="G735" s="114"/>
      <c r="H735" s="59"/>
      <c r="I735" s="165"/>
      <c r="J735" s="59"/>
      <c r="K735" s="53"/>
      <c r="L735" s="59"/>
      <c r="M735" s="59"/>
      <c r="N735" s="47" t="b">
        <v>0</v>
      </c>
      <c r="O735" s="59"/>
      <c r="Q735" s="54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</row>
    <row r="736">
      <c r="A736" s="59" t="b">
        <v>0</v>
      </c>
      <c r="B736" s="54"/>
      <c r="C736" s="55"/>
      <c r="D736" s="56"/>
      <c r="E736" s="40"/>
      <c r="F736" s="57"/>
      <c r="G736" s="114"/>
      <c r="H736" s="59"/>
      <c r="I736" s="165"/>
      <c r="J736" s="59"/>
      <c r="K736" s="53"/>
      <c r="L736" s="59"/>
      <c r="M736" s="59"/>
      <c r="N736" s="47" t="b">
        <v>0</v>
      </c>
      <c r="O736" s="59"/>
      <c r="Q736" s="54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</row>
    <row r="737">
      <c r="A737" s="59" t="b">
        <v>0</v>
      </c>
      <c r="B737" s="54"/>
      <c r="C737" s="55"/>
      <c r="D737" s="56"/>
      <c r="E737" s="40"/>
      <c r="F737" s="57"/>
      <c r="G737" s="114"/>
      <c r="H737" s="59"/>
      <c r="I737" s="165"/>
      <c r="J737" s="59"/>
      <c r="K737" s="53"/>
      <c r="L737" s="59"/>
      <c r="M737" s="59"/>
      <c r="N737" s="47" t="b">
        <v>0</v>
      </c>
      <c r="O737" s="59"/>
      <c r="Q737" s="54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</row>
    <row r="738">
      <c r="A738" s="59" t="b">
        <v>0</v>
      </c>
      <c r="B738" s="54"/>
      <c r="C738" s="55"/>
      <c r="D738" s="56"/>
      <c r="E738" s="40"/>
      <c r="F738" s="57"/>
      <c r="G738" s="114"/>
      <c r="H738" s="59"/>
      <c r="I738" s="165"/>
      <c r="J738" s="59"/>
      <c r="K738" s="53"/>
      <c r="L738" s="59"/>
      <c r="M738" s="59"/>
      <c r="N738" s="47" t="b">
        <v>0</v>
      </c>
      <c r="O738" s="59"/>
      <c r="Q738" s="54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</row>
    <row r="739">
      <c r="A739" s="59" t="b">
        <v>0</v>
      </c>
      <c r="B739" s="54"/>
      <c r="C739" s="55"/>
      <c r="D739" s="56"/>
      <c r="E739" s="40"/>
      <c r="F739" s="57"/>
      <c r="G739" s="114"/>
      <c r="H739" s="59"/>
      <c r="I739" s="165"/>
      <c r="J739" s="59"/>
      <c r="K739" s="53"/>
      <c r="L739" s="59"/>
      <c r="M739" s="59"/>
      <c r="N739" s="47" t="b">
        <v>0</v>
      </c>
      <c r="O739" s="59"/>
      <c r="Q739" s="54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</row>
    <row r="740">
      <c r="A740" s="59" t="b">
        <v>0</v>
      </c>
      <c r="B740" s="54"/>
      <c r="C740" s="55"/>
      <c r="D740" s="56"/>
      <c r="E740" s="40"/>
      <c r="F740" s="57"/>
      <c r="G740" s="114"/>
      <c r="H740" s="59"/>
      <c r="I740" s="165"/>
      <c r="J740" s="59"/>
      <c r="K740" s="53"/>
      <c r="L740" s="59"/>
      <c r="M740" s="59"/>
      <c r="N740" s="47" t="b">
        <v>0</v>
      </c>
      <c r="O740" s="59"/>
      <c r="Q740" s="54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</row>
    <row r="741">
      <c r="A741" s="59" t="b">
        <v>0</v>
      </c>
      <c r="B741" s="54"/>
      <c r="C741" s="55"/>
      <c r="D741" s="56"/>
      <c r="E741" s="40"/>
      <c r="F741" s="57"/>
      <c r="G741" s="114"/>
      <c r="H741" s="59"/>
      <c r="I741" s="165"/>
      <c r="J741" s="59"/>
      <c r="K741" s="53"/>
      <c r="L741" s="59"/>
      <c r="M741" s="59"/>
      <c r="N741" s="47" t="b">
        <v>0</v>
      </c>
      <c r="O741" s="59"/>
      <c r="Q741" s="54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</row>
    <row r="742">
      <c r="A742" s="59" t="b">
        <v>0</v>
      </c>
      <c r="B742" s="54"/>
      <c r="C742" s="55"/>
      <c r="D742" s="56"/>
      <c r="E742" s="40"/>
      <c r="F742" s="57"/>
      <c r="G742" s="114"/>
      <c r="H742" s="59"/>
      <c r="I742" s="165"/>
      <c r="J742" s="59"/>
      <c r="K742" s="53"/>
      <c r="L742" s="59"/>
      <c r="M742" s="59"/>
      <c r="N742" s="47" t="b">
        <v>0</v>
      </c>
      <c r="O742" s="59"/>
      <c r="Q742" s="54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</row>
    <row r="743">
      <c r="A743" s="59" t="b">
        <v>0</v>
      </c>
      <c r="B743" s="54"/>
      <c r="C743" s="55"/>
      <c r="D743" s="56"/>
      <c r="E743" s="40"/>
      <c r="F743" s="57"/>
      <c r="G743" s="114"/>
      <c r="H743" s="59"/>
      <c r="I743" s="165"/>
      <c r="J743" s="59"/>
      <c r="K743" s="53"/>
      <c r="L743" s="59"/>
      <c r="M743" s="59"/>
      <c r="N743" s="47" t="b">
        <v>0</v>
      </c>
      <c r="O743" s="59"/>
      <c r="Q743" s="54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</row>
    <row r="744">
      <c r="A744" s="59" t="b">
        <v>0</v>
      </c>
      <c r="B744" s="54"/>
      <c r="C744" s="55"/>
      <c r="D744" s="56"/>
      <c r="E744" s="40"/>
      <c r="F744" s="57"/>
      <c r="G744" s="114"/>
      <c r="H744" s="59"/>
      <c r="I744" s="165"/>
      <c r="J744" s="59"/>
      <c r="K744" s="53"/>
      <c r="L744" s="59"/>
      <c r="M744" s="59"/>
      <c r="N744" s="47" t="b">
        <v>0</v>
      </c>
      <c r="O744" s="59"/>
      <c r="Q744" s="54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</row>
    <row r="745">
      <c r="A745" s="59" t="b">
        <v>0</v>
      </c>
      <c r="B745" s="54"/>
      <c r="C745" s="55"/>
      <c r="D745" s="56"/>
      <c r="E745" s="40"/>
      <c r="F745" s="57"/>
      <c r="G745" s="114"/>
      <c r="H745" s="59"/>
      <c r="I745" s="165"/>
      <c r="J745" s="59"/>
      <c r="K745" s="53"/>
      <c r="L745" s="59"/>
      <c r="M745" s="59"/>
      <c r="N745" s="47" t="b">
        <v>0</v>
      </c>
      <c r="O745" s="59"/>
      <c r="Q745" s="54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</row>
    <row r="746">
      <c r="A746" s="59" t="b">
        <v>0</v>
      </c>
      <c r="B746" s="54"/>
      <c r="C746" s="55"/>
      <c r="D746" s="56"/>
      <c r="E746" s="40"/>
      <c r="F746" s="57"/>
      <c r="G746" s="114"/>
      <c r="H746" s="59"/>
      <c r="I746" s="165"/>
      <c r="J746" s="59"/>
      <c r="K746" s="53"/>
      <c r="L746" s="59"/>
      <c r="M746" s="59"/>
      <c r="N746" s="47" t="b">
        <v>0</v>
      </c>
      <c r="O746" s="59"/>
      <c r="Q746" s="54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</row>
    <row r="747">
      <c r="A747" s="59" t="b">
        <v>0</v>
      </c>
      <c r="B747" s="54"/>
      <c r="C747" s="55"/>
      <c r="D747" s="56"/>
      <c r="E747" s="40"/>
      <c r="F747" s="57"/>
      <c r="G747" s="114"/>
      <c r="H747" s="59"/>
      <c r="I747" s="165"/>
      <c r="J747" s="59"/>
      <c r="K747" s="53"/>
      <c r="L747" s="59"/>
      <c r="M747" s="59"/>
      <c r="N747" s="47" t="b">
        <v>0</v>
      </c>
      <c r="O747" s="59"/>
      <c r="Q747" s="54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</row>
    <row r="748">
      <c r="A748" s="59" t="b">
        <v>0</v>
      </c>
      <c r="B748" s="54"/>
      <c r="C748" s="55"/>
      <c r="D748" s="56"/>
      <c r="E748" s="40"/>
      <c r="F748" s="57"/>
      <c r="G748" s="114"/>
      <c r="H748" s="59"/>
      <c r="I748" s="165"/>
      <c r="J748" s="59"/>
      <c r="K748" s="53"/>
      <c r="L748" s="59"/>
      <c r="M748" s="59"/>
      <c r="N748" s="47" t="b">
        <v>0</v>
      </c>
      <c r="O748" s="59"/>
      <c r="Q748" s="54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</row>
    <row r="749">
      <c r="A749" s="59" t="b">
        <v>0</v>
      </c>
      <c r="B749" s="54"/>
      <c r="C749" s="55"/>
      <c r="D749" s="56"/>
      <c r="E749" s="40"/>
      <c r="F749" s="57"/>
      <c r="G749" s="114"/>
      <c r="H749" s="59"/>
      <c r="I749" s="165"/>
      <c r="J749" s="59"/>
      <c r="K749" s="53"/>
      <c r="L749" s="59"/>
      <c r="M749" s="59"/>
      <c r="N749" s="47" t="b">
        <v>0</v>
      </c>
      <c r="O749" s="59"/>
      <c r="Q749" s="54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</row>
    <row r="750">
      <c r="A750" s="59" t="b">
        <v>0</v>
      </c>
      <c r="B750" s="54"/>
      <c r="C750" s="55"/>
      <c r="D750" s="56"/>
      <c r="E750" s="40"/>
      <c r="F750" s="57"/>
      <c r="G750" s="114"/>
      <c r="H750" s="59"/>
      <c r="I750" s="165"/>
      <c r="J750" s="59"/>
      <c r="K750" s="53"/>
      <c r="L750" s="59"/>
      <c r="M750" s="59"/>
      <c r="N750" s="47" t="b">
        <v>0</v>
      </c>
      <c r="O750" s="59"/>
      <c r="Q750" s="54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</row>
    <row r="751">
      <c r="A751" s="59" t="b">
        <v>0</v>
      </c>
      <c r="B751" s="54"/>
      <c r="C751" s="55"/>
      <c r="D751" s="56"/>
      <c r="E751" s="40"/>
      <c r="F751" s="57"/>
      <c r="G751" s="114"/>
      <c r="H751" s="59"/>
      <c r="I751" s="165"/>
      <c r="J751" s="59"/>
      <c r="K751" s="53"/>
      <c r="L751" s="59"/>
      <c r="M751" s="59"/>
      <c r="N751" s="47" t="b">
        <v>0</v>
      </c>
      <c r="O751" s="59"/>
      <c r="Q751" s="54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</row>
    <row r="752">
      <c r="A752" s="59" t="b">
        <v>0</v>
      </c>
      <c r="B752" s="54"/>
      <c r="C752" s="55"/>
      <c r="D752" s="56"/>
      <c r="E752" s="40"/>
      <c r="F752" s="57"/>
      <c r="G752" s="114"/>
      <c r="H752" s="59"/>
      <c r="I752" s="165"/>
      <c r="J752" s="59"/>
      <c r="K752" s="53"/>
      <c r="L752" s="59"/>
      <c r="M752" s="59"/>
      <c r="N752" s="47" t="b">
        <v>0</v>
      </c>
      <c r="O752" s="59"/>
      <c r="Q752" s="54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</row>
    <row r="753">
      <c r="A753" s="59" t="b">
        <v>0</v>
      </c>
      <c r="B753" s="54"/>
      <c r="C753" s="55"/>
      <c r="D753" s="56"/>
      <c r="E753" s="40"/>
      <c r="F753" s="57"/>
      <c r="G753" s="114"/>
      <c r="H753" s="59"/>
      <c r="I753" s="165"/>
      <c r="J753" s="59"/>
      <c r="K753" s="53"/>
      <c r="L753" s="59"/>
      <c r="M753" s="59"/>
      <c r="N753" s="47" t="b">
        <v>0</v>
      </c>
      <c r="O753" s="59"/>
      <c r="Q753" s="54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</row>
    <row r="754">
      <c r="A754" s="59" t="b">
        <v>0</v>
      </c>
      <c r="B754" s="54"/>
      <c r="C754" s="55"/>
      <c r="D754" s="56"/>
      <c r="E754" s="40"/>
      <c r="F754" s="57"/>
      <c r="G754" s="114"/>
      <c r="H754" s="59"/>
      <c r="I754" s="165"/>
      <c r="J754" s="59"/>
      <c r="K754" s="53"/>
      <c r="L754" s="59"/>
      <c r="M754" s="59"/>
      <c r="N754" s="47" t="b">
        <v>0</v>
      </c>
      <c r="O754" s="59"/>
      <c r="Q754" s="54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</row>
    <row r="755">
      <c r="A755" s="59" t="b">
        <v>0</v>
      </c>
      <c r="B755" s="54"/>
      <c r="C755" s="55"/>
      <c r="D755" s="56"/>
      <c r="E755" s="40"/>
      <c r="F755" s="57"/>
      <c r="G755" s="114"/>
      <c r="H755" s="59"/>
      <c r="I755" s="165"/>
      <c r="J755" s="59"/>
      <c r="K755" s="53"/>
      <c r="L755" s="59"/>
      <c r="M755" s="59"/>
      <c r="N755" s="47" t="b">
        <v>0</v>
      </c>
      <c r="O755" s="59"/>
      <c r="Q755" s="54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</row>
    <row r="756">
      <c r="A756" s="59" t="b">
        <v>0</v>
      </c>
      <c r="B756" s="54"/>
      <c r="C756" s="55"/>
      <c r="D756" s="56"/>
      <c r="E756" s="40"/>
      <c r="F756" s="57"/>
      <c r="G756" s="114"/>
      <c r="H756" s="59"/>
      <c r="I756" s="165"/>
      <c r="J756" s="59"/>
      <c r="K756" s="53"/>
      <c r="L756" s="59"/>
      <c r="M756" s="59"/>
      <c r="N756" s="47" t="b">
        <v>0</v>
      </c>
      <c r="O756" s="59"/>
      <c r="Q756" s="54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</row>
    <row r="757">
      <c r="A757" s="59" t="b">
        <v>0</v>
      </c>
      <c r="B757" s="54"/>
      <c r="C757" s="55"/>
      <c r="D757" s="56"/>
      <c r="E757" s="40"/>
      <c r="F757" s="57"/>
      <c r="G757" s="114"/>
      <c r="H757" s="59"/>
      <c r="I757" s="165"/>
      <c r="J757" s="59"/>
      <c r="K757" s="53"/>
      <c r="L757" s="59"/>
      <c r="M757" s="59"/>
      <c r="N757" s="47" t="b">
        <v>0</v>
      </c>
      <c r="O757" s="59"/>
      <c r="Q757" s="54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</row>
    <row r="758">
      <c r="A758" s="59" t="b">
        <v>0</v>
      </c>
      <c r="B758" s="54"/>
      <c r="C758" s="55"/>
      <c r="D758" s="56"/>
      <c r="E758" s="40"/>
      <c r="F758" s="57"/>
      <c r="G758" s="114"/>
      <c r="H758" s="59"/>
      <c r="I758" s="165"/>
      <c r="J758" s="59"/>
      <c r="K758" s="53"/>
      <c r="L758" s="59"/>
      <c r="M758" s="59"/>
      <c r="N758" s="47" t="b">
        <v>0</v>
      </c>
      <c r="O758" s="59"/>
      <c r="Q758" s="54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</row>
    <row r="759">
      <c r="A759" s="59" t="b">
        <v>0</v>
      </c>
      <c r="B759" s="54"/>
      <c r="C759" s="55"/>
      <c r="D759" s="56"/>
      <c r="E759" s="40"/>
      <c r="F759" s="57"/>
      <c r="G759" s="114"/>
      <c r="H759" s="59"/>
      <c r="I759" s="165"/>
      <c r="J759" s="59"/>
      <c r="K759" s="53"/>
      <c r="L759" s="59"/>
      <c r="M759" s="59"/>
      <c r="N759" s="47" t="b">
        <v>0</v>
      </c>
      <c r="O759" s="59"/>
      <c r="Q759" s="54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</row>
    <row r="760">
      <c r="A760" s="59" t="b">
        <v>0</v>
      </c>
      <c r="B760" s="54"/>
      <c r="C760" s="55"/>
      <c r="D760" s="56"/>
      <c r="E760" s="40"/>
      <c r="F760" s="57"/>
      <c r="G760" s="114"/>
      <c r="H760" s="59"/>
      <c r="I760" s="165"/>
      <c r="J760" s="59"/>
      <c r="K760" s="53"/>
      <c r="L760" s="59"/>
      <c r="M760" s="59"/>
      <c r="N760" s="47" t="b">
        <v>0</v>
      </c>
      <c r="O760" s="59"/>
      <c r="Q760" s="54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</row>
    <row r="761">
      <c r="A761" s="59" t="b">
        <v>0</v>
      </c>
      <c r="B761" s="54"/>
      <c r="C761" s="55"/>
      <c r="D761" s="56"/>
      <c r="E761" s="40"/>
      <c r="F761" s="57"/>
      <c r="G761" s="114"/>
      <c r="H761" s="59"/>
      <c r="I761" s="165"/>
      <c r="J761" s="59"/>
      <c r="K761" s="53"/>
      <c r="L761" s="59"/>
      <c r="M761" s="59"/>
      <c r="N761" s="47" t="b">
        <v>0</v>
      </c>
      <c r="O761" s="59"/>
      <c r="Q761" s="54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</row>
    <row r="762">
      <c r="A762" s="59" t="b">
        <v>0</v>
      </c>
      <c r="B762" s="54"/>
      <c r="C762" s="55"/>
      <c r="D762" s="56"/>
      <c r="E762" s="40"/>
      <c r="F762" s="57"/>
      <c r="G762" s="114"/>
      <c r="H762" s="59"/>
      <c r="I762" s="165"/>
      <c r="J762" s="59"/>
      <c r="K762" s="53"/>
      <c r="L762" s="59"/>
      <c r="M762" s="59"/>
      <c r="N762" s="47" t="b">
        <v>0</v>
      </c>
      <c r="O762" s="59"/>
      <c r="Q762" s="54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</row>
    <row r="763">
      <c r="A763" s="59" t="b">
        <v>0</v>
      </c>
      <c r="B763" s="54"/>
      <c r="C763" s="55"/>
      <c r="D763" s="56"/>
      <c r="E763" s="40"/>
      <c r="F763" s="57"/>
      <c r="G763" s="114"/>
      <c r="H763" s="59"/>
      <c r="I763" s="165"/>
      <c r="J763" s="59"/>
      <c r="K763" s="53"/>
      <c r="L763" s="59"/>
      <c r="M763" s="59"/>
      <c r="N763" s="47" t="b">
        <v>0</v>
      </c>
      <c r="O763" s="59"/>
      <c r="Q763" s="54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</row>
    <row r="764">
      <c r="A764" s="59" t="b">
        <v>0</v>
      </c>
      <c r="B764" s="54"/>
      <c r="C764" s="55"/>
      <c r="D764" s="56"/>
      <c r="E764" s="40"/>
      <c r="F764" s="57"/>
      <c r="G764" s="114"/>
      <c r="H764" s="59"/>
      <c r="I764" s="165"/>
      <c r="J764" s="59"/>
      <c r="K764" s="53"/>
      <c r="L764" s="59"/>
      <c r="M764" s="59"/>
      <c r="N764" s="47" t="b">
        <v>0</v>
      </c>
      <c r="O764" s="59"/>
      <c r="Q764" s="54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</row>
    <row r="765">
      <c r="A765" s="59" t="b">
        <v>0</v>
      </c>
      <c r="B765" s="54"/>
      <c r="C765" s="55"/>
      <c r="D765" s="56"/>
      <c r="E765" s="40"/>
      <c r="F765" s="57"/>
      <c r="G765" s="114"/>
      <c r="H765" s="59"/>
      <c r="I765" s="165"/>
      <c r="J765" s="59"/>
      <c r="K765" s="53"/>
      <c r="L765" s="59"/>
      <c r="M765" s="59"/>
      <c r="N765" s="47" t="b">
        <v>0</v>
      </c>
      <c r="O765" s="59"/>
      <c r="Q765" s="54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</row>
    <row r="766">
      <c r="A766" s="59" t="b">
        <v>0</v>
      </c>
      <c r="B766" s="54"/>
      <c r="C766" s="55"/>
      <c r="D766" s="56"/>
      <c r="E766" s="40"/>
      <c r="F766" s="57"/>
      <c r="G766" s="114"/>
      <c r="H766" s="59"/>
      <c r="I766" s="165"/>
      <c r="J766" s="59"/>
      <c r="K766" s="53"/>
      <c r="L766" s="59"/>
      <c r="M766" s="59"/>
      <c r="N766" s="47" t="b">
        <v>0</v>
      </c>
      <c r="O766" s="59"/>
      <c r="Q766" s="54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</row>
    <row r="767">
      <c r="A767" s="59" t="b">
        <v>0</v>
      </c>
      <c r="B767" s="54"/>
      <c r="C767" s="55"/>
      <c r="D767" s="56"/>
      <c r="E767" s="40"/>
      <c r="F767" s="57"/>
      <c r="G767" s="114"/>
      <c r="H767" s="59"/>
      <c r="I767" s="165"/>
      <c r="J767" s="59"/>
      <c r="K767" s="53"/>
      <c r="L767" s="59"/>
      <c r="M767" s="59"/>
      <c r="N767" s="47" t="b">
        <v>0</v>
      </c>
      <c r="O767" s="59"/>
      <c r="Q767" s="54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</row>
    <row r="768">
      <c r="A768" s="59" t="b">
        <v>0</v>
      </c>
      <c r="B768" s="54"/>
      <c r="C768" s="55"/>
      <c r="D768" s="56"/>
      <c r="E768" s="40"/>
      <c r="F768" s="57"/>
      <c r="G768" s="114"/>
      <c r="H768" s="59"/>
      <c r="I768" s="165"/>
      <c r="J768" s="59"/>
      <c r="K768" s="53"/>
      <c r="L768" s="59"/>
      <c r="M768" s="59"/>
      <c r="N768" s="47" t="b">
        <v>0</v>
      </c>
      <c r="O768" s="59"/>
      <c r="Q768" s="54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</row>
    <row r="769">
      <c r="A769" s="59" t="b">
        <v>0</v>
      </c>
      <c r="B769" s="54"/>
      <c r="C769" s="55"/>
      <c r="D769" s="56"/>
      <c r="E769" s="40"/>
      <c r="F769" s="57"/>
      <c r="G769" s="114"/>
      <c r="H769" s="59"/>
      <c r="I769" s="165"/>
      <c r="J769" s="59"/>
      <c r="K769" s="53"/>
      <c r="L769" s="59"/>
      <c r="M769" s="59"/>
      <c r="N769" s="47" t="b">
        <v>0</v>
      </c>
      <c r="O769" s="59"/>
      <c r="Q769" s="54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</row>
    <row r="770">
      <c r="A770" s="59" t="b">
        <v>0</v>
      </c>
      <c r="B770" s="54"/>
      <c r="C770" s="55"/>
      <c r="D770" s="56"/>
      <c r="E770" s="40"/>
      <c r="F770" s="57"/>
      <c r="G770" s="114"/>
      <c r="H770" s="59"/>
      <c r="I770" s="165"/>
      <c r="J770" s="59"/>
      <c r="K770" s="53"/>
      <c r="L770" s="59"/>
      <c r="M770" s="59"/>
      <c r="N770" s="47" t="b">
        <v>0</v>
      </c>
      <c r="O770" s="59"/>
      <c r="Q770" s="54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</row>
    <row r="771">
      <c r="A771" s="59" t="b">
        <v>0</v>
      </c>
      <c r="B771" s="54"/>
      <c r="C771" s="55"/>
      <c r="D771" s="56"/>
      <c r="E771" s="40"/>
      <c r="F771" s="57"/>
      <c r="G771" s="114"/>
      <c r="H771" s="59"/>
      <c r="I771" s="165"/>
      <c r="J771" s="59"/>
      <c r="K771" s="53"/>
      <c r="L771" s="59"/>
      <c r="M771" s="59"/>
      <c r="N771" s="47" t="b">
        <v>0</v>
      </c>
      <c r="O771" s="59"/>
      <c r="Q771" s="54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</row>
    <row r="772">
      <c r="A772" s="59" t="b">
        <v>0</v>
      </c>
      <c r="B772" s="54"/>
      <c r="C772" s="55"/>
      <c r="D772" s="56"/>
      <c r="E772" s="40"/>
      <c r="F772" s="57"/>
      <c r="G772" s="114"/>
      <c r="H772" s="59"/>
      <c r="I772" s="165"/>
      <c r="J772" s="59"/>
      <c r="K772" s="53"/>
      <c r="L772" s="59"/>
      <c r="M772" s="59"/>
      <c r="N772" s="47" t="b">
        <v>0</v>
      </c>
      <c r="O772" s="59"/>
      <c r="Q772" s="54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</row>
    <row r="773">
      <c r="A773" s="59" t="b">
        <v>0</v>
      </c>
      <c r="B773" s="54"/>
      <c r="C773" s="55"/>
      <c r="D773" s="56"/>
      <c r="E773" s="40"/>
      <c r="F773" s="57"/>
      <c r="G773" s="114"/>
      <c r="H773" s="59"/>
      <c r="I773" s="165"/>
      <c r="J773" s="59"/>
      <c r="K773" s="53"/>
      <c r="L773" s="59"/>
      <c r="M773" s="59"/>
      <c r="N773" s="47" t="b">
        <v>0</v>
      </c>
      <c r="O773" s="59"/>
      <c r="Q773" s="54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</row>
    <row r="774">
      <c r="A774" s="59" t="b">
        <v>0</v>
      </c>
      <c r="B774" s="54"/>
      <c r="C774" s="55"/>
      <c r="D774" s="56"/>
      <c r="E774" s="40"/>
      <c r="F774" s="57"/>
      <c r="G774" s="114"/>
      <c r="H774" s="59"/>
      <c r="I774" s="165"/>
      <c r="J774" s="59"/>
      <c r="K774" s="53"/>
      <c r="L774" s="59"/>
      <c r="M774" s="59"/>
      <c r="N774" s="47" t="b">
        <v>0</v>
      </c>
      <c r="O774" s="59"/>
      <c r="Q774" s="54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</row>
    <row r="775">
      <c r="A775" s="59" t="b">
        <v>0</v>
      </c>
      <c r="B775" s="54"/>
      <c r="C775" s="55"/>
      <c r="D775" s="56"/>
      <c r="E775" s="40"/>
      <c r="F775" s="57"/>
      <c r="G775" s="114"/>
      <c r="H775" s="59"/>
      <c r="I775" s="165"/>
      <c r="J775" s="59"/>
      <c r="K775" s="53"/>
      <c r="L775" s="59"/>
      <c r="M775" s="59"/>
      <c r="N775" s="47" t="b">
        <v>0</v>
      </c>
      <c r="O775" s="59"/>
      <c r="Q775" s="54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</row>
    <row r="776">
      <c r="A776" s="59" t="b">
        <v>0</v>
      </c>
      <c r="B776" s="54"/>
      <c r="C776" s="55"/>
      <c r="D776" s="56"/>
      <c r="E776" s="40"/>
      <c r="F776" s="57"/>
      <c r="G776" s="114"/>
      <c r="H776" s="59"/>
      <c r="I776" s="165"/>
      <c r="J776" s="59"/>
      <c r="K776" s="53"/>
      <c r="L776" s="59"/>
      <c r="M776" s="59"/>
      <c r="N776" s="47" t="b">
        <v>0</v>
      </c>
      <c r="O776" s="59"/>
      <c r="Q776" s="54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</row>
    <row r="777">
      <c r="A777" s="59" t="b">
        <v>0</v>
      </c>
      <c r="B777" s="54"/>
      <c r="C777" s="55"/>
      <c r="D777" s="56"/>
      <c r="E777" s="40"/>
      <c r="F777" s="57"/>
      <c r="G777" s="114"/>
      <c r="H777" s="59"/>
      <c r="I777" s="165"/>
      <c r="J777" s="59"/>
      <c r="K777" s="53"/>
      <c r="L777" s="59"/>
      <c r="M777" s="59"/>
      <c r="N777" s="47" t="b">
        <v>0</v>
      </c>
      <c r="O777" s="59"/>
      <c r="Q777" s="54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</row>
    <row r="778">
      <c r="A778" s="59" t="b">
        <v>0</v>
      </c>
      <c r="B778" s="54"/>
      <c r="C778" s="55"/>
      <c r="D778" s="56"/>
      <c r="E778" s="40"/>
      <c r="F778" s="57"/>
      <c r="G778" s="114"/>
      <c r="H778" s="59"/>
      <c r="I778" s="165"/>
      <c r="J778" s="59"/>
      <c r="K778" s="53"/>
      <c r="L778" s="59"/>
      <c r="M778" s="59"/>
      <c r="N778" s="47" t="b">
        <v>0</v>
      </c>
      <c r="O778" s="59"/>
      <c r="Q778" s="54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</row>
    <row r="779">
      <c r="A779" s="59" t="b">
        <v>0</v>
      </c>
      <c r="B779" s="54"/>
      <c r="C779" s="55"/>
      <c r="D779" s="56"/>
      <c r="E779" s="40"/>
      <c r="F779" s="57"/>
      <c r="G779" s="114"/>
      <c r="H779" s="59"/>
      <c r="I779" s="165"/>
      <c r="J779" s="59"/>
      <c r="K779" s="53"/>
      <c r="L779" s="59"/>
      <c r="M779" s="59"/>
      <c r="N779" s="47" t="b">
        <v>0</v>
      </c>
      <c r="O779" s="59"/>
      <c r="Q779" s="54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</row>
    <row r="780">
      <c r="A780" s="59" t="b">
        <v>0</v>
      </c>
      <c r="B780" s="54"/>
      <c r="C780" s="55"/>
      <c r="D780" s="56"/>
      <c r="E780" s="40"/>
      <c r="F780" s="57"/>
      <c r="G780" s="114"/>
      <c r="H780" s="59"/>
      <c r="I780" s="165"/>
      <c r="J780" s="59"/>
      <c r="K780" s="53"/>
      <c r="L780" s="59"/>
      <c r="M780" s="59"/>
      <c r="N780" s="47" t="b">
        <v>0</v>
      </c>
      <c r="O780" s="59"/>
      <c r="Q780" s="54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</row>
    <row r="781">
      <c r="A781" s="59" t="b">
        <v>0</v>
      </c>
      <c r="B781" s="54"/>
      <c r="C781" s="55"/>
      <c r="D781" s="56"/>
      <c r="E781" s="40"/>
      <c r="F781" s="57"/>
      <c r="G781" s="114"/>
      <c r="H781" s="59"/>
      <c r="I781" s="165"/>
      <c r="J781" s="59"/>
      <c r="K781" s="53"/>
      <c r="L781" s="59"/>
      <c r="M781" s="59"/>
      <c r="N781" s="47" t="b">
        <v>0</v>
      </c>
      <c r="O781" s="59"/>
      <c r="Q781" s="54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</row>
    <row r="782">
      <c r="A782" s="59" t="b">
        <v>0</v>
      </c>
      <c r="B782" s="54"/>
      <c r="C782" s="55"/>
      <c r="D782" s="56"/>
      <c r="E782" s="40"/>
      <c r="F782" s="57"/>
      <c r="G782" s="114"/>
      <c r="H782" s="59"/>
      <c r="I782" s="165"/>
      <c r="J782" s="59"/>
      <c r="K782" s="53"/>
      <c r="L782" s="59"/>
      <c r="M782" s="59"/>
      <c r="N782" s="47" t="b">
        <v>0</v>
      </c>
      <c r="O782" s="59"/>
      <c r="Q782" s="54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</row>
    <row r="783">
      <c r="A783" s="59" t="b">
        <v>0</v>
      </c>
      <c r="B783" s="54"/>
      <c r="C783" s="55"/>
      <c r="D783" s="56"/>
      <c r="E783" s="40"/>
      <c r="F783" s="57"/>
      <c r="G783" s="114"/>
      <c r="H783" s="59"/>
      <c r="I783" s="165"/>
      <c r="J783" s="59"/>
      <c r="K783" s="53"/>
      <c r="L783" s="59"/>
      <c r="M783" s="59"/>
      <c r="N783" s="47" t="b">
        <v>0</v>
      </c>
      <c r="O783" s="59"/>
      <c r="Q783" s="54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</row>
    <row r="784">
      <c r="A784" s="59" t="b">
        <v>0</v>
      </c>
      <c r="B784" s="54"/>
      <c r="C784" s="55"/>
      <c r="D784" s="56"/>
      <c r="E784" s="40"/>
      <c r="F784" s="57"/>
      <c r="G784" s="114"/>
      <c r="H784" s="59"/>
      <c r="I784" s="165"/>
      <c r="J784" s="59"/>
      <c r="K784" s="53"/>
      <c r="L784" s="59"/>
      <c r="M784" s="59"/>
      <c r="N784" s="47" t="b">
        <v>0</v>
      </c>
      <c r="O784" s="59"/>
      <c r="Q784" s="54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</row>
    <row r="785">
      <c r="A785" s="59" t="b">
        <v>0</v>
      </c>
      <c r="B785" s="54"/>
      <c r="C785" s="55"/>
      <c r="D785" s="56"/>
      <c r="E785" s="40"/>
      <c r="F785" s="57"/>
      <c r="G785" s="114"/>
      <c r="H785" s="59"/>
      <c r="I785" s="165"/>
      <c r="J785" s="59"/>
      <c r="K785" s="53"/>
      <c r="L785" s="59"/>
      <c r="M785" s="59"/>
      <c r="N785" s="47" t="b">
        <v>0</v>
      </c>
      <c r="O785" s="59"/>
      <c r="Q785" s="54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</row>
    <row r="786">
      <c r="A786" s="59" t="b">
        <v>0</v>
      </c>
      <c r="B786" s="54"/>
      <c r="C786" s="55"/>
      <c r="D786" s="56"/>
      <c r="E786" s="40"/>
      <c r="F786" s="57"/>
      <c r="G786" s="114"/>
      <c r="H786" s="59"/>
      <c r="I786" s="165"/>
      <c r="J786" s="59"/>
      <c r="K786" s="53"/>
      <c r="L786" s="59"/>
      <c r="M786" s="59"/>
      <c r="N786" s="47" t="b">
        <v>0</v>
      </c>
      <c r="O786" s="59"/>
      <c r="Q786" s="54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</row>
    <row r="787">
      <c r="A787" s="59" t="b">
        <v>0</v>
      </c>
      <c r="B787" s="54"/>
      <c r="C787" s="55"/>
      <c r="D787" s="56"/>
      <c r="E787" s="40"/>
      <c r="F787" s="57"/>
      <c r="G787" s="114"/>
      <c r="H787" s="59"/>
      <c r="I787" s="165"/>
      <c r="J787" s="59"/>
      <c r="K787" s="53"/>
      <c r="L787" s="59"/>
      <c r="M787" s="59"/>
      <c r="N787" s="47" t="b">
        <v>0</v>
      </c>
      <c r="O787" s="59"/>
      <c r="Q787" s="54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</row>
    <row r="788">
      <c r="A788" s="59" t="b">
        <v>0</v>
      </c>
      <c r="B788" s="54"/>
      <c r="C788" s="55"/>
      <c r="D788" s="56"/>
      <c r="E788" s="40"/>
      <c r="F788" s="57"/>
      <c r="G788" s="114"/>
      <c r="H788" s="59"/>
      <c r="I788" s="165"/>
      <c r="J788" s="59"/>
      <c r="K788" s="53"/>
      <c r="L788" s="59"/>
      <c r="M788" s="59"/>
      <c r="N788" s="47" t="b">
        <v>0</v>
      </c>
      <c r="O788" s="59"/>
      <c r="Q788" s="54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</row>
    <row r="789">
      <c r="A789" s="59" t="b">
        <v>0</v>
      </c>
      <c r="B789" s="54"/>
      <c r="C789" s="55"/>
      <c r="D789" s="56"/>
      <c r="E789" s="40"/>
      <c r="F789" s="57"/>
      <c r="G789" s="114"/>
      <c r="H789" s="59"/>
      <c r="I789" s="165"/>
      <c r="J789" s="59"/>
      <c r="K789" s="53"/>
      <c r="L789" s="59"/>
      <c r="M789" s="59"/>
      <c r="N789" s="47" t="b">
        <v>0</v>
      </c>
      <c r="O789" s="59"/>
      <c r="Q789" s="54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</row>
    <row r="790">
      <c r="A790" s="59" t="b">
        <v>0</v>
      </c>
      <c r="B790" s="54"/>
      <c r="C790" s="55"/>
      <c r="D790" s="56"/>
      <c r="E790" s="40"/>
      <c r="F790" s="57"/>
      <c r="G790" s="114"/>
      <c r="H790" s="59"/>
      <c r="I790" s="165"/>
      <c r="J790" s="59"/>
      <c r="K790" s="53"/>
      <c r="L790" s="59"/>
      <c r="M790" s="59"/>
      <c r="N790" s="47" t="b">
        <v>0</v>
      </c>
      <c r="O790" s="59"/>
      <c r="Q790" s="54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</row>
    <row r="791">
      <c r="A791" s="59" t="b">
        <v>0</v>
      </c>
      <c r="B791" s="54"/>
      <c r="C791" s="55"/>
      <c r="D791" s="56"/>
      <c r="E791" s="40"/>
      <c r="F791" s="57"/>
      <c r="G791" s="114"/>
      <c r="H791" s="59"/>
      <c r="I791" s="165"/>
      <c r="J791" s="59"/>
      <c r="K791" s="53"/>
      <c r="L791" s="59"/>
      <c r="M791" s="59"/>
      <c r="N791" s="47" t="b">
        <v>0</v>
      </c>
      <c r="O791" s="59"/>
      <c r="Q791" s="54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</row>
    <row r="792">
      <c r="A792" s="59" t="b">
        <v>0</v>
      </c>
      <c r="B792" s="54"/>
      <c r="C792" s="55"/>
      <c r="D792" s="56"/>
      <c r="E792" s="40"/>
      <c r="F792" s="57"/>
      <c r="G792" s="114"/>
      <c r="H792" s="59"/>
      <c r="I792" s="165"/>
      <c r="J792" s="59"/>
      <c r="K792" s="53"/>
      <c r="L792" s="59"/>
      <c r="M792" s="59"/>
      <c r="N792" s="47" t="b">
        <v>0</v>
      </c>
      <c r="O792" s="59"/>
      <c r="Q792" s="54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</row>
    <row r="793">
      <c r="A793" s="59" t="b">
        <v>0</v>
      </c>
      <c r="B793" s="54"/>
      <c r="C793" s="55"/>
      <c r="D793" s="56"/>
      <c r="E793" s="40"/>
      <c r="F793" s="57"/>
      <c r="G793" s="114"/>
      <c r="H793" s="59"/>
      <c r="I793" s="165"/>
      <c r="J793" s="59"/>
      <c r="K793" s="53"/>
      <c r="L793" s="59"/>
      <c r="M793" s="59"/>
      <c r="N793" s="47" t="b">
        <v>0</v>
      </c>
      <c r="O793" s="59"/>
      <c r="Q793" s="54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</row>
    <row r="794">
      <c r="A794" s="59" t="b">
        <v>0</v>
      </c>
      <c r="B794" s="54"/>
      <c r="C794" s="55"/>
      <c r="D794" s="56"/>
      <c r="E794" s="40"/>
      <c r="F794" s="57"/>
      <c r="G794" s="114"/>
      <c r="H794" s="59"/>
      <c r="I794" s="165"/>
      <c r="J794" s="59"/>
      <c r="K794" s="53"/>
      <c r="L794" s="59"/>
      <c r="M794" s="59"/>
      <c r="N794" s="47" t="b">
        <v>0</v>
      </c>
      <c r="O794" s="59"/>
      <c r="Q794" s="54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</row>
    <row r="795">
      <c r="A795" s="59" t="b">
        <v>0</v>
      </c>
      <c r="B795" s="54"/>
      <c r="C795" s="55"/>
      <c r="D795" s="56"/>
      <c r="E795" s="40"/>
      <c r="F795" s="57"/>
      <c r="G795" s="114"/>
      <c r="H795" s="59"/>
      <c r="I795" s="165"/>
      <c r="J795" s="59"/>
      <c r="K795" s="53"/>
      <c r="L795" s="59"/>
      <c r="M795" s="59"/>
      <c r="N795" s="47" t="b">
        <v>0</v>
      </c>
      <c r="O795" s="59"/>
      <c r="Q795" s="54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</row>
    <row r="796">
      <c r="A796" s="59" t="b">
        <v>0</v>
      </c>
      <c r="B796" s="54"/>
      <c r="C796" s="55"/>
      <c r="D796" s="56"/>
      <c r="E796" s="40"/>
      <c r="F796" s="57"/>
      <c r="G796" s="114"/>
      <c r="H796" s="59"/>
      <c r="I796" s="165"/>
      <c r="J796" s="59"/>
      <c r="K796" s="53"/>
      <c r="L796" s="59"/>
      <c r="M796" s="59"/>
      <c r="N796" s="47" t="b">
        <v>0</v>
      </c>
      <c r="O796" s="59"/>
      <c r="Q796" s="54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</row>
    <row r="797">
      <c r="A797" s="59" t="b">
        <v>0</v>
      </c>
      <c r="B797" s="54"/>
      <c r="C797" s="55"/>
      <c r="D797" s="56"/>
      <c r="E797" s="40"/>
      <c r="F797" s="57"/>
      <c r="G797" s="114"/>
      <c r="H797" s="59"/>
      <c r="I797" s="165"/>
      <c r="J797" s="59"/>
      <c r="K797" s="53"/>
      <c r="L797" s="59"/>
      <c r="M797" s="59"/>
      <c r="N797" s="47" t="b">
        <v>0</v>
      </c>
      <c r="O797" s="59"/>
      <c r="Q797" s="54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</row>
    <row r="798">
      <c r="A798" s="59" t="b">
        <v>0</v>
      </c>
      <c r="B798" s="54"/>
      <c r="C798" s="55"/>
      <c r="D798" s="56"/>
      <c r="E798" s="40"/>
      <c r="F798" s="57"/>
      <c r="G798" s="114"/>
      <c r="H798" s="59"/>
      <c r="I798" s="165"/>
      <c r="J798" s="59"/>
      <c r="K798" s="53"/>
      <c r="L798" s="59"/>
      <c r="M798" s="59"/>
      <c r="N798" s="47" t="b">
        <v>0</v>
      </c>
      <c r="O798" s="59"/>
      <c r="Q798" s="54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</row>
    <row r="799">
      <c r="A799" s="59" t="b">
        <v>0</v>
      </c>
      <c r="B799" s="54"/>
      <c r="C799" s="55"/>
      <c r="D799" s="56"/>
      <c r="E799" s="40"/>
      <c r="F799" s="57"/>
      <c r="G799" s="114"/>
      <c r="H799" s="59"/>
      <c r="I799" s="165"/>
      <c r="J799" s="59"/>
      <c r="K799" s="53"/>
      <c r="L799" s="59"/>
      <c r="M799" s="59"/>
      <c r="N799" s="47" t="b">
        <v>0</v>
      </c>
      <c r="O799" s="59"/>
      <c r="Q799" s="54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</row>
    <row r="800">
      <c r="A800" s="59" t="b">
        <v>0</v>
      </c>
      <c r="B800" s="54"/>
      <c r="C800" s="55"/>
      <c r="D800" s="56"/>
      <c r="E800" s="40"/>
      <c r="F800" s="57"/>
      <c r="G800" s="114"/>
      <c r="H800" s="59"/>
      <c r="I800" s="165"/>
      <c r="J800" s="59"/>
      <c r="K800" s="53"/>
      <c r="L800" s="59"/>
      <c r="M800" s="59"/>
      <c r="N800" s="47" t="b">
        <v>0</v>
      </c>
      <c r="O800" s="59"/>
      <c r="Q800" s="54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</row>
    <row r="801">
      <c r="A801" s="59" t="b">
        <v>0</v>
      </c>
      <c r="B801" s="54"/>
      <c r="C801" s="55"/>
      <c r="D801" s="56"/>
      <c r="E801" s="40"/>
      <c r="F801" s="57"/>
      <c r="G801" s="114"/>
      <c r="H801" s="59"/>
      <c r="I801" s="165"/>
      <c r="J801" s="59"/>
      <c r="K801" s="53"/>
      <c r="L801" s="59"/>
      <c r="M801" s="59"/>
      <c r="N801" s="47" t="b">
        <v>0</v>
      </c>
      <c r="O801" s="59"/>
      <c r="Q801" s="54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</row>
    <row r="802">
      <c r="A802" s="59" t="b">
        <v>0</v>
      </c>
      <c r="B802" s="54"/>
      <c r="C802" s="55"/>
      <c r="D802" s="56"/>
      <c r="E802" s="40"/>
      <c r="F802" s="57"/>
      <c r="G802" s="114"/>
      <c r="H802" s="59"/>
      <c r="I802" s="165"/>
      <c r="J802" s="59"/>
      <c r="K802" s="53"/>
      <c r="L802" s="59"/>
      <c r="M802" s="59"/>
      <c r="N802" s="47" t="b">
        <v>0</v>
      </c>
      <c r="O802" s="59"/>
      <c r="Q802" s="54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</row>
    <row r="803">
      <c r="A803" s="59" t="b">
        <v>0</v>
      </c>
      <c r="B803" s="54"/>
      <c r="C803" s="55"/>
      <c r="D803" s="56"/>
      <c r="E803" s="40"/>
      <c r="F803" s="57"/>
      <c r="G803" s="114"/>
      <c r="H803" s="59"/>
      <c r="I803" s="165"/>
      <c r="J803" s="59"/>
      <c r="K803" s="53"/>
      <c r="L803" s="59"/>
      <c r="M803" s="59"/>
      <c r="N803" s="47" t="b">
        <v>0</v>
      </c>
      <c r="O803" s="59"/>
      <c r="Q803" s="54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</row>
    <row r="804">
      <c r="A804" s="59" t="b">
        <v>0</v>
      </c>
      <c r="B804" s="54"/>
      <c r="C804" s="55"/>
      <c r="D804" s="56"/>
      <c r="E804" s="40"/>
      <c r="F804" s="57"/>
      <c r="G804" s="114"/>
      <c r="H804" s="59"/>
      <c r="I804" s="165"/>
      <c r="J804" s="59"/>
      <c r="K804" s="53"/>
      <c r="L804" s="59"/>
      <c r="M804" s="59"/>
      <c r="N804" s="47" t="b">
        <v>0</v>
      </c>
      <c r="O804" s="59"/>
      <c r="Q804" s="54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</row>
    <row r="805">
      <c r="A805" s="59" t="b">
        <v>0</v>
      </c>
      <c r="B805" s="54"/>
      <c r="C805" s="55"/>
      <c r="D805" s="56"/>
      <c r="E805" s="40"/>
      <c r="F805" s="57"/>
      <c r="G805" s="114"/>
      <c r="H805" s="59"/>
      <c r="I805" s="165"/>
      <c r="J805" s="59"/>
      <c r="K805" s="53"/>
      <c r="L805" s="59"/>
      <c r="M805" s="59"/>
      <c r="N805" s="47" t="b">
        <v>0</v>
      </c>
      <c r="O805" s="59"/>
      <c r="Q805" s="54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</row>
    <row r="806">
      <c r="A806" s="59" t="b">
        <v>0</v>
      </c>
      <c r="B806" s="54"/>
      <c r="C806" s="55"/>
      <c r="D806" s="56"/>
      <c r="E806" s="40"/>
      <c r="F806" s="57"/>
      <c r="G806" s="114"/>
      <c r="H806" s="59"/>
      <c r="I806" s="165"/>
      <c r="J806" s="59"/>
      <c r="K806" s="53"/>
      <c r="L806" s="59"/>
      <c r="M806" s="59"/>
      <c r="N806" s="47" t="b">
        <v>0</v>
      </c>
      <c r="O806" s="59"/>
      <c r="Q806" s="54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</row>
    <row r="807">
      <c r="A807" s="59" t="b">
        <v>0</v>
      </c>
      <c r="B807" s="54"/>
      <c r="C807" s="55"/>
      <c r="D807" s="56"/>
      <c r="E807" s="40"/>
      <c r="F807" s="57"/>
      <c r="G807" s="114"/>
      <c r="H807" s="59"/>
      <c r="I807" s="165"/>
      <c r="J807" s="59"/>
      <c r="K807" s="53"/>
      <c r="L807" s="59"/>
      <c r="M807" s="59"/>
      <c r="N807" s="47" t="b">
        <v>0</v>
      </c>
      <c r="O807" s="59"/>
      <c r="Q807" s="54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</row>
    <row r="808">
      <c r="A808" s="59" t="b">
        <v>0</v>
      </c>
      <c r="B808" s="54"/>
      <c r="C808" s="55"/>
      <c r="D808" s="56"/>
      <c r="E808" s="40"/>
      <c r="F808" s="57"/>
      <c r="G808" s="114"/>
      <c r="H808" s="59"/>
      <c r="I808" s="165"/>
      <c r="J808" s="59"/>
      <c r="K808" s="53"/>
      <c r="L808" s="59"/>
      <c r="M808" s="59"/>
      <c r="N808" s="47" t="b">
        <v>0</v>
      </c>
      <c r="O808" s="59"/>
      <c r="Q808" s="54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</row>
    <row r="809">
      <c r="A809" s="59" t="b">
        <v>0</v>
      </c>
      <c r="B809" s="54"/>
      <c r="C809" s="55"/>
      <c r="D809" s="56"/>
      <c r="E809" s="40"/>
      <c r="F809" s="57"/>
      <c r="G809" s="114"/>
      <c r="H809" s="59"/>
      <c r="I809" s="165"/>
      <c r="J809" s="59"/>
      <c r="K809" s="53"/>
      <c r="L809" s="59"/>
      <c r="M809" s="59"/>
      <c r="N809" s="47" t="b">
        <v>0</v>
      </c>
      <c r="O809" s="59"/>
      <c r="Q809" s="54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</row>
    <row r="810">
      <c r="A810" s="59" t="b">
        <v>0</v>
      </c>
      <c r="B810" s="54"/>
      <c r="C810" s="55"/>
      <c r="D810" s="56"/>
      <c r="E810" s="40"/>
      <c r="F810" s="57"/>
      <c r="G810" s="114"/>
      <c r="H810" s="59"/>
      <c r="I810" s="165"/>
      <c r="J810" s="59"/>
      <c r="K810" s="53"/>
      <c r="L810" s="59"/>
      <c r="M810" s="59"/>
      <c r="N810" s="47" t="b">
        <v>0</v>
      </c>
      <c r="O810" s="59"/>
      <c r="Q810" s="54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</row>
    <row r="811">
      <c r="A811" s="59" t="b">
        <v>0</v>
      </c>
      <c r="B811" s="54"/>
      <c r="C811" s="55"/>
      <c r="D811" s="56"/>
      <c r="E811" s="40"/>
      <c r="F811" s="57"/>
      <c r="G811" s="114"/>
      <c r="H811" s="59"/>
      <c r="I811" s="165"/>
      <c r="J811" s="59"/>
      <c r="K811" s="53"/>
      <c r="L811" s="59"/>
      <c r="M811" s="59"/>
      <c r="N811" s="47" t="b">
        <v>0</v>
      </c>
      <c r="O811" s="59"/>
      <c r="Q811" s="54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</row>
    <row r="812">
      <c r="A812" s="59" t="b">
        <v>0</v>
      </c>
      <c r="B812" s="54"/>
      <c r="C812" s="55"/>
      <c r="D812" s="56"/>
      <c r="E812" s="40"/>
      <c r="F812" s="57"/>
      <c r="G812" s="114"/>
      <c r="H812" s="59"/>
      <c r="I812" s="165"/>
      <c r="J812" s="59"/>
      <c r="K812" s="53"/>
      <c r="L812" s="59"/>
      <c r="M812" s="59"/>
      <c r="N812" s="47" t="b">
        <v>0</v>
      </c>
      <c r="O812" s="59"/>
      <c r="Q812" s="54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</row>
    <row r="813">
      <c r="A813" s="59" t="b">
        <v>0</v>
      </c>
      <c r="B813" s="54"/>
      <c r="C813" s="55"/>
      <c r="D813" s="56"/>
      <c r="E813" s="40"/>
      <c r="F813" s="57"/>
      <c r="G813" s="114"/>
      <c r="H813" s="59"/>
      <c r="I813" s="165"/>
      <c r="J813" s="59"/>
      <c r="K813" s="53"/>
      <c r="L813" s="59"/>
      <c r="M813" s="59"/>
      <c r="N813" s="47" t="b">
        <v>0</v>
      </c>
      <c r="O813" s="59"/>
      <c r="Q813" s="54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</row>
    <row r="814">
      <c r="A814" s="59" t="b">
        <v>0</v>
      </c>
      <c r="B814" s="54"/>
      <c r="C814" s="55"/>
      <c r="D814" s="56"/>
      <c r="E814" s="40"/>
      <c r="F814" s="57"/>
      <c r="G814" s="114"/>
      <c r="H814" s="59"/>
      <c r="I814" s="165"/>
      <c r="J814" s="59"/>
      <c r="K814" s="53"/>
      <c r="L814" s="59"/>
      <c r="M814" s="59"/>
      <c r="N814" s="47" t="b">
        <v>0</v>
      </c>
      <c r="O814" s="59"/>
      <c r="Q814" s="54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</row>
    <row r="815">
      <c r="A815" s="59" t="b">
        <v>0</v>
      </c>
      <c r="B815" s="54"/>
      <c r="C815" s="55"/>
      <c r="D815" s="56"/>
      <c r="E815" s="40"/>
      <c r="F815" s="57"/>
      <c r="G815" s="114"/>
      <c r="H815" s="59"/>
      <c r="I815" s="165"/>
      <c r="J815" s="59"/>
      <c r="K815" s="53"/>
      <c r="L815" s="59"/>
      <c r="M815" s="59"/>
      <c r="N815" s="47" t="b">
        <v>0</v>
      </c>
      <c r="O815" s="59"/>
      <c r="Q815" s="54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</row>
    <row r="816">
      <c r="A816" s="59" t="b">
        <v>0</v>
      </c>
      <c r="B816" s="54"/>
      <c r="C816" s="55"/>
      <c r="D816" s="56"/>
      <c r="E816" s="40"/>
      <c r="F816" s="57"/>
      <c r="G816" s="114"/>
      <c r="H816" s="59"/>
      <c r="I816" s="165"/>
      <c r="J816" s="59"/>
      <c r="K816" s="53"/>
      <c r="L816" s="59"/>
      <c r="M816" s="59"/>
      <c r="N816" s="47" t="b">
        <v>0</v>
      </c>
      <c r="O816" s="59"/>
      <c r="Q816" s="54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</row>
    <row r="817">
      <c r="A817" s="59" t="b">
        <v>0</v>
      </c>
      <c r="B817" s="54"/>
      <c r="C817" s="55"/>
      <c r="D817" s="56"/>
      <c r="E817" s="40"/>
      <c r="F817" s="57"/>
      <c r="G817" s="114"/>
      <c r="H817" s="59"/>
      <c r="I817" s="165"/>
      <c r="J817" s="59"/>
      <c r="K817" s="53"/>
      <c r="L817" s="59"/>
      <c r="M817" s="59"/>
      <c r="N817" s="47" t="b">
        <v>0</v>
      </c>
      <c r="O817" s="59"/>
      <c r="Q817" s="54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</row>
    <row r="818">
      <c r="A818" s="59" t="b">
        <v>0</v>
      </c>
      <c r="B818" s="54"/>
      <c r="C818" s="55"/>
      <c r="D818" s="56"/>
      <c r="E818" s="40"/>
      <c r="F818" s="57"/>
      <c r="G818" s="114"/>
      <c r="H818" s="59"/>
      <c r="I818" s="165"/>
      <c r="J818" s="59"/>
      <c r="K818" s="53"/>
      <c r="L818" s="59"/>
      <c r="M818" s="59"/>
      <c r="N818" s="47" t="b">
        <v>0</v>
      </c>
      <c r="O818" s="59"/>
      <c r="Q818" s="54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</row>
    <row r="819">
      <c r="A819" s="59" t="b">
        <v>0</v>
      </c>
      <c r="B819" s="54"/>
      <c r="C819" s="55"/>
      <c r="D819" s="56"/>
      <c r="E819" s="40"/>
      <c r="F819" s="57"/>
      <c r="G819" s="114"/>
      <c r="H819" s="59"/>
      <c r="I819" s="165"/>
      <c r="J819" s="59"/>
      <c r="K819" s="53"/>
      <c r="L819" s="59"/>
      <c r="M819" s="59"/>
      <c r="N819" s="47" t="b">
        <v>0</v>
      </c>
      <c r="O819" s="59"/>
      <c r="Q819" s="54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</row>
    <row r="820">
      <c r="A820" s="59" t="b">
        <v>0</v>
      </c>
      <c r="B820" s="54"/>
      <c r="C820" s="55"/>
      <c r="D820" s="56"/>
      <c r="E820" s="40"/>
      <c r="F820" s="57"/>
      <c r="G820" s="114"/>
      <c r="H820" s="59"/>
      <c r="I820" s="165"/>
      <c r="J820" s="59"/>
      <c r="K820" s="53"/>
      <c r="L820" s="59"/>
      <c r="M820" s="59"/>
      <c r="N820" s="47" t="b">
        <v>0</v>
      </c>
      <c r="O820" s="59"/>
      <c r="Q820" s="54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</row>
    <row r="821">
      <c r="A821" s="59" t="b">
        <v>0</v>
      </c>
      <c r="B821" s="54"/>
      <c r="C821" s="55"/>
      <c r="D821" s="56"/>
      <c r="E821" s="40"/>
      <c r="F821" s="57"/>
      <c r="G821" s="114"/>
      <c r="H821" s="59"/>
      <c r="I821" s="165"/>
      <c r="J821" s="59"/>
      <c r="K821" s="53"/>
      <c r="L821" s="59"/>
      <c r="M821" s="59"/>
      <c r="N821" s="47" t="b">
        <v>0</v>
      </c>
      <c r="O821" s="59"/>
      <c r="Q821" s="54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</row>
    <row r="822">
      <c r="A822" s="59" t="b">
        <v>0</v>
      </c>
      <c r="B822" s="54"/>
      <c r="C822" s="55"/>
      <c r="D822" s="56"/>
      <c r="E822" s="40"/>
      <c r="F822" s="57"/>
      <c r="G822" s="114"/>
      <c r="H822" s="59"/>
      <c r="I822" s="165"/>
      <c r="J822" s="59"/>
      <c r="K822" s="53"/>
      <c r="L822" s="59"/>
      <c r="M822" s="59"/>
      <c r="N822" s="47" t="b">
        <v>0</v>
      </c>
      <c r="O822" s="59"/>
      <c r="Q822" s="54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</row>
    <row r="823">
      <c r="A823" s="59" t="b">
        <v>0</v>
      </c>
      <c r="B823" s="54"/>
      <c r="C823" s="55"/>
      <c r="D823" s="56"/>
      <c r="E823" s="40"/>
      <c r="F823" s="57"/>
      <c r="G823" s="114"/>
      <c r="H823" s="59"/>
      <c r="I823" s="165"/>
      <c r="J823" s="59"/>
      <c r="K823" s="53"/>
      <c r="L823" s="59"/>
      <c r="M823" s="59"/>
      <c r="N823" s="47" t="b">
        <v>0</v>
      </c>
      <c r="O823" s="59"/>
      <c r="Q823" s="54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</row>
    <row r="824">
      <c r="A824" s="59" t="b">
        <v>0</v>
      </c>
      <c r="B824" s="54"/>
      <c r="C824" s="55"/>
      <c r="D824" s="56"/>
      <c r="E824" s="40"/>
      <c r="F824" s="57"/>
      <c r="G824" s="114"/>
      <c r="H824" s="59"/>
      <c r="I824" s="165"/>
      <c r="J824" s="59"/>
      <c r="K824" s="53"/>
      <c r="L824" s="59"/>
      <c r="M824" s="59"/>
      <c r="N824" s="47" t="b">
        <v>0</v>
      </c>
      <c r="O824" s="59"/>
      <c r="Q824" s="54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</row>
    <row r="825">
      <c r="A825" s="59" t="b">
        <v>0</v>
      </c>
      <c r="B825" s="54"/>
      <c r="C825" s="55"/>
      <c r="D825" s="56"/>
      <c r="E825" s="40"/>
      <c r="F825" s="57"/>
      <c r="G825" s="114"/>
      <c r="H825" s="59"/>
      <c r="I825" s="165"/>
      <c r="J825" s="59"/>
      <c r="K825" s="53"/>
      <c r="L825" s="59"/>
      <c r="M825" s="59"/>
      <c r="N825" s="47" t="b">
        <v>0</v>
      </c>
      <c r="O825" s="59"/>
      <c r="Q825" s="54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</row>
    <row r="826">
      <c r="A826" s="59" t="b">
        <v>0</v>
      </c>
      <c r="B826" s="54"/>
      <c r="C826" s="55"/>
      <c r="D826" s="56"/>
      <c r="E826" s="40"/>
      <c r="F826" s="57"/>
      <c r="G826" s="114"/>
      <c r="H826" s="59"/>
      <c r="I826" s="165"/>
      <c r="J826" s="59"/>
      <c r="K826" s="53"/>
      <c r="L826" s="59"/>
      <c r="M826" s="59"/>
      <c r="N826" s="47" t="b">
        <v>0</v>
      </c>
      <c r="O826" s="59"/>
      <c r="Q826" s="54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</row>
    <row r="827">
      <c r="A827" s="59" t="b">
        <v>0</v>
      </c>
      <c r="B827" s="54"/>
      <c r="C827" s="55"/>
      <c r="D827" s="56"/>
      <c r="E827" s="40"/>
      <c r="F827" s="57"/>
      <c r="G827" s="114"/>
      <c r="H827" s="59"/>
      <c r="I827" s="165"/>
      <c r="J827" s="59"/>
      <c r="K827" s="53"/>
      <c r="L827" s="59"/>
      <c r="M827" s="59"/>
      <c r="N827" s="47" t="b">
        <v>0</v>
      </c>
      <c r="O827" s="59"/>
      <c r="Q827" s="54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</row>
    <row r="828">
      <c r="A828" s="59" t="b">
        <v>0</v>
      </c>
      <c r="B828" s="54"/>
      <c r="C828" s="55"/>
      <c r="D828" s="56"/>
      <c r="E828" s="40"/>
      <c r="F828" s="57"/>
      <c r="G828" s="114"/>
      <c r="H828" s="59"/>
      <c r="I828" s="165"/>
      <c r="J828" s="59"/>
      <c r="K828" s="53"/>
      <c r="L828" s="59"/>
      <c r="M828" s="59"/>
      <c r="N828" s="47" t="b">
        <v>0</v>
      </c>
      <c r="O828" s="59"/>
      <c r="Q828" s="54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</row>
    <row r="829">
      <c r="A829" s="59" t="b">
        <v>0</v>
      </c>
      <c r="B829" s="54"/>
      <c r="C829" s="55"/>
      <c r="D829" s="56"/>
      <c r="E829" s="40"/>
      <c r="F829" s="57"/>
      <c r="G829" s="114"/>
      <c r="H829" s="59"/>
      <c r="I829" s="165"/>
      <c r="J829" s="59"/>
      <c r="K829" s="53"/>
      <c r="L829" s="59"/>
      <c r="M829" s="59"/>
      <c r="N829" s="47" t="b">
        <v>0</v>
      </c>
      <c r="O829" s="59"/>
      <c r="Q829" s="54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</row>
    <row r="830">
      <c r="A830" s="59" t="b">
        <v>0</v>
      </c>
      <c r="B830" s="54"/>
      <c r="C830" s="55"/>
      <c r="D830" s="56"/>
      <c r="E830" s="40"/>
      <c r="F830" s="57"/>
      <c r="G830" s="114"/>
      <c r="H830" s="59"/>
      <c r="I830" s="165"/>
      <c r="J830" s="59"/>
      <c r="K830" s="53"/>
      <c r="L830" s="59"/>
      <c r="M830" s="59"/>
      <c r="N830" s="47" t="b">
        <v>0</v>
      </c>
      <c r="O830" s="59"/>
      <c r="Q830" s="54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</row>
    <row r="831">
      <c r="A831" s="59" t="b">
        <v>0</v>
      </c>
      <c r="B831" s="54"/>
      <c r="C831" s="55"/>
      <c r="D831" s="56"/>
      <c r="E831" s="40"/>
      <c r="F831" s="57"/>
      <c r="G831" s="114"/>
      <c r="H831" s="59"/>
      <c r="I831" s="165"/>
      <c r="J831" s="59"/>
      <c r="K831" s="53"/>
      <c r="L831" s="59"/>
      <c r="M831" s="59"/>
      <c r="N831" s="47" t="b">
        <v>0</v>
      </c>
      <c r="O831" s="59"/>
      <c r="Q831" s="54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</row>
    <row r="832">
      <c r="A832" s="59" t="b">
        <v>0</v>
      </c>
      <c r="B832" s="54"/>
      <c r="C832" s="55"/>
      <c r="D832" s="56"/>
      <c r="E832" s="40"/>
      <c r="F832" s="57"/>
      <c r="G832" s="114"/>
      <c r="H832" s="59"/>
      <c r="I832" s="165"/>
      <c r="J832" s="59"/>
      <c r="K832" s="53"/>
      <c r="L832" s="59"/>
      <c r="M832" s="59"/>
      <c r="N832" s="47" t="b">
        <v>0</v>
      </c>
      <c r="O832" s="59"/>
      <c r="Q832" s="54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</row>
    <row r="833">
      <c r="A833" s="59" t="b">
        <v>0</v>
      </c>
      <c r="B833" s="54"/>
      <c r="C833" s="55"/>
      <c r="D833" s="56"/>
      <c r="E833" s="40"/>
      <c r="F833" s="57"/>
      <c r="G833" s="114"/>
      <c r="H833" s="59"/>
      <c r="I833" s="165"/>
      <c r="J833" s="59"/>
      <c r="K833" s="53"/>
      <c r="L833" s="59"/>
      <c r="M833" s="59"/>
      <c r="N833" s="47" t="b">
        <v>0</v>
      </c>
      <c r="O833" s="59"/>
      <c r="Q833" s="54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</row>
    <row r="834">
      <c r="A834" s="59" t="b">
        <v>0</v>
      </c>
      <c r="B834" s="54"/>
      <c r="C834" s="55"/>
      <c r="D834" s="56"/>
      <c r="E834" s="40"/>
      <c r="F834" s="57"/>
      <c r="G834" s="114"/>
      <c r="H834" s="59"/>
      <c r="I834" s="165"/>
      <c r="J834" s="59"/>
      <c r="K834" s="53"/>
      <c r="L834" s="59"/>
      <c r="M834" s="59"/>
      <c r="N834" s="47" t="b">
        <v>0</v>
      </c>
      <c r="O834" s="59"/>
      <c r="Q834" s="54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</row>
    <row r="835">
      <c r="A835" s="59" t="b">
        <v>0</v>
      </c>
      <c r="B835" s="54"/>
      <c r="C835" s="55"/>
      <c r="D835" s="56"/>
      <c r="E835" s="40"/>
      <c r="F835" s="57"/>
      <c r="G835" s="114"/>
      <c r="H835" s="59"/>
      <c r="I835" s="165"/>
      <c r="J835" s="59"/>
      <c r="K835" s="53"/>
      <c r="L835" s="59"/>
      <c r="M835" s="59"/>
      <c r="N835" s="47" t="b">
        <v>0</v>
      </c>
      <c r="O835" s="59"/>
      <c r="Q835" s="54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</row>
    <row r="836">
      <c r="A836" s="59" t="b">
        <v>0</v>
      </c>
      <c r="B836" s="54"/>
      <c r="C836" s="55"/>
      <c r="D836" s="56"/>
      <c r="E836" s="40"/>
      <c r="F836" s="57"/>
      <c r="G836" s="114"/>
      <c r="H836" s="59"/>
      <c r="I836" s="165"/>
      <c r="J836" s="59"/>
      <c r="K836" s="53"/>
      <c r="L836" s="59"/>
      <c r="M836" s="59"/>
      <c r="N836" s="47" t="b">
        <v>0</v>
      </c>
      <c r="O836" s="59"/>
      <c r="Q836" s="54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</row>
    <row r="837">
      <c r="A837" s="59" t="b">
        <v>0</v>
      </c>
      <c r="B837" s="54"/>
      <c r="C837" s="55"/>
      <c r="D837" s="56"/>
      <c r="E837" s="40"/>
      <c r="F837" s="57"/>
      <c r="G837" s="114"/>
      <c r="H837" s="59"/>
      <c r="I837" s="165"/>
      <c r="J837" s="59"/>
      <c r="K837" s="53"/>
      <c r="L837" s="59"/>
      <c r="M837" s="59"/>
      <c r="N837" s="47" t="b">
        <v>0</v>
      </c>
      <c r="O837" s="59"/>
      <c r="Q837" s="54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</row>
    <row r="838">
      <c r="A838" s="59" t="b">
        <v>0</v>
      </c>
      <c r="B838" s="54"/>
      <c r="C838" s="55"/>
      <c r="D838" s="56"/>
      <c r="E838" s="40"/>
      <c r="F838" s="57"/>
      <c r="G838" s="114"/>
      <c r="H838" s="59"/>
      <c r="I838" s="165"/>
      <c r="J838" s="59"/>
      <c r="K838" s="53"/>
      <c r="L838" s="59"/>
      <c r="M838" s="59"/>
      <c r="N838" s="47" t="b">
        <v>0</v>
      </c>
      <c r="O838" s="59"/>
      <c r="Q838" s="54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</row>
    <row r="839">
      <c r="A839" s="59" t="b">
        <v>0</v>
      </c>
      <c r="B839" s="54"/>
      <c r="C839" s="55"/>
      <c r="D839" s="56"/>
      <c r="E839" s="40"/>
      <c r="F839" s="57"/>
      <c r="G839" s="114"/>
      <c r="H839" s="59"/>
      <c r="I839" s="165"/>
      <c r="J839" s="59"/>
      <c r="K839" s="53"/>
      <c r="L839" s="59"/>
      <c r="M839" s="59"/>
      <c r="N839" s="47" t="b">
        <v>0</v>
      </c>
      <c r="O839" s="59"/>
      <c r="Q839" s="54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</row>
    <row r="840">
      <c r="A840" s="59" t="b">
        <v>0</v>
      </c>
      <c r="B840" s="54"/>
      <c r="C840" s="55"/>
      <c r="D840" s="56"/>
      <c r="E840" s="40"/>
      <c r="F840" s="57"/>
      <c r="G840" s="114"/>
      <c r="H840" s="59"/>
      <c r="I840" s="165"/>
      <c r="J840" s="59"/>
      <c r="K840" s="53"/>
      <c r="L840" s="59"/>
      <c r="M840" s="59"/>
      <c r="N840" s="47" t="b">
        <v>0</v>
      </c>
      <c r="O840" s="59"/>
      <c r="Q840" s="54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</row>
    <row r="841">
      <c r="A841" s="59" t="b">
        <v>0</v>
      </c>
      <c r="B841" s="54"/>
      <c r="C841" s="55"/>
      <c r="D841" s="56"/>
      <c r="E841" s="40"/>
      <c r="F841" s="57"/>
      <c r="G841" s="114"/>
      <c r="H841" s="59"/>
      <c r="I841" s="165"/>
      <c r="J841" s="59"/>
      <c r="K841" s="53"/>
      <c r="L841" s="59"/>
      <c r="M841" s="59"/>
      <c r="N841" s="47" t="b">
        <v>0</v>
      </c>
      <c r="O841" s="59"/>
      <c r="Q841" s="54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</row>
    <row r="842">
      <c r="A842" s="59" t="b">
        <v>0</v>
      </c>
      <c r="B842" s="54"/>
      <c r="C842" s="55"/>
      <c r="D842" s="56"/>
      <c r="E842" s="40"/>
      <c r="F842" s="57"/>
      <c r="G842" s="114"/>
      <c r="H842" s="59"/>
      <c r="I842" s="165"/>
      <c r="J842" s="59"/>
      <c r="K842" s="53"/>
      <c r="L842" s="59"/>
      <c r="M842" s="59"/>
      <c r="N842" s="47" t="b">
        <v>0</v>
      </c>
      <c r="O842" s="59"/>
      <c r="Q842" s="54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</row>
    <row r="843">
      <c r="A843" s="59" t="b">
        <v>0</v>
      </c>
      <c r="B843" s="54"/>
      <c r="C843" s="55"/>
      <c r="D843" s="56"/>
      <c r="E843" s="40"/>
      <c r="F843" s="57"/>
      <c r="G843" s="114"/>
      <c r="H843" s="59"/>
      <c r="I843" s="165"/>
      <c r="J843" s="59"/>
      <c r="K843" s="53"/>
      <c r="L843" s="59"/>
      <c r="M843" s="59"/>
      <c r="N843" s="47" t="b">
        <v>0</v>
      </c>
      <c r="O843" s="59"/>
      <c r="Q843" s="54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</row>
    <row r="844">
      <c r="A844" s="59" t="b">
        <v>0</v>
      </c>
      <c r="B844" s="54"/>
      <c r="C844" s="55"/>
      <c r="D844" s="56"/>
      <c r="E844" s="40"/>
      <c r="F844" s="57"/>
      <c r="G844" s="114"/>
      <c r="H844" s="59"/>
      <c r="I844" s="165"/>
      <c r="J844" s="59"/>
      <c r="K844" s="53"/>
      <c r="L844" s="59"/>
      <c r="M844" s="59"/>
      <c r="N844" s="47" t="b">
        <v>0</v>
      </c>
      <c r="O844" s="59"/>
      <c r="Q844" s="54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</row>
    <row r="845">
      <c r="A845" s="59" t="b">
        <v>0</v>
      </c>
      <c r="B845" s="54"/>
      <c r="C845" s="55"/>
      <c r="D845" s="56"/>
      <c r="E845" s="40"/>
      <c r="F845" s="57"/>
      <c r="G845" s="114"/>
      <c r="H845" s="59"/>
      <c r="I845" s="165"/>
      <c r="J845" s="59"/>
      <c r="K845" s="53"/>
      <c r="L845" s="59"/>
      <c r="M845" s="59"/>
      <c r="N845" s="47" t="b">
        <v>0</v>
      </c>
      <c r="O845" s="59"/>
      <c r="Q845" s="54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</row>
    <row r="846">
      <c r="A846" s="59" t="b">
        <v>0</v>
      </c>
      <c r="B846" s="54"/>
      <c r="C846" s="55"/>
      <c r="D846" s="56"/>
      <c r="E846" s="40"/>
      <c r="F846" s="57"/>
      <c r="G846" s="114"/>
      <c r="H846" s="59"/>
      <c r="I846" s="165"/>
      <c r="J846" s="59"/>
      <c r="K846" s="53"/>
      <c r="L846" s="59"/>
      <c r="M846" s="59"/>
      <c r="N846" s="47" t="b">
        <v>0</v>
      </c>
      <c r="O846" s="59"/>
      <c r="Q846" s="54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</row>
    <row r="847">
      <c r="A847" s="59" t="b">
        <v>0</v>
      </c>
      <c r="B847" s="54"/>
      <c r="C847" s="55"/>
      <c r="D847" s="56"/>
      <c r="E847" s="40"/>
      <c r="F847" s="57"/>
      <c r="G847" s="114"/>
      <c r="H847" s="59"/>
      <c r="I847" s="165"/>
      <c r="J847" s="59"/>
      <c r="K847" s="53"/>
      <c r="L847" s="59"/>
      <c r="M847" s="59"/>
      <c r="N847" s="47" t="b">
        <v>0</v>
      </c>
      <c r="O847" s="59"/>
      <c r="Q847" s="54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</row>
    <row r="848">
      <c r="A848" s="59" t="b">
        <v>0</v>
      </c>
      <c r="B848" s="54"/>
      <c r="C848" s="55"/>
      <c r="D848" s="56"/>
      <c r="E848" s="40"/>
      <c r="F848" s="57"/>
      <c r="G848" s="114"/>
      <c r="H848" s="59"/>
      <c r="I848" s="165"/>
      <c r="J848" s="59"/>
      <c r="K848" s="53"/>
      <c r="L848" s="59"/>
      <c r="M848" s="59"/>
      <c r="N848" s="47" t="b">
        <v>0</v>
      </c>
      <c r="O848" s="59"/>
      <c r="Q848" s="54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</row>
    <row r="849">
      <c r="A849" s="59" t="b">
        <v>0</v>
      </c>
      <c r="B849" s="54"/>
      <c r="C849" s="55"/>
      <c r="D849" s="56"/>
      <c r="E849" s="40"/>
      <c r="F849" s="57"/>
      <c r="G849" s="114"/>
      <c r="H849" s="59"/>
      <c r="I849" s="165"/>
      <c r="J849" s="59"/>
      <c r="K849" s="53"/>
      <c r="L849" s="59"/>
      <c r="M849" s="59"/>
      <c r="N849" s="47" t="b">
        <v>0</v>
      </c>
      <c r="O849" s="59"/>
      <c r="Q849" s="54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</row>
    <row r="850">
      <c r="A850" s="59" t="b">
        <v>0</v>
      </c>
      <c r="B850" s="54"/>
      <c r="C850" s="55"/>
      <c r="D850" s="56"/>
      <c r="E850" s="40"/>
      <c r="F850" s="57"/>
      <c r="G850" s="114"/>
      <c r="H850" s="59"/>
      <c r="I850" s="165"/>
      <c r="J850" s="59"/>
      <c r="K850" s="53"/>
      <c r="L850" s="59"/>
      <c r="M850" s="59"/>
      <c r="N850" s="47" t="b">
        <v>0</v>
      </c>
      <c r="O850" s="59"/>
      <c r="Q850" s="54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</row>
    <row r="851">
      <c r="A851" s="59" t="b">
        <v>0</v>
      </c>
      <c r="B851" s="54"/>
      <c r="C851" s="55"/>
      <c r="D851" s="56"/>
      <c r="E851" s="40"/>
      <c r="F851" s="57"/>
      <c r="G851" s="114"/>
      <c r="H851" s="59"/>
      <c r="I851" s="165"/>
      <c r="J851" s="59"/>
      <c r="K851" s="53"/>
      <c r="L851" s="59"/>
      <c r="M851" s="59"/>
      <c r="N851" s="47" t="b">
        <v>0</v>
      </c>
      <c r="O851" s="59"/>
      <c r="Q851" s="54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</row>
    <row r="852">
      <c r="A852" s="59" t="b">
        <v>0</v>
      </c>
      <c r="B852" s="54"/>
      <c r="C852" s="55"/>
      <c r="D852" s="56"/>
      <c r="E852" s="40"/>
      <c r="F852" s="57"/>
      <c r="G852" s="114"/>
      <c r="H852" s="59"/>
      <c r="I852" s="165"/>
      <c r="J852" s="59"/>
      <c r="K852" s="53"/>
      <c r="L852" s="59"/>
      <c r="M852" s="59"/>
      <c r="N852" s="47" t="b">
        <v>0</v>
      </c>
      <c r="O852" s="59"/>
      <c r="Q852" s="54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</row>
    <row r="853">
      <c r="A853" s="59" t="b">
        <v>0</v>
      </c>
      <c r="B853" s="54"/>
      <c r="C853" s="55"/>
      <c r="D853" s="56"/>
      <c r="E853" s="40"/>
      <c r="F853" s="57"/>
      <c r="G853" s="114"/>
      <c r="H853" s="59"/>
      <c r="I853" s="165"/>
      <c r="J853" s="59"/>
      <c r="K853" s="53"/>
      <c r="L853" s="59"/>
      <c r="M853" s="59"/>
      <c r="N853" s="47" t="b">
        <v>0</v>
      </c>
      <c r="O853" s="59"/>
      <c r="Q853" s="54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</row>
    <row r="854">
      <c r="A854" s="59" t="b">
        <v>0</v>
      </c>
      <c r="B854" s="54"/>
      <c r="C854" s="55"/>
      <c r="D854" s="56"/>
      <c r="E854" s="40"/>
      <c r="F854" s="57"/>
      <c r="G854" s="114"/>
      <c r="H854" s="59"/>
      <c r="I854" s="165"/>
      <c r="J854" s="59"/>
      <c r="K854" s="53"/>
      <c r="L854" s="59"/>
      <c r="M854" s="59"/>
      <c r="N854" s="47" t="b">
        <v>0</v>
      </c>
      <c r="O854" s="59"/>
      <c r="Q854" s="54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</row>
    <row r="855">
      <c r="A855" s="59" t="b">
        <v>0</v>
      </c>
      <c r="B855" s="54"/>
      <c r="C855" s="55"/>
      <c r="D855" s="56"/>
      <c r="E855" s="40"/>
      <c r="F855" s="57"/>
      <c r="G855" s="114"/>
      <c r="H855" s="59"/>
      <c r="I855" s="165"/>
      <c r="J855" s="59"/>
      <c r="K855" s="53"/>
      <c r="L855" s="59"/>
      <c r="M855" s="59"/>
      <c r="N855" s="47" t="b">
        <v>0</v>
      </c>
      <c r="O855" s="59"/>
      <c r="Q855" s="54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</row>
    <row r="856">
      <c r="A856" s="59" t="b">
        <v>0</v>
      </c>
      <c r="B856" s="54"/>
      <c r="C856" s="55"/>
      <c r="D856" s="56"/>
      <c r="E856" s="40"/>
      <c r="F856" s="57"/>
      <c r="G856" s="114"/>
      <c r="H856" s="59"/>
      <c r="I856" s="165"/>
      <c r="J856" s="59"/>
      <c r="K856" s="53"/>
      <c r="L856" s="59"/>
      <c r="M856" s="59"/>
      <c r="N856" s="47" t="b">
        <v>0</v>
      </c>
      <c r="O856" s="59"/>
      <c r="Q856" s="54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</row>
    <row r="857">
      <c r="A857" s="59" t="b">
        <v>0</v>
      </c>
      <c r="B857" s="54"/>
      <c r="C857" s="55"/>
      <c r="D857" s="56"/>
      <c r="E857" s="40"/>
      <c r="F857" s="57"/>
      <c r="G857" s="114"/>
      <c r="H857" s="59"/>
      <c r="I857" s="165"/>
      <c r="J857" s="59"/>
      <c r="K857" s="53"/>
      <c r="L857" s="59"/>
      <c r="M857" s="59"/>
      <c r="N857" s="47" t="b">
        <v>0</v>
      </c>
      <c r="O857" s="59"/>
      <c r="Q857" s="54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</row>
    <row r="858">
      <c r="A858" s="59" t="b">
        <v>0</v>
      </c>
      <c r="B858" s="54"/>
      <c r="C858" s="55"/>
      <c r="D858" s="56"/>
      <c r="E858" s="40"/>
      <c r="F858" s="57"/>
      <c r="G858" s="114"/>
      <c r="H858" s="59"/>
      <c r="I858" s="165"/>
      <c r="J858" s="59"/>
      <c r="K858" s="53"/>
      <c r="L858" s="59"/>
      <c r="M858" s="59"/>
      <c r="N858" s="47" t="b">
        <v>0</v>
      </c>
      <c r="O858" s="59"/>
      <c r="Q858" s="54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</row>
    <row r="859">
      <c r="A859" s="59" t="b">
        <v>0</v>
      </c>
      <c r="B859" s="54"/>
      <c r="C859" s="55"/>
      <c r="D859" s="56"/>
      <c r="E859" s="40"/>
      <c r="F859" s="57"/>
      <c r="G859" s="114"/>
      <c r="H859" s="59"/>
      <c r="I859" s="165"/>
      <c r="J859" s="59"/>
      <c r="K859" s="53"/>
      <c r="L859" s="59"/>
      <c r="M859" s="59"/>
      <c r="N859" s="47" t="b">
        <v>0</v>
      </c>
      <c r="O859" s="59"/>
      <c r="Q859" s="54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</row>
    <row r="860">
      <c r="A860" s="59" t="b">
        <v>0</v>
      </c>
      <c r="B860" s="54"/>
      <c r="C860" s="55"/>
      <c r="D860" s="56"/>
      <c r="E860" s="40"/>
      <c r="F860" s="57"/>
      <c r="G860" s="114"/>
      <c r="H860" s="59"/>
      <c r="I860" s="165"/>
      <c r="J860" s="59"/>
      <c r="K860" s="53"/>
      <c r="L860" s="59"/>
      <c r="M860" s="59"/>
      <c r="N860" s="47" t="b">
        <v>0</v>
      </c>
      <c r="O860" s="59"/>
      <c r="Q860" s="54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</row>
    <row r="861">
      <c r="A861" s="59" t="b">
        <v>0</v>
      </c>
      <c r="B861" s="54"/>
      <c r="C861" s="55"/>
      <c r="D861" s="56"/>
      <c r="E861" s="40"/>
      <c r="F861" s="57"/>
      <c r="G861" s="114"/>
      <c r="H861" s="59"/>
      <c r="I861" s="165"/>
      <c r="J861" s="59"/>
      <c r="K861" s="53"/>
      <c r="L861" s="59"/>
      <c r="M861" s="59"/>
      <c r="N861" s="47" t="b">
        <v>0</v>
      </c>
      <c r="O861" s="59"/>
      <c r="Q861" s="54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</row>
    <row r="862">
      <c r="A862" s="59" t="b">
        <v>0</v>
      </c>
      <c r="B862" s="54"/>
      <c r="C862" s="55"/>
      <c r="D862" s="56"/>
      <c r="E862" s="40"/>
      <c r="F862" s="57"/>
      <c r="G862" s="114"/>
      <c r="H862" s="59"/>
      <c r="I862" s="165"/>
      <c r="J862" s="59"/>
      <c r="K862" s="53"/>
      <c r="L862" s="59"/>
      <c r="M862" s="59"/>
      <c r="N862" s="47" t="b">
        <v>0</v>
      </c>
      <c r="O862" s="59"/>
      <c r="Q862" s="54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</row>
    <row r="863">
      <c r="A863" s="59" t="b">
        <v>0</v>
      </c>
      <c r="B863" s="54"/>
      <c r="C863" s="55"/>
      <c r="D863" s="56"/>
      <c r="E863" s="40"/>
      <c r="F863" s="57"/>
      <c r="G863" s="114"/>
      <c r="H863" s="59"/>
      <c r="I863" s="165"/>
      <c r="J863" s="59"/>
      <c r="K863" s="53"/>
      <c r="L863" s="59"/>
      <c r="M863" s="59"/>
      <c r="N863" s="47" t="b">
        <v>0</v>
      </c>
      <c r="O863" s="59"/>
      <c r="Q863" s="54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</row>
    <row r="864">
      <c r="A864" s="59" t="b">
        <v>0</v>
      </c>
      <c r="B864" s="54"/>
      <c r="C864" s="55"/>
      <c r="D864" s="56"/>
      <c r="E864" s="40"/>
      <c r="F864" s="57"/>
      <c r="G864" s="114"/>
      <c r="H864" s="59"/>
      <c r="I864" s="165"/>
      <c r="J864" s="59"/>
      <c r="K864" s="53"/>
      <c r="L864" s="59"/>
      <c r="M864" s="59"/>
      <c r="N864" s="47" t="b">
        <v>0</v>
      </c>
      <c r="O864" s="59"/>
      <c r="Q864" s="54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</row>
    <row r="865">
      <c r="A865" s="59" t="b">
        <v>0</v>
      </c>
      <c r="B865" s="54"/>
      <c r="C865" s="55"/>
      <c r="D865" s="56"/>
      <c r="E865" s="40"/>
      <c r="F865" s="57"/>
      <c r="G865" s="114"/>
      <c r="H865" s="59"/>
      <c r="I865" s="165"/>
      <c r="J865" s="59"/>
      <c r="K865" s="53"/>
      <c r="L865" s="59"/>
      <c r="M865" s="59"/>
      <c r="N865" s="47" t="b">
        <v>0</v>
      </c>
      <c r="O865" s="59"/>
      <c r="Q865" s="54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</row>
    <row r="866">
      <c r="A866" s="59" t="b">
        <v>0</v>
      </c>
      <c r="B866" s="54"/>
      <c r="C866" s="55"/>
      <c r="D866" s="56"/>
      <c r="E866" s="40"/>
      <c r="F866" s="57"/>
      <c r="G866" s="114"/>
      <c r="H866" s="59"/>
      <c r="I866" s="165"/>
      <c r="J866" s="59"/>
      <c r="K866" s="53"/>
      <c r="L866" s="59"/>
      <c r="M866" s="59"/>
      <c r="N866" s="47" t="b">
        <v>0</v>
      </c>
      <c r="O866" s="59"/>
      <c r="Q866" s="54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</row>
    <row r="867">
      <c r="A867" s="59" t="b">
        <v>0</v>
      </c>
      <c r="B867" s="54"/>
      <c r="C867" s="55"/>
      <c r="D867" s="56"/>
      <c r="E867" s="40"/>
      <c r="F867" s="57"/>
      <c r="G867" s="114"/>
      <c r="H867" s="59"/>
      <c r="I867" s="165"/>
      <c r="J867" s="59"/>
      <c r="K867" s="53"/>
      <c r="L867" s="59"/>
      <c r="M867" s="59"/>
      <c r="N867" s="47" t="b">
        <v>0</v>
      </c>
      <c r="O867" s="59"/>
      <c r="Q867" s="54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</row>
    <row r="868">
      <c r="A868" s="59" t="b">
        <v>0</v>
      </c>
      <c r="B868" s="54"/>
      <c r="C868" s="55"/>
      <c r="D868" s="56"/>
      <c r="E868" s="40"/>
      <c r="F868" s="57"/>
      <c r="G868" s="114"/>
      <c r="H868" s="59"/>
      <c r="I868" s="165"/>
      <c r="J868" s="59"/>
      <c r="K868" s="53"/>
      <c r="L868" s="59"/>
      <c r="M868" s="59"/>
      <c r="N868" s="47" t="b">
        <v>0</v>
      </c>
      <c r="O868" s="59"/>
      <c r="Q868" s="54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</row>
    <row r="869">
      <c r="A869" s="59" t="b">
        <v>0</v>
      </c>
      <c r="B869" s="54"/>
      <c r="C869" s="55"/>
      <c r="D869" s="56"/>
      <c r="E869" s="40"/>
      <c r="F869" s="57"/>
      <c r="G869" s="114"/>
      <c r="H869" s="59"/>
      <c r="I869" s="165"/>
      <c r="J869" s="59"/>
      <c r="K869" s="53"/>
      <c r="L869" s="59"/>
      <c r="M869" s="59"/>
      <c r="N869" s="47" t="b">
        <v>0</v>
      </c>
      <c r="O869" s="59"/>
      <c r="Q869" s="54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</row>
    <row r="870">
      <c r="A870" s="59" t="b">
        <v>0</v>
      </c>
      <c r="B870" s="54"/>
      <c r="C870" s="55"/>
      <c r="D870" s="56"/>
      <c r="E870" s="40"/>
      <c r="F870" s="57"/>
      <c r="G870" s="114"/>
      <c r="H870" s="59"/>
      <c r="I870" s="165"/>
      <c r="J870" s="59"/>
      <c r="K870" s="53"/>
      <c r="L870" s="59"/>
      <c r="M870" s="59"/>
      <c r="N870" s="47" t="b">
        <v>0</v>
      </c>
      <c r="O870" s="59"/>
      <c r="Q870" s="54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</row>
    <row r="871">
      <c r="A871" s="59" t="b">
        <v>0</v>
      </c>
      <c r="B871" s="54"/>
      <c r="C871" s="55"/>
      <c r="D871" s="56"/>
      <c r="E871" s="40"/>
      <c r="F871" s="57"/>
      <c r="G871" s="114"/>
      <c r="H871" s="59"/>
      <c r="I871" s="165"/>
      <c r="J871" s="59"/>
      <c r="K871" s="53"/>
      <c r="L871" s="59"/>
      <c r="M871" s="59"/>
      <c r="N871" s="47" t="b">
        <v>0</v>
      </c>
      <c r="O871" s="59"/>
      <c r="Q871" s="54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</row>
    <row r="872">
      <c r="A872" s="59" t="b">
        <v>0</v>
      </c>
      <c r="B872" s="54"/>
      <c r="C872" s="55"/>
      <c r="D872" s="56"/>
      <c r="E872" s="40"/>
      <c r="F872" s="57"/>
      <c r="G872" s="114"/>
      <c r="H872" s="59"/>
      <c r="I872" s="165"/>
      <c r="J872" s="59"/>
      <c r="K872" s="53"/>
      <c r="L872" s="59"/>
      <c r="M872" s="59"/>
      <c r="N872" s="47" t="b">
        <v>0</v>
      </c>
      <c r="O872" s="59"/>
      <c r="Q872" s="54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</row>
    <row r="873">
      <c r="A873" s="59" t="b">
        <v>0</v>
      </c>
      <c r="B873" s="54"/>
      <c r="C873" s="55"/>
      <c r="D873" s="56"/>
      <c r="E873" s="40"/>
      <c r="F873" s="57"/>
      <c r="G873" s="114"/>
      <c r="H873" s="59"/>
      <c r="I873" s="165"/>
      <c r="J873" s="59"/>
      <c r="K873" s="53"/>
      <c r="L873" s="59"/>
      <c r="M873" s="59"/>
      <c r="N873" s="47" t="b">
        <v>0</v>
      </c>
      <c r="O873" s="59"/>
      <c r="Q873" s="54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</row>
    <row r="874">
      <c r="A874" s="59" t="b">
        <v>0</v>
      </c>
      <c r="B874" s="54"/>
      <c r="C874" s="55"/>
      <c r="D874" s="56"/>
      <c r="E874" s="40"/>
      <c r="F874" s="57"/>
      <c r="G874" s="114"/>
      <c r="H874" s="59"/>
      <c r="I874" s="165"/>
      <c r="J874" s="59"/>
      <c r="K874" s="53"/>
      <c r="L874" s="59"/>
      <c r="M874" s="59"/>
      <c r="N874" s="47" t="b">
        <v>0</v>
      </c>
      <c r="O874" s="59"/>
      <c r="Q874" s="54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</row>
    <row r="875">
      <c r="A875" s="59" t="b">
        <v>0</v>
      </c>
      <c r="B875" s="54"/>
      <c r="C875" s="55"/>
      <c r="D875" s="56"/>
      <c r="E875" s="40"/>
      <c r="F875" s="57"/>
      <c r="G875" s="114"/>
      <c r="H875" s="59"/>
      <c r="I875" s="165"/>
      <c r="J875" s="59"/>
      <c r="K875" s="53"/>
      <c r="L875" s="59"/>
      <c r="M875" s="59"/>
      <c r="N875" s="47" t="b">
        <v>0</v>
      </c>
      <c r="O875" s="59"/>
      <c r="Q875" s="54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</row>
    <row r="876">
      <c r="A876" s="59" t="b">
        <v>0</v>
      </c>
      <c r="B876" s="54"/>
      <c r="C876" s="55"/>
      <c r="D876" s="56"/>
      <c r="E876" s="40"/>
      <c r="F876" s="57"/>
      <c r="G876" s="114"/>
      <c r="H876" s="59"/>
      <c r="I876" s="165"/>
      <c r="J876" s="59"/>
      <c r="K876" s="53"/>
      <c r="L876" s="59"/>
      <c r="M876" s="59"/>
      <c r="N876" s="47" t="b">
        <v>0</v>
      </c>
      <c r="O876" s="59"/>
      <c r="Q876" s="54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</row>
    <row r="877">
      <c r="A877" s="59" t="b">
        <v>0</v>
      </c>
      <c r="B877" s="54"/>
      <c r="C877" s="55"/>
      <c r="D877" s="56"/>
      <c r="E877" s="40"/>
      <c r="F877" s="57"/>
      <c r="G877" s="114"/>
      <c r="H877" s="59"/>
      <c r="I877" s="165"/>
      <c r="J877" s="59"/>
      <c r="K877" s="53"/>
      <c r="L877" s="59"/>
      <c r="M877" s="59"/>
      <c r="N877" s="47" t="b">
        <v>0</v>
      </c>
      <c r="O877" s="59"/>
      <c r="Q877" s="54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</row>
    <row r="878">
      <c r="A878" s="59" t="b">
        <v>0</v>
      </c>
      <c r="B878" s="54"/>
      <c r="C878" s="55"/>
      <c r="D878" s="56"/>
      <c r="E878" s="40"/>
      <c r="F878" s="57"/>
      <c r="G878" s="114"/>
      <c r="H878" s="59"/>
      <c r="I878" s="165"/>
      <c r="J878" s="59"/>
      <c r="K878" s="53"/>
      <c r="L878" s="59"/>
      <c r="M878" s="59"/>
      <c r="N878" s="47" t="b">
        <v>0</v>
      </c>
      <c r="O878" s="59"/>
      <c r="Q878" s="54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</row>
    <row r="879">
      <c r="A879" s="59" t="b">
        <v>0</v>
      </c>
      <c r="B879" s="54"/>
      <c r="C879" s="55"/>
      <c r="D879" s="56"/>
      <c r="E879" s="40"/>
      <c r="F879" s="57"/>
      <c r="G879" s="114"/>
      <c r="H879" s="59"/>
      <c r="I879" s="165"/>
      <c r="J879" s="59"/>
      <c r="K879" s="53"/>
      <c r="L879" s="59"/>
      <c r="M879" s="59"/>
      <c r="N879" s="47" t="b">
        <v>0</v>
      </c>
      <c r="O879" s="59"/>
      <c r="Q879" s="54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</row>
    <row r="880">
      <c r="A880" s="59" t="b">
        <v>0</v>
      </c>
      <c r="B880" s="54"/>
      <c r="C880" s="55"/>
      <c r="D880" s="56"/>
      <c r="E880" s="40"/>
      <c r="F880" s="57"/>
      <c r="G880" s="114"/>
      <c r="H880" s="59"/>
      <c r="I880" s="165"/>
      <c r="J880" s="59"/>
      <c r="K880" s="53"/>
      <c r="L880" s="59"/>
      <c r="M880" s="59"/>
      <c r="N880" s="47" t="b">
        <v>0</v>
      </c>
      <c r="O880" s="59"/>
      <c r="Q880" s="54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</row>
    <row r="881">
      <c r="A881" s="59" t="b">
        <v>0</v>
      </c>
      <c r="B881" s="54"/>
      <c r="C881" s="55"/>
      <c r="D881" s="56"/>
      <c r="E881" s="40"/>
      <c r="F881" s="57"/>
      <c r="G881" s="114"/>
      <c r="H881" s="59"/>
      <c r="I881" s="165"/>
      <c r="J881" s="59"/>
      <c r="K881" s="53"/>
      <c r="L881" s="59"/>
      <c r="M881" s="59"/>
      <c r="N881" s="47" t="b">
        <v>0</v>
      </c>
      <c r="O881" s="59"/>
      <c r="Q881" s="54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</row>
    <row r="882">
      <c r="A882" s="59" t="b">
        <v>0</v>
      </c>
      <c r="B882" s="54"/>
      <c r="C882" s="55"/>
      <c r="D882" s="56"/>
      <c r="E882" s="40"/>
      <c r="F882" s="57"/>
      <c r="G882" s="114"/>
      <c r="H882" s="59"/>
      <c r="I882" s="165"/>
      <c r="J882" s="59"/>
      <c r="K882" s="53"/>
      <c r="L882" s="59"/>
      <c r="M882" s="59"/>
      <c r="N882" s="47" t="b">
        <v>0</v>
      </c>
      <c r="O882" s="59"/>
      <c r="Q882" s="54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</row>
    <row r="883">
      <c r="A883" s="59" t="b">
        <v>0</v>
      </c>
      <c r="B883" s="54"/>
      <c r="C883" s="55"/>
      <c r="D883" s="56"/>
      <c r="E883" s="40"/>
      <c r="F883" s="57"/>
      <c r="G883" s="114"/>
      <c r="H883" s="59"/>
      <c r="I883" s="165"/>
      <c r="J883" s="59"/>
      <c r="K883" s="53"/>
      <c r="L883" s="59"/>
      <c r="M883" s="59"/>
      <c r="N883" s="47" t="b">
        <v>0</v>
      </c>
      <c r="O883" s="59"/>
      <c r="Q883" s="54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</row>
    <row r="884">
      <c r="A884" s="59" t="b">
        <v>0</v>
      </c>
      <c r="B884" s="54"/>
      <c r="C884" s="55"/>
      <c r="D884" s="56"/>
      <c r="E884" s="40"/>
      <c r="F884" s="57"/>
      <c r="G884" s="114"/>
      <c r="H884" s="59"/>
      <c r="I884" s="165"/>
      <c r="J884" s="59"/>
      <c r="K884" s="53"/>
      <c r="L884" s="59"/>
      <c r="M884" s="59"/>
      <c r="N884" s="47" t="b">
        <v>0</v>
      </c>
      <c r="O884" s="59"/>
      <c r="Q884" s="54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</row>
    <row r="885">
      <c r="A885" s="59" t="b">
        <v>0</v>
      </c>
      <c r="B885" s="54"/>
      <c r="C885" s="55"/>
      <c r="D885" s="56"/>
      <c r="E885" s="40"/>
      <c r="F885" s="57"/>
      <c r="G885" s="114"/>
      <c r="H885" s="59"/>
      <c r="I885" s="165"/>
      <c r="J885" s="59"/>
      <c r="K885" s="53"/>
      <c r="L885" s="59"/>
      <c r="M885" s="59"/>
      <c r="N885" s="47" t="b">
        <v>0</v>
      </c>
      <c r="O885" s="59"/>
      <c r="Q885" s="54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</row>
    <row r="886">
      <c r="A886" s="59" t="b">
        <v>0</v>
      </c>
      <c r="B886" s="54"/>
      <c r="C886" s="55"/>
      <c r="D886" s="56"/>
      <c r="E886" s="40"/>
      <c r="F886" s="57"/>
      <c r="G886" s="114"/>
      <c r="H886" s="59"/>
      <c r="I886" s="165"/>
      <c r="J886" s="59"/>
      <c r="K886" s="53"/>
      <c r="L886" s="59"/>
      <c r="M886" s="59"/>
      <c r="N886" s="47" t="b">
        <v>0</v>
      </c>
      <c r="O886" s="59"/>
      <c r="Q886" s="54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</row>
    <row r="887">
      <c r="A887" s="59" t="b">
        <v>0</v>
      </c>
      <c r="B887" s="54"/>
      <c r="C887" s="55"/>
      <c r="D887" s="56"/>
      <c r="E887" s="40"/>
      <c r="F887" s="57"/>
      <c r="G887" s="114"/>
      <c r="H887" s="59"/>
      <c r="I887" s="165"/>
      <c r="J887" s="59"/>
      <c r="K887" s="53"/>
      <c r="L887" s="59"/>
      <c r="M887" s="59"/>
      <c r="N887" s="47" t="b">
        <v>0</v>
      </c>
      <c r="O887" s="59"/>
      <c r="Q887" s="54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</row>
    <row r="888">
      <c r="A888" s="59" t="b">
        <v>0</v>
      </c>
      <c r="B888" s="54"/>
      <c r="C888" s="55"/>
      <c r="D888" s="56"/>
      <c r="E888" s="40"/>
      <c r="F888" s="57"/>
      <c r="G888" s="114"/>
      <c r="H888" s="59"/>
      <c r="I888" s="165"/>
      <c r="J888" s="59"/>
      <c r="K888" s="53"/>
      <c r="L888" s="59"/>
      <c r="M888" s="59"/>
      <c r="N888" s="47" t="b">
        <v>0</v>
      </c>
      <c r="O888" s="59"/>
      <c r="Q888" s="54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</row>
    <row r="889">
      <c r="A889" s="59" t="b">
        <v>0</v>
      </c>
      <c r="B889" s="54"/>
      <c r="C889" s="55"/>
      <c r="D889" s="56"/>
      <c r="E889" s="40"/>
      <c r="F889" s="57"/>
      <c r="G889" s="114"/>
      <c r="H889" s="59"/>
      <c r="I889" s="165"/>
      <c r="J889" s="59"/>
      <c r="K889" s="53"/>
      <c r="L889" s="59"/>
      <c r="M889" s="59"/>
      <c r="N889" s="47" t="b">
        <v>0</v>
      </c>
      <c r="O889" s="59"/>
      <c r="Q889" s="54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</row>
    <row r="890">
      <c r="A890" s="59" t="b">
        <v>0</v>
      </c>
      <c r="B890" s="54"/>
      <c r="C890" s="55"/>
      <c r="D890" s="56"/>
      <c r="E890" s="40"/>
      <c r="F890" s="57"/>
      <c r="G890" s="114"/>
      <c r="H890" s="59"/>
      <c r="I890" s="165"/>
      <c r="J890" s="59"/>
      <c r="K890" s="53"/>
      <c r="L890" s="59"/>
      <c r="M890" s="59"/>
      <c r="N890" s="47" t="b">
        <v>0</v>
      </c>
      <c r="O890" s="59"/>
      <c r="Q890" s="54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</row>
    <row r="891">
      <c r="A891" s="59" t="b">
        <v>0</v>
      </c>
      <c r="B891" s="54"/>
      <c r="C891" s="55"/>
      <c r="D891" s="56"/>
      <c r="E891" s="40"/>
      <c r="F891" s="57"/>
      <c r="G891" s="114"/>
      <c r="H891" s="59"/>
      <c r="I891" s="165"/>
      <c r="J891" s="59"/>
      <c r="K891" s="53"/>
      <c r="L891" s="59"/>
      <c r="M891" s="59"/>
      <c r="N891" s="47" t="b">
        <v>0</v>
      </c>
      <c r="O891" s="59"/>
      <c r="Q891" s="54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</row>
    <row r="892">
      <c r="A892" s="59" t="b">
        <v>0</v>
      </c>
      <c r="B892" s="54"/>
      <c r="C892" s="55"/>
      <c r="D892" s="56"/>
      <c r="E892" s="40"/>
      <c r="F892" s="57"/>
      <c r="G892" s="114"/>
      <c r="H892" s="59"/>
      <c r="I892" s="165"/>
      <c r="J892" s="59"/>
      <c r="K892" s="53"/>
      <c r="L892" s="59"/>
      <c r="M892" s="59"/>
      <c r="N892" s="47" t="b">
        <v>0</v>
      </c>
      <c r="O892" s="59"/>
      <c r="Q892" s="54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</row>
    <row r="893">
      <c r="A893" s="59" t="b">
        <v>0</v>
      </c>
      <c r="B893" s="54"/>
      <c r="C893" s="55"/>
      <c r="D893" s="56"/>
      <c r="E893" s="40"/>
      <c r="F893" s="57"/>
      <c r="G893" s="114"/>
      <c r="H893" s="59"/>
      <c r="I893" s="165"/>
      <c r="J893" s="59"/>
      <c r="K893" s="53"/>
      <c r="L893" s="59"/>
      <c r="M893" s="59"/>
      <c r="N893" s="47" t="b">
        <v>0</v>
      </c>
      <c r="O893" s="59"/>
      <c r="Q893" s="54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</row>
    <row r="894">
      <c r="A894" s="59" t="b">
        <v>0</v>
      </c>
      <c r="B894" s="54"/>
      <c r="C894" s="55"/>
      <c r="D894" s="56"/>
      <c r="E894" s="40"/>
      <c r="F894" s="57"/>
      <c r="G894" s="114"/>
      <c r="H894" s="59"/>
      <c r="I894" s="165"/>
      <c r="J894" s="59"/>
      <c r="K894" s="53"/>
      <c r="L894" s="59"/>
      <c r="M894" s="59"/>
      <c r="N894" s="47" t="b">
        <v>0</v>
      </c>
      <c r="O894" s="59"/>
      <c r="Q894" s="54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</row>
    <row r="895">
      <c r="A895" s="59" t="b">
        <v>0</v>
      </c>
      <c r="B895" s="54"/>
      <c r="C895" s="55"/>
      <c r="D895" s="56"/>
      <c r="E895" s="40"/>
      <c r="F895" s="57"/>
      <c r="G895" s="114"/>
      <c r="H895" s="59"/>
      <c r="I895" s="165"/>
      <c r="J895" s="59"/>
      <c r="K895" s="53"/>
      <c r="L895" s="59"/>
      <c r="M895" s="59"/>
      <c r="N895" s="47" t="b">
        <v>0</v>
      </c>
      <c r="O895" s="59"/>
      <c r="Q895" s="54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</row>
    <row r="896">
      <c r="A896" s="59" t="b">
        <v>0</v>
      </c>
      <c r="B896" s="54"/>
      <c r="C896" s="55"/>
      <c r="D896" s="56"/>
      <c r="E896" s="40"/>
      <c r="F896" s="57"/>
      <c r="G896" s="114"/>
      <c r="H896" s="59"/>
      <c r="I896" s="165"/>
      <c r="J896" s="59"/>
      <c r="K896" s="53"/>
      <c r="L896" s="59"/>
      <c r="M896" s="59"/>
      <c r="N896" s="47" t="b">
        <v>0</v>
      </c>
      <c r="O896" s="59"/>
      <c r="Q896" s="54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</row>
    <row r="897">
      <c r="A897" s="59" t="b">
        <v>0</v>
      </c>
      <c r="B897" s="54"/>
      <c r="C897" s="55"/>
      <c r="D897" s="56"/>
      <c r="E897" s="40"/>
      <c r="F897" s="57"/>
      <c r="G897" s="114"/>
      <c r="H897" s="59"/>
      <c r="I897" s="165"/>
      <c r="J897" s="59"/>
      <c r="K897" s="53"/>
      <c r="L897" s="59"/>
      <c r="M897" s="59"/>
      <c r="N897" s="47" t="b">
        <v>0</v>
      </c>
      <c r="O897" s="59"/>
      <c r="Q897" s="54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</row>
    <row r="898">
      <c r="A898" s="59" t="b">
        <v>0</v>
      </c>
      <c r="B898" s="54"/>
      <c r="C898" s="55"/>
      <c r="D898" s="56"/>
      <c r="E898" s="40"/>
      <c r="F898" s="57"/>
      <c r="G898" s="114"/>
      <c r="H898" s="59"/>
      <c r="I898" s="165"/>
      <c r="J898" s="59"/>
      <c r="K898" s="53"/>
      <c r="L898" s="59"/>
      <c r="M898" s="59"/>
      <c r="N898" s="47" t="b">
        <v>0</v>
      </c>
      <c r="O898" s="59"/>
      <c r="Q898" s="54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</row>
    <row r="899">
      <c r="A899" s="59" t="b">
        <v>0</v>
      </c>
      <c r="B899" s="54"/>
      <c r="C899" s="55"/>
      <c r="D899" s="56"/>
      <c r="E899" s="40"/>
      <c r="F899" s="57"/>
      <c r="G899" s="114"/>
      <c r="H899" s="59"/>
      <c r="I899" s="165"/>
      <c r="J899" s="59"/>
      <c r="K899" s="53"/>
      <c r="L899" s="59"/>
      <c r="M899" s="59"/>
      <c r="N899" s="47" t="b">
        <v>0</v>
      </c>
      <c r="O899" s="59"/>
      <c r="Q899" s="54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</row>
    <row r="900">
      <c r="A900" s="59" t="b">
        <v>0</v>
      </c>
      <c r="B900" s="54"/>
      <c r="C900" s="55"/>
      <c r="D900" s="56"/>
      <c r="E900" s="40"/>
      <c r="F900" s="57"/>
      <c r="G900" s="114"/>
      <c r="H900" s="59"/>
      <c r="I900" s="165"/>
      <c r="J900" s="59"/>
      <c r="K900" s="53"/>
      <c r="L900" s="59"/>
      <c r="M900" s="59"/>
      <c r="N900" s="47" t="b">
        <v>0</v>
      </c>
      <c r="O900" s="59"/>
      <c r="Q900" s="54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</row>
    <row r="901">
      <c r="A901" s="59" t="b">
        <v>0</v>
      </c>
      <c r="B901" s="54"/>
      <c r="C901" s="55"/>
      <c r="D901" s="56"/>
      <c r="E901" s="40"/>
      <c r="F901" s="57"/>
      <c r="G901" s="114"/>
      <c r="H901" s="59"/>
      <c r="I901" s="165"/>
      <c r="J901" s="59"/>
      <c r="K901" s="53"/>
      <c r="L901" s="59"/>
      <c r="M901" s="59"/>
      <c r="N901" s="47" t="b">
        <v>0</v>
      </c>
      <c r="O901" s="59"/>
      <c r="Q901" s="54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</row>
    <row r="902">
      <c r="A902" s="59" t="b">
        <v>0</v>
      </c>
      <c r="B902" s="54"/>
      <c r="C902" s="55"/>
      <c r="D902" s="56"/>
      <c r="E902" s="40"/>
      <c r="F902" s="57"/>
      <c r="G902" s="114"/>
      <c r="H902" s="59"/>
      <c r="I902" s="165"/>
      <c r="J902" s="59"/>
      <c r="K902" s="53"/>
      <c r="L902" s="59"/>
      <c r="M902" s="59"/>
      <c r="N902" s="47" t="b">
        <v>0</v>
      </c>
      <c r="O902" s="59"/>
      <c r="Q902" s="54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</row>
    <row r="903">
      <c r="A903" s="59" t="b">
        <v>0</v>
      </c>
      <c r="B903" s="54"/>
      <c r="C903" s="55"/>
      <c r="D903" s="56"/>
      <c r="E903" s="40"/>
      <c r="F903" s="57"/>
      <c r="G903" s="114"/>
      <c r="H903" s="59"/>
      <c r="I903" s="165"/>
      <c r="J903" s="59"/>
      <c r="K903" s="53"/>
      <c r="L903" s="59"/>
      <c r="M903" s="59"/>
      <c r="N903" s="47" t="b">
        <v>0</v>
      </c>
      <c r="O903" s="59"/>
      <c r="Q903" s="54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</row>
    <row r="904">
      <c r="A904" s="59" t="b">
        <v>0</v>
      </c>
      <c r="B904" s="54"/>
      <c r="C904" s="55"/>
      <c r="D904" s="56"/>
      <c r="E904" s="40"/>
      <c r="F904" s="57"/>
      <c r="G904" s="114"/>
      <c r="H904" s="59"/>
      <c r="I904" s="165"/>
      <c r="J904" s="59"/>
      <c r="K904" s="53"/>
      <c r="L904" s="59"/>
      <c r="M904" s="59"/>
      <c r="N904" s="47" t="b">
        <v>0</v>
      </c>
      <c r="O904" s="59"/>
      <c r="Q904" s="54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</row>
    <row r="905">
      <c r="A905" s="59" t="b">
        <v>0</v>
      </c>
      <c r="B905" s="54"/>
      <c r="C905" s="55"/>
      <c r="D905" s="56"/>
      <c r="E905" s="40"/>
      <c r="F905" s="57"/>
      <c r="G905" s="114"/>
      <c r="H905" s="59"/>
      <c r="I905" s="165"/>
      <c r="J905" s="59"/>
      <c r="K905" s="53"/>
      <c r="L905" s="59"/>
      <c r="M905" s="59"/>
      <c r="N905" s="47" t="b">
        <v>0</v>
      </c>
      <c r="O905" s="59"/>
      <c r="Q905" s="54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</row>
    <row r="906">
      <c r="A906" s="59" t="b">
        <v>0</v>
      </c>
      <c r="B906" s="54"/>
      <c r="C906" s="55"/>
      <c r="D906" s="56"/>
      <c r="E906" s="40"/>
      <c r="F906" s="57"/>
      <c r="G906" s="114"/>
      <c r="H906" s="59"/>
      <c r="I906" s="165"/>
      <c r="J906" s="59"/>
      <c r="K906" s="53"/>
      <c r="L906" s="59"/>
      <c r="M906" s="59"/>
      <c r="N906" s="47" t="b">
        <v>0</v>
      </c>
      <c r="O906" s="59"/>
      <c r="Q906" s="54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</row>
    <row r="907">
      <c r="A907" s="59" t="b">
        <v>0</v>
      </c>
      <c r="B907" s="54"/>
      <c r="C907" s="55"/>
      <c r="D907" s="56"/>
      <c r="E907" s="40"/>
      <c r="F907" s="57"/>
      <c r="G907" s="114"/>
      <c r="H907" s="59"/>
      <c r="I907" s="165"/>
      <c r="J907" s="59"/>
      <c r="K907" s="53"/>
      <c r="L907" s="59"/>
      <c r="M907" s="59"/>
      <c r="N907" s="47" t="b">
        <v>0</v>
      </c>
      <c r="O907" s="59"/>
      <c r="Q907" s="54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</row>
    <row r="908">
      <c r="A908" s="59" t="b">
        <v>0</v>
      </c>
      <c r="B908" s="54"/>
      <c r="C908" s="55"/>
      <c r="D908" s="56"/>
      <c r="E908" s="40"/>
      <c r="F908" s="57"/>
      <c r="G908" s="114"/>
      <c r="H908" s="59"/>
      <c r="I908" s="165"/>
      <c r="J908" s="59"/>
      <c r="K908" s="53"/>
      <c r="L908" s="59"/>
      <c r="M908" s="59"/>
      <c r="N908" s="47" t="b">
        <v>0</v>
      </c>
      <c r="O908" s="59"/>
      <c r="Q908" s="54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</row>
    <row r="909">
      <c r="A909" s="59" t="b">
        <v>0</v>
      </c>
      <c r="B909" s="54"/>
      <c r="C909" s="55"/>
      <c r="D909" s="56"/>
      <c r="E909" s="40"/>
      <c r="F909" s="57"/>
      <c r="G909" s="114"/>
      <c r="H909" s="59"/>
      <c r="I909" s="165"/>
      <c r="J909" s="59"/>
      <c r="K909" s="53"/>
      <c r="L909" s="59"/>
      <c r="M909" s="59"/>
      <c r="N909" s="47" t="b">
        <v>0</v>
      </c>
      <c r="O909" s="59"/>
      <c r="Q909" s="54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</row>
    <row r="910">
      <c r="A910" s="59" t="b">
        <v>0</v>
      </c>
      <c r="B910" s="54"/>
      <c r="C910" s="55"/>
      <c r="D910" s="56"/>
      <c r="E910" s="40"/>
      <c r="F910" s="57"/>
      <c r="G910" s="114"/>
      <c r="H910" s="59"/>
      <c r="I910" s="165"/>
      <c r="J910" s="59"/>
      <c r="K910" s="53"/>
      <c r="L910" s="59"/>
      <c r="M910" s="59"/>
      <c r="N910" s="47" t="b">
        <v>0</v>
      </c>
      <c r="O910" s="59"/>
      <c r="Q910" s="54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</row>
    <row r="911">
      <c r="A911" s="59" t="b">
        <v>0</v>
      </c>
      <c r="B911" s="54"/>
      <c r="C911" s="55"/>
      <c r="D911" s="56"/>
      <c r="E911" s="40"/>
      <c r="F911" s="57"/>
      <c r="G911" s="114"/>
      <c r="H911" s="59"/>
      <c r="I911" s="165"/>
      <c r="J911" s="59"/>
      <c r="K911" s="53"/>
      <c r="L911" s="59"/>
      <c r="M911" s="59"/>
      <c r="N911" s="47" t="b">
        <v>0</v>
      </c>
      <c r="O911" s="59"/>
      <c r="Q911" s="54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</row>
    <row r="912">
      <c r="A912" s="59" t="b">
        <v>0</v>
      </c>
      <c r="B912" s="54"/>
      <c r="C912" s="55"/>
      <c r="D912" s="56"/>
      <c r="E912" s="40"/>
      <c r="F912" s="57"/>
      <c r="G912" s="114"/>
      <c r="H912" s="59"/>
      <c r="I912" s="165"/>
      <c r="J912" s="59"/>
      <c r="K912" s="53"/>
      <c r="L912" s="59"/>
      <c r="M912" s="59"/>
      <c r="N912" s="47" t="b">
        <v>0</v>
      </c>
      <c r="O912" s="59"/>
      <c r="Q912" s="54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</row>
    <row r="913">
      <c r="A913" s="59" t="b">
        <v>0</v>
      </c>
      <c r="B913" s="54"/>
      <c r="C913" s="55"/>
      <c r="D913" s="56"/>
      <c r="E913" s="40"/>
      <c r="F913" s="57"/>
      <c r="G913" s="114"/>
      <c r="H913" s="59"/>
      <c r="I913" s="165"/>
      <c r="J913" s="59"/>
      <c r="K913" s="53"/>
      <c r="L913" s="59"/>
      <c r="M913" s="59"/>
      <c r="N913" s="47" t="b">
        <v>0</v>
      </c>
      <c r="O913" s="59"/>
      <c r="Q913" s="54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</row>
    <row r="914">
      <c r="A914" s="59" t="b">
        <v>0</v>
      </c>
      <c r="B914" s="54"/>
      <c r="C914" s="55"/>
      <c r="D914" s="56"/>
      <c r="E914" s="40"/>
      <c r="F914" s="57"/>
      <c r="G914" s="114"/>
      <c r="H914" s="59"/>
      <c r="I914" s="165"/>
      <c r="J914" s="59"/>
      <c r="K914" s="53"/>
      <c r="L914" s="59"/>
      <c r="M914" s="59"/>
      <c r="N914" s="47" t="b">
        <v>0</v>
      </c>
      <c r="O914" s="59"/>
      <c r="Q914" s="54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</row>
    <row r="915">
      <c r="A915" s="59" t="b">
        <v>0</v>
      </c>
      <c r="B915" s="54"/>
      <c r="C915" s="55"/>
      <c r="D915" s="56"/>
      <c r="E915" s="40"/>
      <c r="F915" s="57"/>
      <c r="G915" s="114"/>
      <c r="H915" s="59"/>
      <c r="I915" s="165"/>
      <c r="J915" s="59"/>
      <c r="K915" s="53"/>
      <c r="L915" s="59"/>
      <c r="M915" s="59"/>
      <c r="N915" s="47" t="b">
        <v>0</v>
      </c>
      <c r="O915" s="59"/>
      <c r="Q915" s="54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</row>
    <row r="916">
      <c r="A916" s="59" t="b">
        <v>0</v>
      </c>
      <c r="B916" s="54"/>
      <c r="C916" s="55"/>
      <c r="D916" s="56"/>
      <c r="E916" s="40"/>
      <c r="F916" s="57"/>
      <c r="G916" s="114"/>
      <c r="H916" s="59"/>
      <c r="I916" s="165"/>
      <c r="J916" s="59"/>
      <c r="K916" s="53"/>
      <c r="L916" s="59"/>
      <c r="M916" s="59"/>
      <c r="N916" s="47" t="b">
        <v>0</v>
      </c>
      <c r="O916" s="59"/>
      <c r="Q916" s="54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</row>
    <row r="917">
      <c r="A917" s="59" t="b">
        <v>0</v>
      </c>
      <c r="B917" s="54"/>
      <c r="C917" s="55"/>
      <c r="D917" s="56"/>
      <c r="E917" s="40"/>
      <c r="F917" s="57"/>
      <c r="G917" s="114"/>
      <c r="H917" s="59"/>
      <c r="I917" s="165"/>
      <c r="J917" s="59"/>
      <c r="K917" s="53"/>
      <c r="L917" s="59"/>
      <c r="M917" s="59"/>
      <c r="N917" s="47" t="b">
        <v>0</v>
      </c>
      <c r="O917" s="59"/>
      <c r="Q917" s="54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</row>
    <row r="918">
      <c r="A918" s="59" t="b">
        <v>0</v>
      </c>
      <c r="B918" s="54"/>
      <c r="C918" s="55"/>
      <c r="D918" s="56"/>
      <c r="E918" s="40"/>
      <c r="F918" s="57"/>
      <c r="G918" s="114"/>
      <c r="H918" s="59"/>
      <c r="I918" s="165"/>
      <c r="J918" s="59"/>
      <c r="K918" s="53"/>
      <c r="L918" s="59"/>
      <c r="M918" s="59"/>
      <c r="N918" s="47" t="b">
        <v>0</v>
      </c>
      <c r="O918" s="59"/>
      <c r="Q918" s="54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</row>
    <row r="919">
      <c r="A919" s="59" t="b">
        <v>0</v>
      </c>
      <c r="B919" s="54"/>
      <c r="C919" s="55"/>
      <c r="D919" s="56"/>
      <c r="E919" s="40"/>
      <c r="F919" s="57"/>
      <c r="G919" s="114"/>
      <c r="H919" s="59"/>
      <c r="I919" s="165"/>
      <c r="J919" s="59"/>
      <c r="K919" s="53"/>
      <c r="L919" s="59"/>
      <c r="M919" s="59"/>
      <c r="N919" s="47" t="b">
        <v>0</v>
      </c>
      <c r="O919" s="59"/>
      <c r="Q919" s="54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</row>
    <row r="920">
      <c r="A920" s="59" t="b">
        <v>0</v>
      </c>
      <c r="B920" s="54"/>
      <c r="C920" s="55"/>
      <c r="D920" s="56"/>
      <c r="E920" s="40"/>
      <c r="F920" s="57"/>
      <c r="G920" s="114"/>
      <c r="H920" s="59"/>
      <c r="I920" s="165"/>
      <c r="J920" s="59"/>
      <c r="K920" s="53"/>
      <c r="L920" s="59"/>
      <c r="M920" s="59"/>
      <c r="N920" s="47" t="b">
        <v>0</v>
      </c>
      <c r="O920" s="59"/>
      <c r="Q920" s="54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</row>
    <row r="921">
      <c r="A921" s="59" t="b">
        <v>0</v>
      </c>
      <c r="B921" s="54"/>
      <c r="C921" s="55"/>
      <c r="D921" s="56"/>
      <c r="E921" s="40"/>
      <c r="F921" s="57"/>
      <c r="G921" s="114"/>
      <c r="H921" s="59"/>
      <c r="I921" s="165"/>
      <c r="J921" s="59"/>
      <c r="K921" s="53"/>
      <c r="L921" s="59"/>
      <c r="M921" s="59"/>
      <c r="N921" s="47" t="b">
        <v>0</v>
      </c>
      <c r="O921" s="59"/>
      <c r="Q921" s="54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</row>
    <row r="922">
      <c r="A922" s="59" t="b">
        <v>0</v>
      </c>
      <c r="B922" s="54"/>
      <c r="C922" s="55"/>
      <c r="D922" s="56"/>
      <c r="E922" s="40"/>
      <c r="F922" s="57"/>
      <c r="G922" s="114"/>
      <c r="H922" s="59"/>
      <c r="I922" s="165"/>
      <c r="J922" s="59"/>
      <c r="K922" s="53"/>
      <c r="L922" s="59"/>
      <c r="M922" s="59"/>
      <c r="N922" s="47" t="b">
        <v>0</v>
      </c>
      <c r="O922" s="59"/>
      <c r="Q922" s="54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</row>
    <row r="923">
      <c r="A923" s="59" t="b">
        <v>0</v>
      </c>
      <c r="B923" s="54"/>
      <c r="C923" s="55"/>
      <c r="D923" s="56"/>
      <c r="E923" s="40"/>
      <c r="F923" s="57"/>
      <c r="G923" s="114"/>
      <c r="H923" s="59"/>
      <c r="I923" s="165"/>
      <c r="J923" s="59"/>
      <c r="K923" s="53"/>
      <c r="L923" s="59"/>
      <c r="M923" s="59"/>
      <c r="N923" s="47" t="b">
        <v>0</v>
      </c>
      <c r="O923" s="59"/>
      <c r="Q923" s="54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</row>
    <row r="924">
      <c r="A924" s="59" t="b">
        <v>0</v>
      </c>
      <c r="B924" s="54"/>
      <c r="C924" s="55"/>
      <c r="D924" s="56"/>
      <c r="E924" s="40"/>
      <c r="F924" s="57"/>
      <c r="G924" s="114"/>
      <c r="H924" s="59"/>
      <c r="I924" s="165"/>
      <c r="J924" s="59"/>
      <c r="K924" s="53"/>
      <c r="L924" s="59"/>
      <c r="M924" s="59"/>
      <c r="N924" s="47" t="b">
        <v>0</v>
      </c>
      <c r="O924" s="59"/>
      <c r="Q924" s="54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</row>
    <row r="925">
      <c r="A925" s="59" t="b">
        <v>0</v>
      </c>
      <c r="B925" s="54"/>
      <c r="C925" s="55"/>
      <c r="D925" s="56"/>
      <c r="E925" s="40"/>
      <c r="F925" s="57"/>
      <c r="G925" s="114"/>
      <c r="H925" s="59"/>
      <c r="I925" s="165"/>
      <c r="J925" s="59"/>
      <c r="K925" s="53"/>
      <c r="L925" s="59"/>
      <c r="M925" s="59"/>
      <c r="N925" s="47" t="b">
        <v>0</v>
      </c>
      <c r="O925" s="59"/>
      <c r="Q925" s="54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</row>
    <row r="926">
      <c r="A926" s="59" t="b">
        <v>0</v>
      </c>
      <c r="B926" s="54"/>
      <c r="C926" s="55"/>
      <c r="D926" s="56"/>
      <c r="E926" s="40"/>
      <c r="F926" s="57"/>
      <c r="G926" s="114"/>
      <c r="H926" s="59"/>
      <c r="I926" s="165"/>
      <c r="J926" s="59"/>
      <c r="K926" s="53"/>
      <c r="L926" s="59"/>
      <c r="M926" s="59"/>
      <c r="N926" s="47" t="b">
        <v>0</v>
      </c>
      <c r="O926" s="59"/>
      <c r="Q926" s="54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</row>
    <row r="927">
      <c r="A927" s="59" t="b">
        <v>0</v>
      </c>
      <c r="B927" s="54"/>
      <c r="C927" s="55"/>
      <c r="D927" s="56"/>
      <c r="E927" s="40"/>
      <c r="F927" s="57"/>
      <c r="G927" s="114"/>
      <c r="H927" s="59"/>
      <c r="I927" s="165"/>
      <c r="J927" s="59"/>
      <c r="K927" s="53"/>
      <c r="L927" s="59"/>
      <c r="M927" s="59"/>
      <c r="N927" s="47" t="b">
        <v>0</v>
      </c>
      <c r="O927" s="59"/>
      <c r="Q927" s="54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</row>
    <row r="928">
      <c r="A928" s="59" t="b">
        <v>0</v>
      </c>
      <c r="B928" s="54"/>
      <c r="C928" s="55"/>
      <c r="D928" s="56"/>
      <c r="E928" s="40"/>
      <c r="F928" s="57"/>
      <c r="G928" s="114"/>
      <c r="H928" s="59"/>
      <c r="I928" s="165"/>
      <c r="J928" s="59"/>
      <c r="K928" s="53"/>
      <c r="L928" s="59"/>
      <c r="M928" s="59"/>
      <c r="N928" s="47" t="b">
        <v>0</v>
      </c>
      <c r="O928" s="59"/>
      <c r="Q928" s="54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</row>
    <row r="929">
      <c r="A929" s="59" t="b">
        <v>0</v>
      </c>
      <c r="B929" s="54"/>
      <c r="C929" s="55"/>
      <c r="D929" s="56"/>
      <c r="E929" s="40"/>
      <c r="F929" s="57"/>
      <c r="G929" s="114"/>
      <c r="H929" s="59"/>
      <c r="I929" s="165"/>
      <c r="J929" s="59"/>
      <c r="K929" s="53"/>
      <c r="L929" s="59"/>
      <c r="M929" s="59"/>
      <c r="N929" s="47" t="b">
        <v>0</v>
      </c>
      <c r="O929" s="59"/>
      <c r="Q929" s="54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</row>
    <row r="930">
      <c r="A930" s="59" t="b">
        <v>0</v>
      </c>
      <c r="B930" s="54"/>
      <c r="C930" s="55"/>
      <c r="D930" s="56"/>
      <c r="E930" s="40"/>
      <c r="F930" s="57"/>
      <c r="G930" s="114"/>
      <c r="H930" s="59"/>
      <c r="I930" s="165"/>
      <c r="J930" s="59"/>
      <c r="K930" s="53"/>
      <c r="L930" s="59"/>
      <c r="M930" s="59"/>
      <c r="N930" s="47" t="b">
        <v>0</v>
      </c>
      <c r="O930" s="59"/>
      <c r="Q930" s="54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</row>
    <row r="931">
      <c r="A931" s="59" t="b">
        <v>0</v>
      </c>
      <c r="B931" s="54"/>
      <c r="C931" s="55"/>
      <c r="D931" s="56"/>
      <c r="E931" s="40"/>
      <c r="F931" s="57"/>
      <c r="G931" s="114"/>
      <c r="H931" s="59"/>
      <c r="I931" s="165"/>
      <c r="J931" s="59"/>
      <c r="K931" s="53"/>
      <c r="L931" s="59"/>
      <c r="M931" s="59"/>
      <c r="N931" s="47" t="b">
        <v>0</v>
      </c>
      <c r="O931" s="59"/>
      <c r="Q931" s="54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</row>
    <row r="932">
      <c r="A932" s="59" t="b">
        <v>0</v>
      </c>
      <c r="B932" s="54"/>
      <c r="C932" s="55"/>
      <c r="D932" s="56"/>
      <c r="E932" s="40"/>
      <c r="F932" s="57"/>
      <c r="G932" s="114"/>
      <c r="H932" s="59"/>
      <c r="I932" s="165"/>
      <c r="J932" s="59"/>
      <c r="K932" s="53"/>
      <c r="L932" s="59"/>
      <c r="M932" s="59"/>
      <c r="N932" s="47" t="b">
        <v>0</v>
      </c>
      <c r="O932" s="59"/>
      <c r="Q932" s="54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</row>
    <row r="933">
      <c r="A933" s="59" t="b">
        <v>0</v>
      </c>
      <c r="B933" s="54"/>
      <c r="C933" s="55"/>
      <c r="D933" s="56"/>
      <c r="E933" s="40"/>
      <c r="F933" s="57"/>
      <c r="G933" s="114"/>
      <c r="H933" s="59"/>
      <c r="I933" s="165"/>
      <c r="J933" s="59"/>
      <c r="K933" s="53"/>
      <c r="L933" s="59"/>
      <c r="M933" s="59"/>
      <c r="N933" s="47" t="b">
        <v>0</v>
      </c>
      <c r="O933" s="59"/>
      <c r="Q933" s="54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</row>
    <row r="934">
      <c r="A934" s="59" t="b">
        <v>0</v>
      </c>
      <c r="B934" s="54"/>
      <c r="C934" s="55"/>
      <c r="D934" s="56"/>
      <c r="E934" s="40"/>
      <c r="F934" s="57"/>
      <c r="G934" s="114"/>
      <c r="H934" s="59"/>
      <c r="I934" s="165"/>
      <c r="J934" s="59"/>
      <c r="K934" s="53"/>
      <c r="L934" s="59"/>
      <c r="M934" s="59"/>
      <c r="N934" s="47" t="b">
        <v>0</v>
      </c>
      <c r="O934" s="59"/>
      <c r="Q934" s="54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</row>
    <row r="935">
      <c r="A935" s="59" t="b">
        <v>0</v>
      </c>
      <c r="B935" s="54"/>
      <c r="C935" s="55"/>
      <c r="D935" s="56"/>
      <c r="E935" s="40"/>
      <c r="F935" s="57"/>
      <c r="G935" s="114"/>
      <c r="H935" s="59"/>
      <c r="I935" s="165"/>
      <c r="J935" s="59"/>
      <c r="K935" s="53"/>
      <c r="L935" s="59"/>
      <c r="M935" s="59"/>
      <c r="N935" s="47" t="b">
        <v>0</v>
      </c>
      <c r="O935" s="59"/>
      <c r="Q935" s="54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</row>
    <row r="936">
      <c r="A936" s="59" t="b">
        <v>0</v>
      </c>
      <c r="B936" s="54"/>
      <c r="C936" s="55"/>
      <c r="D936" s="56"/>
      <c r="E936" s="40"/>
      <c r="F936" s="57"/>
      <c r="G936" s="114"/>
      <c r="H936" s="59"/>
      <c r="I936" s="165"/>
      <c r="J936" s="59"/>
      <c r="K936" s="53"/>
      <c r="L936" s="59"/>
      <c r="M936" s="59"/>
      <c r="N936" s="47" t="b">
        <v>0</v>
      </c>
      <c r="O936" s="59"/>
      <c r="Q936" s="54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</row>
    <row r="937">
      <c r="A937" s="59" t="b">
        <v>0</v>
      </c>
      <c r="B937" s="54"/>
      <c r="C937" s="55"/>
      <c r="D937" s="56"/>
      <c r="E937" s="40"/>
      <c r="F937" s="57"/>
      <c r="G937" s="114"/>
      <c r="H937" s="59"/>
      <c r="I937" s="165"/>
      <c r="J937" s="59"/>
      <c r="K937" s="53"/>
      <c r="L937" s="59"/>
      <c r="M937" s="59"/>
      <c r="N937" s="47" t="b">
        <v>0</v>
      </c>
      <c r="O937" s="59"/>
      <c r="Q937" s="54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</row>
    <row r="938">
      <c r="A938" s="59" t="b">
        <v>0</v>
      </c>
      <c r="B938" s="54"/>
      <c r="C938" s="55"/>
      <c r="D938" s="56"/>
      <c r="E938" s="40"/>
      <c r="F938" s="57"/>
      <c r="G938" s="114"/>
      <c r="H938" s="59"/>
      <c r="I938" s="165"/>
      <c r="J938" s="59"/>
      <c r="K938" s="53"/>
      <c r="L938" s="59"/>
      <c r="M938" s="59"/>
      <c r="N938" s="47" t="b">
        <v>0</v>
      </c>
      <c r="O938" s="59"/>
      <c r="Q938" s="54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</row>
    <row r="939">
      <c r="A939" s="59" t="b">
        <v>0</v>
      </c>
      <c r="B939" s="54"/>
      <c r="C939" s="55"/>
      <c r="D939" s="56"/>
      <c r="E939" s="40"/>
      <c r="F939" s="57"/>
      <c r="G939" s="114"/>
      <c r="H939" s="59"/>
      <c r="I939" s="165"/>
      <c r="J939" s="59"/>
      <c r="K939" s="53"/>
      <c r="L939" s="59"/>
      <c r="M939" s="59"/>
      <c r="N939" s="47" t="b">
        <v>0</v>
      </c>
      <c r="O939" s="59"/>
      <c r="Q939" s="54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</row>
    <row r="940">
      <c r="A940" s="59" t="b">
        <v>0</v>
      </c>
      <c r="B940" s="54"/>
      <c r="C940" s="55"/>
      <c r="D940" s="56"/>
      <c r="E940" s="40"/>
      <c r="F940" s="57"/>
      <c r="G940" s="114"/>
      <c r="H940" s="59"/>
      <c r="I940" s="165"/>
      <c r="J940" s="59"/>
      <c r="K940" s="53"/>
      <c r="L940" s="59"/>
      <c r="M940" s="59"/>
      <c r="N940" s="47" t="b">
        <v>0</v>
      </c>
      <c r="O940" s="59"/>
      <c r="Q940" s="54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</row>
    <row r="941">
      <c r="A941" s="59" t="b">
        <v>0</v>
      </c>
      <c r="B941" s="54"/>
      <c r="C941" s="55"/>
      <c r="D941" s="56"/>
      <c r="E941" s="40"/>
      <c r="F941" s="57"/>
      <c r="G941" s="114"/>
      <c r="H941" s="59"/>
      <c r="I941" s="165"/>
      <c r="J941" s="59"/>
      <c r="K941" s="53"/>
      <c r="L941" s="59"/>
      <c r="M941" s="59"/>
      <c r="N941" s="47" t="b">
        <v>0</v>
      </c>
      <c r="O941" s="59"/>
      <c r="Q941" s="54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</row>
    <row r="942">
      <c r="A942" s="59" t="b">
        <v>0</v>
      </c>
      <c r="B942" s="54"/>
      <c r="C942" s="55"/>
      <c r="D942" s="56"/>
      <c r="E942" s="40"/>
      <c r="F942" s="57"/>
      <c r="G942" s="114"/>
      <c r="H942" s="59"/>
      <c r="I942" s="165"/>
      <c r="J942" s="59"/>
      <c r="K942" s="53"/>
      <c r="L942" s="59"/>
      <c r="M942" s="59"/>
      <c r="N942" s="47" t="b">
        <v>0</v>
      </c>
      <c r="O942" s="59"/>
      <c r="Q942" s="54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</row>
    <row r="943">
      <c r="A943" s="59" t="b">
        <v>0</v>
      </c>
      <c r="B943" s="54"/>
      <c r="C943" s="55"/>
      <c r="D943" s="56"/>
      <c r="E943" s="40"/>
      <c r="F943" s="57"/>
      <c r="G943" s="114"/>
      <c r="H943" s="59"/>
      <c r="I943" s="165"/>
      <c r="J943" s="59"/>
      <c r="K943" s="53"/>
      <c r="L943" s="59"/>
      <c r="M943" s="59"/>
      <c r="N943" s="47" t="b">
        <v>0</v>
      </c>
      <c r="O943" s="59"/>
      <c r="Q943" s="54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</row>
    <row r="944">
      <c r="A944" s="59" t="b">
        <v>0</v>
      </c>
      <c r="B944" s="54"/>
      <c r="C944" s="55"/>
      <c r="D944" s="56"/>
      <c r="E944" s="40"/>
      <c r="F944" s="57"/>
      <c r="G944" s="114"/>
      <c r="H944" s="59"/>
      <c r="I944" s="165"/>
      <c r="J944" s="59"/>
      <c r="K944" s="53"/>
      <c r="L944" s="59"/>
      <c r="M944" s="59"/>
      <c r="N944" s="47" t="b">
        <v>0</v>
      </c>
      <c r="O944" s="59"/>
      <c r="Q944" s="54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</row>
    <row r="945">
      <c r="A945" s="59" t="b">
        <v>0</v>
      </c>
      <c r="B945" s="54"/>
      <c r="C945" s="55"/>
      <c r="D945" s="56"/>
      <c r="E945" s="40"/>
      <c r="F945" s="57"/>
      <c r="G945" s="114"/>
      <c r="H945" s="59"/>
      <c r="I945" s="165"/>
      <c r="J945" s="59"/>
      <c r="K945" s="53"/>
      <c r="L945" s="59"/>
      <c r="M945" s="59"/>
      <c r="N945" s="47" t="b">
        <v>0</v>
      </c>
      <c r="O945" s="59"/>
      <c r="Q945" s="54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</row>
    <row r="946">
      <c r="A946" s="59" t="b">
        <v>0</v>
      </c>
      <c r="B946" s="54"/>
      <c r="C946" s="55"/>
      <c r="D946" s="56"/>
      <c r="E946" s="40"/>
      <c r="F946" s="57"/>
      <c r="G946" s="114"/>
      <c r="H946" s="59"/>
      <c r="I946" s="165"/>
      <c r="J946" s="59"/>
      <c r="K946" s="53"/>
      <c r="L946" s="59"/>
      <c r="M946" s="59"/>
      <c r="N946" s="47" t="b">
        <v>0</v>
      </c>
      <c r="O946" s="59"/>
      <c r="Q946" s="54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</row>
    <row r="947">
      <c r="A947" s="59" t="b">
        <v>0</v>
      </c>
      <c r="B947" s="54"/>
      <c r="C947" s="55"/>
      <c r="D947" s="56"/>
      <c r="E947" s="40"/>
      <c r="F947" s="57"/>
      <c r="G947" s="114"/>
      <c r="H947" s="59"/>
      <c r="I947" s="165"/>
      <c r="J947" s="59"/>
      <c r="K947" s="53"/>
      <c r="L947" s="59"/>
      <c r="M947" s="59"/>
      <c r="N947" s="47" t="b">
        <v>0</v>
      </c>
      <c r="O947" s="59"/>
      <c r="Q947" s="54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</row>
    <row r="948">
      <c r="A948" s="59" t="b">
        <v>0</v>
      </c>
      <c r="B948" s="54"/>
      <c r="C948" s="55"/>
      <c r="D948" s="56"/>
      <c r="E948" s="40"/>
      <c r="F948" s="57"/>
      <c r="G948" s="114"/>
      <c r="H948" s="59"/>
      <c r="I948" s="165"/>
      <c r="J948" s="59"/>
      <c r="K948" s="53"/>
      <c r="L948" s="59"/>
      <c r="M948" s="59"/>
      <c r="N948" s="47" t="b">
        <v>0</v>
      </c>
      <c r="O948" s="59"/>
      <c r="Q948" s="54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</row>
    <row r="949">
      <c r="A949" s="59" t="b">
        <v>0</v>
      </c>
      <c r="B949" s="54"/>
      <c r="C949" s="55"/>
      <c r="D949" s="56"/>
      <c r="E949" s="40"/>
      <c r="F949" s="57"/>
      <c r="G949" s="114"/>
      <c r="H949" s="59"/>
      <c r="I949" s="165"/>
      <c r="J949" s="59"/>
      <c r="K949" s="53"/>
      <c r="L949" s="59"/>
      <c r="M949" s="59"/>
      <c r="N949" s="47" t="b">
        <v>0</v>
      </c>
      <c r="O949" s="59"/>
      <c r="Q949" s="54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</row>
    <row r="950">
      <c r="A950" s="59" t="b">
        <v>0</v>
      </c>
      <c r="B950" s="54"/>
      <c r="C950" s="55"/>
      <c r="D950" s="56"/>
      <c r="E950" s="40"/>
      <c r="F950" s="57"/>
      <c r="G950" s="114"/>
      <c r="H950" s="59"/>
      <c r="I950" s="165"/>
      <c r="J950" s="59"/>
      <c r="K950" s="53"/>
      <c r="L950" s="59"/>
      <c r="M950" s="59"/>
      <c r="N950" s="47" t="b">
        <v>0</v>
      </c>
      <c r="O950" s="59"/>
      <c r="Q950" s="54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</row>
    <row r="951">
      <c r="A951" s="59" t="b">
        <v>0</v>
      </c>
      <c r="B951" s="54"/>
      <c r="C951" s="55"/>
      <c r="D951" s="56"/>
      <c r="E951" s="40"/>
      <c r="F951" s="57"/>
      <c r="G951" s="114"/>
      <c r="H951" s="59"/>
      <c r="I951" s="165"/>
      <c r="J951" s="59"/>
      <c r="K951" s="53"/>
      <c r="L951" s="59"/>
      <c r="M951" s="59"/>
      <c r="N951" s="47" t="b">
        <v>0</v>
      </c>
      <c r="O951" s="59"/>
      <c r="Q951" s="54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</row>
    <row r="952">
      <c r="A952" s="59" t="b">
        <v>0</v>
      </c>
      <c r="B952" s="54"/>
      <c r="C952" s="55"/>
      <c r="D952" s="56"/>
      <c r="E952" s="40"/>
      <c r="F952" s="57"/>
      <c r="G952" s="114"/>
      <c r="H952" s="59"/>
      <c r="I952" s="165"/>
      <c r="J952" s="59"/>
      <c r="K952" s="53"/>
      <c r="L952" s="59"/>
      <c r="M952" s="59"/>
      <c r="N952" s="47" t="b">
        <v>0</v>
      </c>
      <c r="O952" s="59"/>
      <c r="Q952" s="54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</row>
    <row r="953">
      <c r="A953" s="59" t="b">
        <v>0</v>
      </c>
      <c r="B953" s="54"/>
      <c r="C953" s="55"/>
      <c r="D953" s="56"/>
      <c r="E953" s="40"/>
      <c r="F953" s="57"/>
      <c r="G953" s="114"/>
      <c r="H953" s="59"/>
      <c r="I953" s="165"/>
      <c r="J953" s="59"/>
      <c r="K953" s="53"/>
      <c r="L953" s="59"/>
      <c r="M953" s="59"/>
      <c r="N953" s="47" t="b">
        <v>0</v>
      </c>
      <c r="O953" s="59"/>
      <c r="Q953" s="54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</row>
    <row r="954">
      <c r="A954" s="59" t="b">
        <v>0</v>
      </c>
      <c r="B954" s="54"/>
      <c r="C954" s="55"/>
      <c r="D954" s="56"/>
      <c r="E954" s="40"/>
      <c r="F954" s="57"/>
      <c r="G954" s="114"/>
      <c r="H954" s="59"/>
      <c r="I954" s="165"/>
      <c r="J954" s="59"/>
      <c r="K954" s="53"/>
      <c r="L954" s="59"/>
      <c r="M954" s="59"/>
      <c r="N954" s="47" t="b">
        <v>0</v>
      </c>
      <c r="O954" s="59"/>
      <c r="Q954" s="54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</row>
    <row r="955">
      <c r="A955" s="59" t="b">
        <v>0</v>
      </c>
      <c r="B955" s="54"/>
      <c r="C955" s="55"/>
      <c r="D955" s="56"/>
      <c r="E955" s="40"/>
      <c r="F955" s="57"/>
      <c r="G955" s="114"/>
      <c r="H955" s="59"/>
      <c r="I955" s="165"/>
      <c r="J955" s="59"/>
      <c r="K955" s="53"/>
      <c r="L955" s="59"/>
      <c r="M955" s="59"/>
      <c r="N955" s="47" t="b">
        <v>0</v>
      </c>
      <c r="O955" s="59"/>
      <c r="Q955" s="54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</row>
    <row r="956">
      <c r="A956" s="59" t="b">
        <v>0</v>
      </c>
      <c r="B956" s="54"/>
      <c r="C956" s="55"/>
      <c r="D956" s="56"/>
      <c r="E956" s="40"/>
      <c r="F956" s="57"/>
      <c r="G956" s="114"/>
      <c r="H956" s="59"/>
      <c r="I956" s="165"/>
      <c r="J956" s="59"/>
      <c r="K956" s="53"/>
      <c r="L956" s="59"/>
      <c r="M956" s="59"/>
      <c r="N956" s="47" t="b">
        <v>0</v>
      </c>
      <c r="O956" s="59"/>
      <c r="Q956" s="54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</row>
    <row r="957">
      <c r="A957" s="59" t="b">
        <v>0</v>
      </c>
      <c r="B957" s="54"/>
      <c r="C957" s="55"/>
      <c r="D957" s="56"/>
      <c r="E957" s="40"/>
      <c r="F957" s="57"/>
      <c r="G957" s="114"/>
      <c r="H957" s="59"/>
      <c r="I957" s="165"/>
      <c r="J957" s="59"/>
      <c r="K957" s="53"/>
      <c r="L957" s="59"/>
      <c r="M957" s="59"/>
      <c r="N957" s="47" t="b">
        <v>0</v>
      </c>
      <c r="O957" s="59"/>
      <c r="Q957" s="54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</row>
    <row r="958">
      <c r="A958" s="59" t="b">
        <v>0</v>
      </c>
      <c r="B958" s="54"/>
      <c r="C958" s="55"/>
      <c r="D958" s="56"/>
      <c r="E958" s="40"/>
      <c r="F958" s="57"/>
      <c r="G958" s="114"/>
      <c r="H958" s="59"/>
      <c r="I958" s="165"/>
      <c r="J958" s="59"/>
      <c r="K958" s="53"/>
      <c r="L958" s="59"/>
      <c r="M958" s="59"/>
      <c r="N958" s="47" t="b">
        <v>0</v>
      </c>
      <c r="O958" s="59"/>
      <c r="Q958" s="54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</row>
    <row r="959">
      <c r="A959" s="59" t="b">
        <v>0</v>
      </c>
      <c r="B959" s="54"/>
      <c r="C959" s="55"/>
      <c r="D959" s="56"/>
      <c r="E959" s="40"/>
      <c r="F959" s="57"/>
      <c r="G959" s="114"/>
      <c r="H959" s="59"/>
      <c r="I959" s="165"/>
      <c r="J959" s="59"/>
      <c r="K959" s="53"/>
      <c r="L959" s="59"/>
      <c r="M959" s="59"/>
      <c r="N959" s="47" t="b">
        <v>0</v>
      </c>
      <c r="O959" s="59"/>
      <c r="Q959" s="54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</row>
    <row r="960">
      <c r="A960" s="59" t="b">
        <v>0</v>
      </c>
      <c r="B960" s="54"/>
      <c r="C960" s="55"/>
      <c r="D960" s="56"/>
      <c r="E960" s="40"/>
      <c r="F960" s="57"/>
      <c r="G960" s="114"/>
      <c r="H960" s="59"/>
      <c r="I960" s="165"/>
      <c r="J960" s="59"/>
      <c r="K960" s="53"/>
      <c r="L960" s="59"/>
      <c r="M960" s="59"/>
      <c r="N960" s="47" t="b">
        <v>0</v>
      </c>
      <c r="O960" s="59"/>
      <c r="Q960" s="54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</row>
    <row r="961">
      <c r="A961" s="59" t="b">
        <v>0</v>
      </c>
      <c r="B961" s="54"/>
      <c r="C961" s="55"/>
      <c r="D961" s="56"/>
      <c r="E961" s="40"/>
      <c r="F961" s="57"/>
      <c r="G961" s="114"/>
      <c r="H961" s="59"/>
      <c r="I961" s="165"/>
      <c r="J961" s="59"/>
      <c r="K961" s="53"/>
      <c r="L961" s="59"/>
      <c r="M961" s="59"/>
      <c r="N961" s="47" t="b">
        <v>0</v>
      </c>
      <c r="O961" s="59"/>
      <c r="Q961" s="54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</row>
    <row r="962">
      <c r="A962" s="59" t="b">
        <v>0</v>
      </c>
      <c r="B962" s="54"/>
      <c r="C962" s="55"/>
      <c r="D962" s="56"/>
      <c r="E962" s="40"/>
      <c r="F962" s="57"/>
      <c r="G962" s="114"/>
      <c r="H962" s="59"/>
      <c r="I962" s="165"/>
      <c r="J962" s="59"/>
      <c r="K962" s="53"/>
      <c r="L962" s="59"/>
      <c r="M962" s="59"/>
      <c r="N962" s="47" t="b">
        <v>0</v>
      </c>
      <c r="O962" s="59"/>
      <c r="Q962" s="54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</row>
    <row r="963">
      <c r="A963" s="59" t="b">
        <v>0</v>
      </c>
      <c r="B963" s="54"/>
      <c r="C963" s="55"/>
      <c r="D963" s="56"/>
      <c r="E963" s="40"/>
      <c r="F963" s="57"/>
      <c r="G963" s="114"/>
      <c r="H963" s="59"/>
      <c r="I963" s="165"/>
      <c r="J963" s="59"/>
      <c r="K963" s="53"/>
      <c r="L963" s="59"/>
      <c r="M963" s="59"/>
      <c r="N963" s="47" t="b">
        <v>0</v>
      </c>
      <c r="O963" s="59"/>
      <c r="Q963" s="54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</row>
    <row r="964">
      <c r="A964" s="59" t="b">
        <v>0</v>
      </c>
      <c r="B964" s="54"/>
      <c r="C964" s="55"/>
      <c r="D964" s="56"/>
      <c r="E964" s="40"/>
      <c r="F964" s="57"/>
      <c r="G964" s="114"/>
      <c r="H964" s="59"/>
      <c r="I964" s="165"/>
      <c r="J964" s="59"/>
      <c r="K964" s="53"/>
      <c r="L964" s="59"/>
      <c r="M964" s="59"/>
      <c r="N964" s="47" t="b">
        <v>0</v>
      </c>
      <c r="O964" s="59"/>
      <c r="Q964" s="54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</row>
    <row r="965">
      <c r="A965" s="59" t="b">
        <v>0</v>
      </c>
      <c r="B965" s="54"/>
      <c r="C965" s="55"/>
      <c r="D965" s="56"/>
      <c r="E965" s="40"/>
      <c r="F965" s="57"/>
      <c r="G965" s="114"/>
      <c r="H965" s="59"/>
      <c r="I965" s="165"/>
      <c r="J965" s="59"/>
      <c r="K965" s="53"/>
      <c r="L965" s="59"/>
      <c r="M965" s="59"/>
      <c r="N965" s="47" t="b">
        <v>0</v>
      </c>
      <c r="O965" s="59"/>
      <c r="Q965" s="54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</row>
    <row r="966">
      <c r="A966" s="59" t="b">
        <v>0</v>
      </c>
      <c r="B966" s="54"/>
      <c r="C966" s="55"/>
      <c r="D966" s="56"/>
      <c r="E966" s="40"/>
      <c r="F966" s="57"/>
      <c r="G966" s="114"/>
      <c r="H966" s="59"/>
      <c r="I966" s="165"/>
      <c r="J966" s="59"/>
      <c r="K966" s="53"/>
      <c r="L966" s="59"/>
      <c r="M966" s="59"/>
      <c r="N966" s="47" t="b">
        <v>0</v>
      </c>
      <c r="O966" s="59"/>
      <c r="Q966" s="54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</row>
    <row r="967">
      <c r="A967" s="59" t="b">
        <v>0</v>
      </c>
      <c r="B967" s="54"/>
      <c r="C967" s="55"/>
      <c r="D967" s="56"/>
      <c r="E967" s="40"/>
      <c r="F967" s="57"/>
      <c r="G967" s="114"/>
      <c r="H967" s="59"/>
      <c r="I967" s="165"/>
      <c r="J967" s="59"/>
      <c r="K967" s="53"/>
      <c r="L967" s="59"/>
      <c r="M967" s="59"/>
      <c r="N967" s="47" t="b">
        <v>0</v>
      </c>
      <c r="O967" s="59"/>
      <c r="Q967" s="54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</row>
    <row r="968">
      <c r="A968" s="59" t="b">
        <v>0</v>
      </c>
      <c r="B968" s="54"/>
      <c r="C968" s="55"/>
      <c r="D968" s="56"/>
      <c r="E968" s="40"/>
      <c r="F968" s="57"/>
      <c r="G968" s="114"/>
      <c r="H968" s="59"/>
      <c r="I968" s="165"/>
      <c r="J968" s="59"/>
      <c r="K968" s="53"/>
      <c r="L968" s="59"/>
      <c r="M968" s="59"/>
      <c r="N968" s="47" t="b">
        <v>0</v>
      </c>
      <c r="O968" s="59"/>
      <c r="Q968" s="54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</row>
    <row r="969">
      <c r="A969" s="59" t="b">
        <v>0</v>
      </c>
      <c r="B969" s="54"/>
      <c r="C969" s="55"/>
      <c r="D969" s="56"/>
      <c r="E969" s="40"/>
      <c r="F969" s="57"/>
      <c r="G969" s="114"/>
      <c r="H969" s="59"/>
      <c r="I969" s="165"/>
      <c r="J969" s="59"/>
      <c r="K969" s="53"/>
      <c r="L969" s="59"/>
      <c r="M969" s="59"/>
      <c r="N969" s="47" t="b">
        <v>0</v>
      </c>
      <c r="O969" s="59"/>
      <c r="Q969" s="54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</row>
    <row r="970">
      <c r="A970" s="59" t="b">
        <v>0</v>
      </c>
      <c r="B970" s="54"/>
      <c r="C970" s="55"/>
      <c r="D970" s="56"/>
      <c r="E970" s="40"/>
      <c r="F970" s="57"/>
      <c r="G970" s="114"/>
      <c r="H970" s="59"/>
      <c r="I970" s="165"/>
      <c r="J970" s="59"/>
      <c r="K970" s="53"/>
      <c r="L970" s="59"/>
      <c r="M970" s="59"/>
      <c r="N970" s="47" t="b">
        <v>0</v>
      </c>
      <c r="O970" s="59"/>
      <c r="Q970" s="54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</row>
    <row r="971">
      <c r="A971" s="59" t="b">
        <v>0</v>
      </c>
      <c r="B971" s="54"/>
      <c r="C971" s="55"/>
      <c r="D971" s="56"/>
      <c r="E971" s="40"/>
      <c r="F971" s="57"/>
      <c r="G971" s="114"/>
      <c r="H971" s="59"/>
      <c r="I971" s="165"/>
      <c r="J971" s="59"/>
      <c r="K971" s="53"/>
      <c r="L971" s="59"/>
      <c r="M971" s="59"/>
      <c r="N971" s="47" t="b">
        <v>0</v>
      </c>
      <c r="O971" s="59"/>
      <c r="Q971" s="54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</row>
    <row r="972">
      <c r="A972" s="59" t="b">
        <v>0</v>
      </c>
      <c r="B972" s="54"/>
      <c r="C972" s="55"/>
      <c r="D972" s="56"/>
      <c r="E972" s="40"/>
      <c r="F972" s="57"/>
      <c r="G972" s="114"/>
      <c r="H972" s="59"/>
      <c r="I972" s="165"/>
      <c r="J972" s="59"/>
      <c r="K972" s="53"/>
      <c r="L972" s="59"/>
      <c r="M972" s="59"/>
      <c r="N972" s="47" t="b">
        <v>0</v>
      </c>
      <c r="O972" s="59"/>
      <c r="Q972" s="54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</row>
    <row r="973">
      <c r="A973" s="59" t="b">
        <v>0</v>
      </c>
      <c r="B973" s="54"/>
      <c r="C973" s="55"/>
      <c r="D973" s="56"/>
      <c r="E973" s="40"/>
      <c r="F973" s="57"/>
      <c r="G973" s="114"/>
      <c r="H973" s="59"/>
      <c r="I973" s="165"/>
      <c r="J973" s="59"/>
      <c r="K973" s="53"/>
      <c r="L973" s="59"/>
      <c r="M973" s="59"/>
      <c r="N973" s="47" t="b">
        <v>0</v>
      </c>
      <c r="O973" s="59"/>
      <c r="Q973" s="54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</row>
    <row r="974">
      <c r="A974" s="59" t="b">
        <v>0</v>
      </c>
      <c r="B974" s="54"/>
      <c r="C974" s="55"/>
      <c r="D974" s="56"/>
      <c r="E974" s="40"/>
      <c r="F974" s="57"/>
      <c r="G974" s="114"/>
      <c r="H974" s="59"/>
      <c r="I974" s="165"/>
      <c r="J974" s="59"/>
      <c r="K974" s="53"/>
      <c r="L974" s="59"/>
      <c r="M974" s="59"/>
      <c r="N974" s="47" t="b">
        <v>0</v>
      </c>
      <c r="O974" s="59"/>
      <c r="Q974" s="54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</row>
    <row r="975">
      <c r="A975" s="59" t="b">
        <v>0</v>
      </c>
      <c r="B975" s="54"/>
      <c r="C975" s="55"/>
      <c r="D975" s="56"/>
      <c r="E975" s="40"/>
      <c r="F975" s="57"/>
      <c r="G975" s="114"/>
      <c r="H975" s="59"/>
      <c r="I975" s="165"/>
      <c r="J975" s="59"/>
      <c r="K975" s="53"/>
      <c r="L975" s="59"/>
      <c r="M975" s="59"/>
      <c r="N975" s="47" t="b">
        <v>0</v>
      </c>
      <c r="O975" s="59"/>
      <c r="Q975" s="54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</row>
    <row r="976">
      <c r="A976" s="59" t="b">
        <v>0</v>
      </c>
      <c r="B976" s="54"/>
      <c r="C976" s="55"/>
      <c r="D976" s="56"/>
      <c r="E976" s="40"/>
      <c r="F976" s="57"/>
      <c r="G976" s="114"/>
      <c r="H976" s="59"/>
      <c r="I976" s="165"/>
      <c r="J976" s="59"/>
      <c r="K976" s="53"/>
      <c r="L976" s="59"/>
      <c r="M976" s="59"/>
      <c r="N976" s="47" t="b">
        <v>0</v>
      </c>
      <c r="O976" s="59"/>
      <c r="Q976" s="54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</row>
    <row r="977">
      <c r="A977" s="59" t="b">
        <v>0</v>
      </c>
      <c r="B977" s="54"/>
      <c r="C977" s="55"/>
      <c r="D977" s="56"/>
      <c r="E977" s="40"/>
      <c r="F977" s="57"/>
      <c r="G977" s="114"/>
      <c r="H977" s="59"/>
      <c r="I977" s="165"/>
      <c r="J977" s="59"/>
      <c r="K977" s="53"/>
      <c r="L977" s="59"/>
      <c r="M977" s="59"/>
      <c r="N977" s="47" t="b">
        <v>0</v>
      </c>
      <c r="O977" s="59"/>
      <c r="Q977" s="54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</row>
    <row r="978">
      <c r="A978" s="59" t="b">
        <v>0</v>
      </c>
      <c r="B978" s="54"/>
      <c r="C978" s="55"/>
      <c r="D978" s="56"/>
      <c r="E978" s="40"/>
      <c r="F978" s="57"/>
      <c r="G978" s="114"/>
      <c r="H978" s="59"/>
      <c r="I978" s="165"/>
      <c r="J978" s="59"/>
      <c r="K978" s="53"/>
      <c r="L978" s="59"/>
      <c r="M978" s="59"/>
      <c r="N978" s="47" t="b">
        <v>0</v>
      </c>
      <c r="O978" s="59"/>
      <c r="Q978" s="54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</row>
    <row r="979">
      <c r="A979" s="59" t="b">
        <v>0</v>
      </c>
      <c r="B979" s="54"/>
      <c r="C979" s="55"/>
      <c r="D979" s="56"/>
      <c r="E979" s="40"/>
      <c r="F979" s="57"/>
      <c r="G979" s="114"/>
      <c r="H979" s="59"/>
      <c r="I979" s="165"/>
      <c r="J979" s="59"/>
      <c r="K979" s="53"/>
      <c r="L979" s="59"/>
      <c r="M979" s="59"/>
      <c r="N979" s="47" t="b">
        <v>0</v>
      </c>
      <c r="O979" s="59"/>
      <c r="Q979" s="54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</row>
    <row r="980">
      <c r="A980" s="59" t="b">
        <v>0</v>
      </c>
      <c r="B980" s="54"/>
      <c r="C980" s="55"/>
      <c r="D980" s="56"/>
      <c r="E980" s="40"/>
      <c r="F980" s="57"/>
      <c r="G980" s="114"/>
      <c r="H980" s="59"/>
      <c r="I980" s="165"/>
      <c r="J980" s="59"/>
      <c r="K980" s="53"/>
      <c r="L980" s="59"/>
      <c r="M980" s="59"/>
      <c r="N980" s="47" t="b">
        <v>0</v>
      </c>
      <c r="O980" s="59"/>
      <c r="Q980" s="54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</row>
    <row r="981">
      <c r="A981" s="59" t="b">
        <v>0</v>
      </c>
      <c r="B981" s="54"/>
      <c r="C981" s="55"/>
      <c r="D981" s="56"/>
      <c r="E981" s="40"/>
      <c r="F981" s="57"/>
      <c r="G981" s="114"/>
      <c r="H981" s="59"/>
      <c r="I981" s="165"/>
      <c r="J981" s="59"/>
      <c r="K981" s="53"/>
      <c r="L981" s="59"/>
      <c r="M981" s="59"/>
      <c r="N981" s="47" t="b">
        <v>0</v>
      </c>
      <c r="O981" s="59"/>
      <c r="Q981" s="54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</row>
    <row r="982">
      <c r="A982" s="59" t="b">
        <v>0</v>
      </c>
      <c r="B982" s="54"/>
      <c r="C982" s="55"/>
      <c r="D982" s="56"/>
      <c r="E982" s="40"/>
      <c r="F982" s="57"/>
      <c r="G982" s="114"/>
      <c r="H982" s="59"/>
      <c r="I982" s="165"/>
      <c r="J982" s="59"/>
      <c r="K982" s="53"/>
      <c r="L982" s="59"/>
      <c r="M982" s="59"/>
      <c r="N982" s="47" t="b">
        <v>0</v>
      </c>
      <c r="O982" s="59"/>
      <c r="Q982" s="54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</row>
    <row r="983">
      <c r="A983" s="59" t="b">
        <v>0</v>
      </c>
      <c r="B983" s="54"/>
      <c r="C983" s="55"/>
      <c r="D983" s="56"/>
      <c r="E983" s="40"/>
      <c r="F983" s="57"/>
      <c r="G983" s="114"/>
      <c r="H983" s="59"/>
      <c r="I983" s="165"/>
      <c r="J983" s="59"/>
      <c r="K983" s="53"/>
      <c r="L983" s="59"/>
      <c r="M983" s="59"/>
      <c r="N983" s="47" t="b">
        <v>0</v>
      </c>
      <c r="O983" s="59"/>
      <c r="Q983" s="54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</row>
    <row r="984">
      <c r="A984" s="59" t="b">
        <v>0</v>
      </c>
      <c r="B984" s="54"/>
      <c r="C984" s="55"/>
      <c r="D984" s="56"/>
      <c r="E984" s="40"/>
      <c r="F984" s="57"/>
      <c r="G984" s="114"/>
      <c r="H984" s="59"/>
      <c r="I984" s="165"/>
      <c r="J984" s="59"/>
      <c r="K984" s="53"/>
      <c r="L984" s="59"/>
      <c r="M984" s="59"/>
      <c r="N984" s="47" t="b">
        <v>0</v>
      </c>
      <c r="O984" s="59"/>
      <c r="Q984" s="54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</row>
    <row r="985">
      <c r="A985" s="59" t="b">
        <v>0</v>
      </c>
      <c r="B985" s="54"/>
      <c r="C985" s="55"/>
      <c r="D985" s="56"/>
      <c r="E985" s="40"/>
      <c r="F985" s="57"/>
      <c r="G985" s="114"/>
      <c r="H985" s="59"/>
      <c r="I985" s="165"/>
      <c r="J985" s="59"/>
      <c r="K985" s="53"/>
      <c r="L985" s="59"/>
      <c r="M985" s="59"/>
      <c r="N985" s="47" t="b">
        <v>0</v>
      </c>
      <c r="O985" s="59"/>
      <c r="Q985" s="54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</row>
    <row r="986">
      <c r="A986" s="59" t="b">
        <v>0</v>
      </c>
      <c r="B986" s="54"/>
      <c r="C986" s="55"/>
      <c r="D986" s="56"/>
      <c r="E986" s="40"/>
      <c r="F986" s="57"/>
      <c r="G986" s="114"/>
      <c r="H986" s="59"/>
      <c r="I986" s="165"/>
      <c r="J986" s="59"/>
      <c r="K986" s="53"/>
      <c r="L986" s="59"/>
      <c r="M986" s="59"/>
      <c r="N986" s="47" t="b">
        <v>0</v>
      </c>
      <c r="O986" s="59"/>
      <c r="Q986" s="54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</row>
    <row r="987">
      <c r="A987" s="59" t="b">
        <v>0</v>
      </c>
      <c r="B987" s="54"/>
      <c r="C987" s="55"/>
      <c r="D987" s="56"/>
      <c r="E987" s="40"/>
      <c r="F987" s="57"/>
      <c r="G987" s="114"/>
      <c r="H987" s="59"/>
      <c r="I987" s="165"/>
      <c r="J987" s="59"/>
      <c r="K987" s="53"/>
      <c r="L987" s="59"/>
      <c r="M987" s="59"/>
      <c r="N987" s="47" t="b">
        <v>0</v>
      </c>
      <c r="O987" s="59"/>
      <c r="Q987" s="54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</row>
    <row r="988">
      <c r="A988" s="59" t="b">
        <v>0</v>
      </c>
      <c r="B988" s="54"/>
      <c r="C988" s="55"/>
      <c r="D988" s="56"/>
      <c r="E988" s="40"/>
      <c r="F988" s="57"/>
      <c r="G988" s="114"/>
      <c r="H988" s="59"/>
      <c r="I988" s="165"/>
      <c r="J988" s="59"/>
      <c r="K988" s="53"/>
      <c r="L988" s="59"/>
      <c r="M988" s="59"/>
      <c r="N988" s="47" t="b">
        <v>0</v>
      </c>
      <c r="O988" s="59"/>
      <c r="Q988" s="54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</row>
    <row r="989">
      <c r="A989" s="59" t="b">
        <v>0</v>
      </c>
      <c r="B989" s="54"/>
      <c r="C989" s="55"/>
      <c r="D989" s="56"/>
      <c r="E989" s="40"/>
      <c r="F989" s="57"/>
      <c r="G989" s="114"/>
      <c r="H989" s="59"/>
      <c r="I989" s="165"/>
      <c r="J989" s="59"/>
      <c r="K989" s="53"/>
      <c r="L989" s="59"/>
      <c r="M989" s="59"/>
      <c r="N989" s="47" t="b">
        <v>0</v>
      </c>
      <c r="O989" s="59"/>
      <c r="Q989" s="54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</row>
    <row r="990">
      <c r="A990" s="59" t="b">
        <v>0</v>
      </c>
      <c r="B990" s="54"/>
      <c r="C990" s="55"/>
      <c r="D990" s="56"/>
      <c r="E990" s="40"/>
      <c r="F990" s="57"/>
      <c r="G990" s="114"/>
      <c r="H990" s="59"/>
      <c r="I990" s="165"/>
      <c r="J990" s="59"/>
      <c r="K990" s="53"/>
      <c r="L990" s="59"/>
      <c r="M990" s="59"/>
      <c r="N990" s="47" t="b">
        <v>0</v>
      </c>
      <c r="O990" s="59"/>
      <c r="Q990" s="54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</row>
    <row r="991">
      <c r="A991" s="59" t="b">
        <v>0</v>
      </c>
      <c r="B991" s="54"/>
      <c r="C991" s="55"/>
      <c r="D991" s="56"/>
      <c r="E991" s="40"/>
      <c r="F991" s="57"/>
      <c r="G991" s="114"/>
      <c r="H991" s="59"/>
      <c r="I991" s="165"/>
      <c r="J991" s="59"/>
      <c r="K991" s="53"/>
      <c r="L991" s="59"/>
      <c r="M991" s="59"/>
      <c r="N991" s="47" t="b">
        <v>0</v>
      </c>
      <c r="O991" s="59"/>
      <c r="Q991" s="54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</row>
    <row r="992">
      <c r="A992" s="59" t="b">
        <v>0</v>
      </c>
      <c r="B992" s="54"/>
      <c r="C992" s="55"/>
      <c r="D992" s="56"/>
      <c r="E992" s="40"/>
      <c r="F992" s="57"/>
      <c r="G992" s="114"/>
      <c r="H992" s="59"/>
      <c r="I992" s="165"/>
      <c r="J992" s="59"/>
      <c r="K992" s="53"/>
      <c r="L992" s="59"/>
      <c r="M992" s="59"/>
      <c r="N992" s="47" t="b">
        <v>0</v>
      </c>
      <c r="O992" s="59"/>
      <c r="Q992" s="54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</row>
    <row r="993">
      <c r="A993" s="59" t="b">
        <v>0</v>
      </c>
      <c r="B993" s="54"/>
      <c r="C993" s="55"/>
      <c r="D993" s="56"/>
      <c r="E993" s="40"/>
      <c r="F993" s="57"/>
      <c r="G993" s="114"/>
      <c r="H993" s="59"/>
      <c r="I993" s="165"/>
      <c r="J993" s="59"/>
      <c r="K993" s="53"/>
      <c r="L993" s="59"/>
      <c r="M993" s="59"/>
      <c r="N993" s="47" t="b">
        <v>0</v>
      </c>
      <c r="O993" s="59"/>
      <c r="Q993" s="54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</row>
    <row r="994">
      <c r="A994" s="59" t="b">
        <v>0</v>
      </c>
      <c r="B994" s="54"/>
      <c r="C994" s="55"/>
      <c r="D994" s="56"/>
      <c r="E994" s="40"/>
      <c r="F994" s="57"/>
      <c r="G994" s="114"/>
      <c r="H994" s="59"/>
      <c r="I994" s="165"/>
      <c r="J994" s="59"/>
      <c r="K994" s="53"/>
      <c r="L994" s="59"/>
      <c r="M994" s="59"/>
      <c r="N994" s="47" t="b">
        <v>0</v>
      </c>
      <c r="O994" s="59"/>
      <c r="Q994" s="54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</row>
    <row r="995">
      <c r="A995" s="59" t="b">
        <v>0</v>
      </c>
      <c r="B995" s="54"/>
      <c r="C995" s="55"/>
      <c r="D995" s="56"/>
      <c r="E995" s="40"/>
      <c r="F995" s="57"/>
      <c r="G995" s="114"/>
      <c r="H995" s="59"/>
      <c r="I995" s="165"/>
      <c r="J995" s="59"/>
      <c r="K995" s="53"/>
      <c r="L995" s="59"/>
      <c r="M995" s="59"/>
      <c r="N995" s="47" t="b">
        <v>0</v>
      </c>
      <c r="O995" s="59"/>
      <c r="Q995" s="54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</row>
    <row r="996">
      <c r="A996" s="59" t="b">
        <v>0</v>
      </c>
      <c r="B996" s="54"/>
      <c r="C996" s="55"/>
      <c r="D996" s="56"/>
      <c r="E996" s="40"/>
      <c r="F996" s="57"/>
      <c r="G996" s="114"/>
      <c r="H996" s="59"/>
      <c r="I996" s="165"/>
      <c r="J996" s="59"/>
      <c r="K996" s="53"/>
      <c r="L996" s="59"/>
      <c r="M996" s="59"/>
      <c r="N996" s="47" t="b">
        <v>0</v>
      </c>
      <c r="O996" s="59"/>
      <c r="Q996" s="54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</row>
    <row r="997">
      <c r="A997" s="59" t="b">
        <v>0</v>
      </c>
      <c r="B997" s="54"/>
      <c r="C997" s="55"/>
      <c r="D997" s="56"/>
      <c r="E997" s="40"/>
      <c r="F997" s="57"/>
      <c r="G997" s="114"/>
      <c r="H997" s="59"/>
      <c r="I997" s="165"/>
      <c r="J997" s="59"/>
      <c r="K997" s="53"/>
      <c r="L997" s="59"/>
      <c r="M997" s="59"/>
      <c r="N997" s="47" t="b">
        <v>0</v>
      </c>
      <c r="O997" s="59"/>
      <c r="Q997" s="54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</row>
    <row r="998">
      <c r="A998" s="59" t="b">
        <v>0</v>
      </c>
      <c r="B998" s="54"/>
      <c r="C998" s="55"/>
      <c r="D998" s="56"/>
      <c r="E998" s="40"/>
      <c r="F998" s="57"/>
      <c r="G998" s="114"/>
      <c r="H998" s="59"/>
      <c r="I998" s="165"/>
      <c r="J998" s="59"/>
      <c r="K998" s="53"/>
      <c r="L998" s="59"/>
      <c r="M998" s="59"/>
      <c r="N998" s="47" t="b">
        <v>0</v>
      </c>
      <c r="O998" s="59"/>
      <c r="Q998" s="54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</row>
    <row r="999">
      <c r="A999" s="59" t="b">
        <v>0</v>
      </c>
      <c r="B999" s="54"/>
      <c r="C999" s="55"/>
      <c r="D999" s="56"/>
      <c r="E999" s="40"/>
      <c r="F999" s="57"/>
      <c r="G999" s="114"/>
      <c r="H999" s="59"/>
      <c r="I999" s="165"/>
      <c r="J999" s="59"/>
      <c r="K999" s="53"/>
      <c r="L999" s="59"/>
      <c r="M999" s="59"/>
      <c r="N999" s="47" t="b">
        <v>0</v>
      </c>
      <c r="O999" s="59"/>
      <c r="Q999" s="54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</row>
    <row r="1000">
      <c r="A1000" s="59" t="b">
        <v>0</v>
      </c>
      <c r="B1000" s="54"/>
      <c r="C1000" s="55"/>
      <c r="D1000" s="56"/>
      <c r="E1000" s="40"/>
      <c r="F1000" s="57"/>
      <c r="G1000" s="114"/>
      <c r="H1000" s="59"/>
      <c r="I1000" s="165"/>
      <c r="J1000" s="59"/>
      <c r="K1000" s="53"/>
      <c r="L1000" s="59"/>
      <c r="M1000" s="59"/>
      <c r="N1000" s="47" t="b">
        <v>0</v>
      </c>
      <c r="O1000" s="59"/>
      <c r="Q1000" s="54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</row>
    <row r="1001">
      <c r="A1001" s="59" t="b">
        <v>0</v>
      </c>
      <c r="B1001" s="54"/>
      <c r="C1001" s="55"/>
      <c r="D1001" s="56"/>
      <c r="E1001" s="40"/>
      <c r="F1001" s="57"/>
      <c r="G1001" s="114"/>
      <c r="H1001" s="59"/>
      <c r="I1001" s="165"/>
      <c r="J1001" s="59"/>
      <c r="K1001" s="53"/>
      <c r="L1001" s="59"/>
      <c r="M1001" s="59"/>
      <c r="N1001" s="47" t="b">
        <v>0</v>
      </c>
      <c r="O1001" s="59"/>
      <c r="Q1001" s="54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</row>
    <row r="1002">
      <c r="A1002" s="59" t="b">
        <v>0</v>
      </c>
      <c r="B1002" s="54"/>
      <c r="C1002" s="55"/>
      <c r="D1002" s="56"/>
      <c r="E1002" s="40"/>
      <c r="F1002" s="57"/>
      <c r="G1002" s="114"/>
      <c r="H1002" s="59"/>
      <c r="I1002" s="165"/>
      <c r="J1002" s="59"/>
      <c r="K1002" s="53"/>
      <c r="L1002" s="59"/>
      <c r="M1002" s="59"/>
      <c r="N1002" s="47" t="b">
        <v>0</v>
      </c>
      <c r="O1002" s="59"/>
      <c r="Q1002" s="54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</row>
    <row r="1003">
      <c r="A1003" s="59" t="b">
        <v>0</v>
      </c>
      <c r="B1003" s="54"/>
      <c r="C1003" s="55"/>
      <c r="D1003" s="56"/>
      <c r="E1003" s="40"/>
      <c r="F1003" s="57"/>
      <c r="G1003" s="114"/>
      <c r="H1003" s="59"/>
      <c r="I1003" s="165"/>
      <c r="J1003" s="59"/>
      <c r="K1003" s="53"/>
      <c r="L1003" s="59"/>
      <c r="M1003" s="59"/>
      <c r="N1003" s="47" t="b">
        <v>0</v>
      </c>
      <c r="O1003" s="59"/>
      <c r="Q1003" s="54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</row>
    <row r="1004">
      <c r="A1004" s="59" t="b">
        <v>0</v>
      </c>
      <c r="B1004" s="54"/>
      <c r="C1004" s="55"/>
      <c r="D1004" s="56"/>
      <c r="E1004" s="40"/>
      <c r="F1004" s="57"/>
      <c r="G1004" s="114"/>
      <c r="H1004" s="59"/>
      <c r="I1004" s="165"/>
      <c r="J1004" s="59"/>
      <c r="K1004" s="53"/>
      <c r="L1004" s="59"/>
      <c r="M1004" s="59"/>
      <c r="N1004" s="47" t="b">
        <v>0</v>
      </c>
      <c r="O1004" s="59"/>
      <c r="Q1004" s="54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</row>
    <row r="1005">
      <c r="A1005" s="59" t="b">
        <v>0</v>
      </c>
      <c r="B1005" s="54"/>
      <c r="C1005" s="55"/>
      <c r="D1005" s="56"/>
      <c r="E1005" s="40"/>
      <c r="F1005" s="57"/>
      <c r="G1005" s="114"/>
      <c r="H1005" s="59"/>
      <c r="I1005" s="165"/>
      <c r="J1005" s="59"/>
      <c r="K1005" s="53"/>
      <c r="L1005" s="59"/>
      <c r="M1005" s="59"/>
      <c r="N1005" s="47" t="b">
        <v>0</v>
      </c>
      <c r="O1005" s="59"/>
      <c r="Q1005" s="54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</row>
    <row r="1006">
      <c r="A1006" s="59" t="b">
        <v>0</v>
      </c>
      <c r="B1006" s="54"/>
      <c r="C1006" s="55"/>
      <c r="D1006" s="56"/>
      <c r="E1006" s="40"/>
      <c r="F1006" s="57"/>
      <c r="G1006" s="114"/>
      <c r="H1006" s="59"/>
      <c r="I1006" s="165"/>
      <c r="J1006" s="59"/>
      <c r="K1006" s="53"/>
      <c r="L1006" s="59"/>
      <c r="M1006" s="59"/>
      <c r="N1006" s="47" t="b">
        <v>0</v>
      </c>
      <c r="O1006" s="59"/>
      <c r="Q1006" s="54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</row>
    <row r="1007">
      <c r="A1007" s="59" t="b">
        <v>0</v>
      </c>
      <c r="B1007" s="54"/>
      <c r="C1007" s="55"/>
      <c r="D1007" s="56"/>
      <c r="E1007" s="40"/>
      <c r="F1007" s="57"/>
      <c r="G1007" s="114"/>
      <c r="H1007" s="59"/>
      <c r="I1007" s="165"/>
      <c r="J1007" s="59"/>
      <c r="K1007" s="53"/>
      <c r="L1007" s="59"/>
      <c r="M1007" s="59"/>
      <c r="N1007" s="47" t="b">
        <v>0</v>
      </c>
      <c r="O1007" s="59"/>
      <c r="Q1007" s="54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</row>
    <row r="1008">
      <c r="A1008" s="59" t="b">
        <v>0</v>
      </c>
      <c r="B1008" s="54"/>
      <c r="C1008" s="55"/>
      <c r="D1008" s="56"/>
      <c r="E1008" s="40"/>
      <c r="F1008" s="57"/>
      <c r="G1008" s="114"/>
      <c r="H1008" s="59"/>
      <c r="I1008" s="165"/>
      <c r="J1008" s="59"/>
      <c r="K1008" s="53"/>
      <c r="L1008" s="59"/>
      <c r="M1008" s="59"/>
      <c r="N1008" s="47" t="b">
        <v>0</v>
      </c>
      <c r="O1008" s="59"/>
      <c r="Q1008" s="54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</row>
    <row r="1009">
      <c r="A1009" s="59" t="b">
        <v>0</v>
      </c>
      <c r="B1009" s="54"/>
      <c r="C1009" s="55"/>
      <c r="D1009" s="56"/>
      <c r="E1009" s="40"/>
      <c r="F1009" s="57"/>
      <c r="G1009" s="114"/>
      <c r="H1009" s="59"/>
      <c r="I1009" s="165"/>
      <c r="J1009" s="59"/>
      <c r="K1009" s="53"/>
      <c r="L1009" s="59"/>
      <c r="M1009" s="59"/>
      <c r="N1009" s="47" t="b">
        <v>0</v>
      </c>
      <c r="O1009" s="59"/>
      <c r="Q1009" s="54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</row>
    <row r="1010">
      <c r="A1010" s="59" t="b">
        <v>0</v>
      </c>
      <c r="B1010" s="54"/>
      <c r="C1010" s="55"/>
      <c r="D1010" s="56"/>
      <c r="E1010" s="40"/>
      <c r="F1010" s="57"/>
      <c r="G1010" s="114"/>
      <c r="H1010" s="59"/>
      <c r="I1010" s="165"/>
      <c r="J1010" s="59"/>
      <c r="K1010" s="53"/>
      <c r="L1010" s="59"/>
      <c r="M1010" s="59"/>
      <c r="N1010" s="47" t="b">
        <v>0</v>
      </c>
      <c r="O1010" s="59"/>
      <c r="Q1010" s="54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</row>
    <row r="1011">
      <c r="A1011" s="59" t="b">
        <v>0</v>
      </c>
      <c r="B1011" s="54"/>
      <c r="C1011" s="55"/>
      <c r="D1011" s="56"/>
      <c r="E1011" s="40"/>
      <c r="F1011" s="57"/>
      <c r="G1011" s="114"/>
      <c r="H1011" s="59"/>
      <c r="I1011" s="165"/>
      <c r="J1011" s="59"/>
      <c r="K1011" s="53"/>
      <c r="L1011" s="59"/>
      <c r="M1011" s="59"/>
      <c r="N1011" s="47" t="b">
        <v>0</v>
      </c>
      <c r="O1011" s="59"/>
      <c r="Q1011" s="54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</row>
    <row r="1012">
      <c r="A1012" s="59" t="b">
        <v>0</v>
      </c>
      <c r="B1012" s="54"/>
      <c r="C1012" s="55"/>
      <c r="D1012" s="56"/>
      <c r="E1012" s="40"/>
      <c r="F1012" s="57"/>
      <c r="G1012" s="114"/>
      <c r="H1012" s="59"/>
      <c r="I1012" s="165"/>
      <c r="J1012" s="59"/>
      <c r="K1012" s="53"/>
      <c r="L1012" s="59"/>
      <c r="M1012" s="59"/>
      <c r="N1012" s="47" t="b">
        <v>0</v>
      </c>
      <c r="O1012" s="59"/>
      <c r="Q1012" s="54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</row>
    <row r="1013">
      <c r="A1013" s="59" t="b">
        <v>0</v>
      </c>
      <c r="B1013" s="54"/>
      <c r="C1013" s="55"/>
      <c r="D1013" s="56"/>
      <c r="E1013" s="40"/>
      <c r="F1013" s="57"/>
      <c r="G1013" s="114"/>
      <c r="H1013" s="59"/>
      <c r="I1013" s="165"/>
      <c r="J1013" s="59"/>
      <c r="K1013" s="53"/>
      <c r="L1013" s="59"/>
      <c r="M1013" s="59"/>
      <c r="N1013" s="47" t="b">
        <v>0</v>
      </c>
      <c r="O1013" s="59"/>
      <c r="Q1013" s="54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</row>
    <row r="1014">
      <c r="A1014" s="59" t="b">
        <v>0</v>
      </c>
      <c r="B1014" s="54"/>
      <c r="C1014" s="55"/>
      <c r="D1014" s="56"/>
      <c r="E1014" s="40"/>
      <c r="F1014" s="57"/>
      <c r="G1014" s="114"/>
      <c r="H1014" s="59"/>
      <c r="I1014" s="165"/>
      <c r="J1014" s="59"/>
      <c r="K1014" s="53"/>
      <c r="L1014" s="59"/>
      <c r="M1014" s="59"/>
      <c r="N1014" s="47" t="b">
        <v>0</v>
      </c>
      <c r="O1014" s="59"/>
      <c r="Q1014" s="54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</row>
    <row r="1015">
      <c r="A1015" s="59" t="b">
        <v>0</v>
      </c>
      <c r="B1015" s="54"/>
      <c r="C1015" s="55"/>
      <c r="D1015" s="56"/>
      <c r="E1015" s="40"/>
      <c r="F1015" s="57"/>
      <c r="G1015" s="114"/>
      <c r="H1015" s="59"/>
      <c r="I1015" s="165"/>
      <c r="J1015" s="59"/>
      <c r="K1015" s="53"/>
      <c r="L1015" s="59"/>
      <c r="M1015" s="59"/>
      <c r="N1015" s="47" t="b">
        <v>0</v>
      </c>
      <c r="O1015" s="59"/>
      <c r="Q1015" s="54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</row>
    <row r="1016">
      <c r="A1016" s="59" t="b">
        <v>0</v>
      </c>
      <c r="B1016" s="54"/>
      <c r="C1016" s="55"/>
      <c r="D1016" s="56"/>
      <c r="E1016" s="40"/>
      <c r="F1016" s="57"/>
      <c r="G1016" s="114"/>
      <c r="H1016" s="59"/>
      <c r="I1016" s="165"/>
      <c r="J1016" s="59"/>
      <c r="K1016" s="53"/>
      <c r="L1016" s="59"/>
      <c r="M1016" s="59"/>
      <c r="N1016" s="47" t="b">
        <v>0</v>
      </c>
      <c r="O1016" s="59"/>
      <c r="Q1016" s="54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</row>
    <row r="1017">
      <c r="A1017" s="59" t="b">
        <v>0</v>
      </c>
      <c r="B1017" s="54"/>
      <c r="C1017" s="55"/>
      <c r="D1017" s="56"/>
      <c r="E1017" s="40"/>
      <c r="F1017" s="57"/>
      <c r="G1017" s="114"/>
      <c r="H1017" s="59"/>
      <c r="I1017" s="165"/>
      <c r="J1017" s="59"/>
      <c r="K1017" s="53"/>
      <c r="L1017" s="59"/>
      <c r="M1017" s="59"/>
      <c r="N1017" s="47" t="b">
        <v>0</v>
      </c>
      <c r="O1017" s="59"/>
      <c r="Q1017" s="54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</row>
    <row r="1018">
      <c r="A1018" s="59" t="b">
        <v>0</v>
      </c>
      <c r="B1018" s="54"/>
      <c r="C1018" s="55"/>
      <c r="D1018" s="56"/>
      <c r="E1018" s="40"/>
      <c r="F1018" s="57"/>
      <c r="G1018" s="114"/>
      <c r="H1018" s="59"/>
      <c r="I1018" s="165"/>
      <c r="J1018" s="59"/>
      <c r="K1018" s="53"/>
      <c r="L1018" s="59"/>
      <c r="M1018" s="59"/>
      <c r="N1018" s="47" t="b">
        <v>0</v>
      </c>
      <c r="O1018" s="59"/>
      <c r="Q1018" s="54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</row>
    <row r="1019">
      <c r="A1019" s="59" t="b">
        <v>0</v>
      </c>
      <c r="B1019" s="54"/>
      <c r="C1019" s="55"/>
      <c r="D1019" s="56"/>
      <c r="E1019" s="40"/>
      <c r="F1019" s="57"/>
      <c r="G1019" s="114"/>
      <c r="H1019" s="59"/>
      <c r="I1019" s="165"/>
      <c r="J1019" s="59"/>
      <c r="K1019" s="53"/>
      <c r="L1019" s="59"/>
      <c r="M1019" s="59"/>
      <c r="N1019" s="47" t="b">
        <v>0</v>
      </c>
      <c r="O1019" s="59"/>
      <c r="Q1019" s="54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</row>
    <row r="1020">
      <c r="A1020" s="59" t="b">
        <v>0</v>
      </c>
      <c r="B1020" s="54"/>
      <c r="C1020" s="55"/>
      <c r="D1020" s="56"/>
      <c r="E1020" s="40"/>
      <c r="F1020" s="57"/>
      <c r="G1020" s="114"/>
      <c r="H1020" s="59"/>
      <c r="I1020" s="165"/>
      <c r="J1020" s="59"/>
      <c r="K1020" s="53"/>
      <c r="L1020" s="59"/>
      <c r="M1020" s="59"/>
      <c r="N1020" s="47" t="b">
        <v>0</v>
      </c>
      <c r="O1020" s="59"/>
      <c r="Q1020" s="54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</row>
    <row r="1021">
      <c r="A1021" s="59" t="b">
        <v>0</v>
      </c>
      <c r="B1021" s="54"/>
      <c r="C1021" s="55"/>
      <c r="D1021" s="56"/>
      <c r="E1021" s="40"/>
      <c r="F1021" s="57"/>
      <c r="G1021" s="114"/>
      <c r="H1021" s="59"/>
      <c r="I1021" s="165"/>
      <c r="J1021" s="59"/>
      <c r="K1021" s="53"/>
      <c r="L1021" s="59"/>
      <c r="M1021" s="59"/>
      <c r="N1021" s="47" t="b">
        <v>0</v>
      </c>
      <c r="O1021" s="59"/>
      <c r="Q1021" s="54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</row>
    <row r="1022">
      <c r="A1022" s="59" t="b">
        <v>0</v>
      </c>
      <c r="B1022" s="54"/>
      <c r="C1022" s="55"/>
      <c r="D1022" s="56"/>
      <c r="E1022" s="40"/>
      <c r="F1022" s="57"/>
      <c r="G1022" s="114"/>
      <c r="H1022" s="59"/>
      <c r="I1022" s="165"/>
      <c r="J1022" s="59"/>
      <c r="K1022" s="53"/>
      <c r="L1022" s="59"/>
      <c r="M1022" s="59"/>
      <c r="N1022" s="47" t="b">
        <v>0</v>
      </c>
      <c r="O1022" s="59"/>
      <c r="Q1022" s="54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</row>
    <row r="1023">
      <c r="A1023" s="59" t="b">
        <v>0</v>
      </c>
      <c r="B1023" s="54"/>
      <c r="C1023" s="55"/>
      <c r="D1023" s="56"/>
      <c r="E1023" s="40"/>
      <c r="F1023" s="57"/>
      <c r="G1023" s="114"/>
      <c r="H1023" s="59"/>
      <c r="I1023" s="165"/>
      <c r="J1023" s="59"/>
      <c r="K1023" s="53"/>
      <c r="L1023" s="59"/>
      <c r="M1023" s="59"/>
      <c r="N1023" s="47" t="b">
        <v>0</v>
      </c>
      <c r="O1023" s="59"/>
      <c r="Q1023" s="54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</row>
    <row r="1024">
      <c r="A1024" s="59" t="b">
        <v>0</v>
      </c>
      <c r="B1024" s="54"/>
      <c r="C1024" s="55"/>
      <c r="D1024" s="56"/>
      <c r="E1024" s="40"/>
      <c r="F1024" s="57"/>
      <c r="G1024" s="114"/>
      <c r="H1024" s="59"/>
      <c r="I1024" s="165"/>
      <c r="J1024" s="59"/>
      <c r="K1024" s="53"/>
      <c r="L1024" s="59"/>
      <c r="M1024" s="59"/>
      <c r="N1024" s="47" t="b">
        <v>0</v>
      </c>
      <c r="O1024" s="59"/>
      <c r="Q1024" s="54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</row>
    <row r="1025">
      <c r="A1025" s="59" t="b">
        <v>0</v>
      </c>
      <c r="B1025" s="54"/>
      <c r="C1025" s="55"/>
      <c r="D1025" s="56"/>
      <c r="E1025" s="40"/>
      <c r="F1025" s="57"/>
      <c r="G1025" s="114"/>
      <c r="H1025" s="59"/>
      <c r="I1025" s="165"/>
      <c r="J1025" s="59"/>
      <c r="K1025" s="53"/>
      <c r="L1025" s="59"/>
      <c r="M1025" s="59"/>
      <c r="N1025" s="47" t="b">
        <v>0</v>
      </c>
      <c r="O1025" s="59"/>
      <c r="Q1025" s="54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</row>
    <row r="1026">
      <c r="A1026" s="59" t="b">
        <v>0</v>
      </c>
      <c r="B1026" s="54"/>
      <c r="C1026" s="55"/>
      <c r="D1026" s="56"/>
      <c r="E1026" s="40"/>
      <c r="F1026" s="57"/>
      <c r="G1026" s="114"/>
      <c r="H1026" s="59"/>
      <c r="I1026" s="165"/>
      <c r="J1026" s="59"/>
      <c r="K1026" s="53"/>
      <c r="L1026" s="59"/>
      <c r="M1026" s="59"/>
      <c r="N1026" s="47" t="b">
        <v>0</v>
      </c>
      <c r="O1026" s="59"/>
      <c r="Q1026" s="54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</row>
    <row r="1027">
      <c r="A1027" s="59" t="b">
        <v>0</v>
      </c>
      <c r="B1027" s="54"/>
      <c r="C1027" s="55"/>
      <c r="D1027" s="56"/>
      <c r="E1027" s="40"/>
      <c r="F1027" s="57"/>
      <c r="G1027" s="114"/>
      <c r="H1027" s="59"/>
      <c r="I1027" s="165"/>
      <c r="J1027" s="59"/>
      <c r="K1027" s="53"/>
      <c r="L1027" s="59"/>
      <c r="M1027" s="59"/>
      <c r="N1027" s="47" t="b">
        <v>0</v>
      </c>
      <c r="O1027" s="59"/>
      <c r="Q1027" s="54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</row>
    <row r="1028">
      <c r="A1028" s="59" t="b">
        <v>0</v>
      </c>
      <c r="B1028" s="54"/>
      <c r="C1028" s="55"/>
      <c r="D1028" s="56"/>
      <c r="E1028" s="40"/>
      <c r="F1028" s="57"/>
      <c r="G1028" s="114"/>
      <c r="H1028" s="59"/>
      <c r="I1028" s="165"/>
      <c r="J1028" s="59"/>
      <c r="K1028" s="53"/>
      <c r="L1028" s="59"/>
      <c r="M1028" s="59"/>
      <c r="N1028" s="47" t="b">
        <v>0</v>
      </c>
      <c r="O1028" s="59"/>
      <c r="Q1028" s="54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</row>
    <row r="1029">
      <c r="A1029" s="59" t="b">
        <v>0</v>
      </c>
      <c r="B1029" s="54"/>
      <c r="C1029" s="55"/>
      <c r="D1029" s="56"/>
      <c r="E1029" s="40"/>
      <c r="F1029" s="57"/>
      <c r="G1029" s="114"/>
      <c r="H1029" s="59"/>
      <c r="I1029" s="165"/>
      <c r="J1029" s="59"/>
      <c r="K1029" s="53"/>
      <c r="L1029" s="59"/>
      <c r="M1029" s="59"/>
      <c r="N1029" s="47" t="b">
        <v>0</v>
      </c>
      <c r="O1029" s="59"/>
      <c r="Q1029" s="54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</row>
    <row r="1030">
      <c r="A1030" s="59" t="b">
        <v>0</v>
      </c>
      <c r="B1030" s="54"/>
      <c r="C1030" s="55"/>
      <c r="D1030" s="56"/>
      <c r="E1030" s="40"/>
      <c r="F1030" s="57"/>
      <c r="G1030" s="114"/>
      <c r="H1030" s="59"/>
      <c r="I1030" s="165"/>
      <c r="J1030" s="59"/>
      <c r="K1030" s="53"/>
      <c r="L1030" s="59"/>
      <c r="M1030" s="59"/>
      <c r="N1030" s="47" t="b">
        <v>0</v>
      </c>
      <c r="O1030" s="59"/>
      <c r="Q1030" s="54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</row>
    <row r="1031">
      <c r="A1031" s="59" t="b">
        <v>0</v>
      </c>
      <c r="B1031" s="54"/>
      <c r="C1031" s="55"/>
      <c r="D1031" s="56"/>
      <c r="E1031" s="40"/>
      <c r="F1031" s="57"/>
      <c r="G1031" s="114"/>
      <c r="H1031" s="59"/>
      <c r="I1031" s="165"/>
      <c r="J1031" s="59"/>
      <c r="K1031" s="53"/>
      <c r="L1031" s="59"/>
      <c r="M1031" s="59"/>
      <c r="N1031" s="47" t="b">
        <v>0</v>
      </c>
      <c r="O1031" s="59"/>
      <c r="Q1031" s="54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</row>
    <row r="1032">
      <c r="A1032" s="59" t="b">
        <v>0</v>
      </c>
      <c r="B1032" s="54"/>
      <c r="C1032" s="55"/>
      <c r="D1032" s="56"/>
      <c r="E1032" s="40"/>
      <c r="F1032" s="57"/>
      <c r="G1032" s="114"/>
      <c r="H1032" s="59"/>
      <c r="I1032" s="165"/>
      <c r="J1032" s="59"/>
      <c r="K1032" s="53"/>
      <c r="L1032" s="59"/>
      <c r="M1032" s="59"/>
      <c r="N1032" s="47" t="b">
        <v>0</v>
      </c>
      <c r="O1032" s="59"/>
      <c r="Q1032" s="54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</row>
    <row r="1033">
      <c r="A1033" s="59" t="b">
        <v>0</v>
      </c>
      <c r="B1033" s="54"/>
      <c r="C1033" s="55"/>
      <c r="D1033" s="56"/>
      <c r="E1033" s="40"/>
      <c r="F1033" s="57"/>
      <c r="G1033" s="114"/>
      <c r="H1033" s="59"/>
      <c r="I1033" s="165"/>
      <c r="J1033" s="59"/>
      <c r="K1033" s="53"/>
      <c r="L1033" s="59"/>
      <c r="M1033" s="59"/>
      <c r="N1033" s="47" t="b">
        <v>0</v>
      </c>
      <c r="O1033" s="59"/>
      <c r="Q1033" s="54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</row>
    <row r="1034">
      <c r="A1034" s="59" t="b">
        <v>0</v>
      </c>
      <c r="B1034" s="54"/>
      <c r="C1034" s="55"/>
      <c r="D1034" s="56"/>
      <c r="E1034" s="40"/>
      <c r="F1034" s="57"/>
      <c r="G1034" s="114"/>
      <c r="H1034" s="59"/>
      <c r="I1034" s="165"/>
      <c r="J1034" s="59"/>
      <c r="K1034" s="53"/>
      <c r="L1034" s="59"/>
      <c r="M1034" s="59"/>
      <c r="N1034" s="47" t="b">
        <v>0</v>
      </c>
      <c r="O1034" s="59"/>
      <c r="Q1034" s="54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</row>
    <row r="1035">
      <c r="A1035" s="59" t="b">
        <v>0</v>
      </c>
      <c r="B1035" s="54"/>
      <c r="C1035" s="55"/>
      <c r="D1035" s="56"/>
      <c r="E1035" s="40"/>
      <c r="F1035" s="57"/>
      <c r="G1035" s="114"/>
      <c r="H1035" s="59"/>
      <c r="I1035" s="165"/>
      <c r="J1035" s="59"/>
      <c r="K1035" s="53"/>
      <c r="L1035" s="59"/>
      <c r="M1035" s="59"/>
      <c r="N1035" s="47" t="b">
        <v>0</v>
      </c>
      <c r="O1035" s="59"/>
      <c r="Q1035" s="54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</row>
    <row r="1036">
      <c r="A1036" s="59" t="b">
        <v>0</v>
      </c>
      <c r="B1036" s="54"/>
      <c r="C1036" s="55"/>
      <c r="D1036" s="56"/>
      <c r="E1036" s="40"/>
      <c r="F1036" s="57"/>
      <c r="G1036" s="114"/>
      <c r="H1036" s="59"/>
      <c r="I1036" s="165"/>
      <c r="J1036" s="59"/>
      <c r="K1036" s="53"/>
      <c r="L1036" s="59"/>
      <c r="M1036" s="59"/>
      <c r="N1036" s="47" t="b">
        <v>0</v>
      </c>
      <c r="O1036" s="59"/>
      <c r="Q1036" s="54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</row>
    <row r="1037">
      <c r="A1037" s="59" t="b">
        <v>0</v>
      </c>
      <c r="B1037" s="54"/>
      <c r="C1037" s="55"/>
      <c r="D1037" s="56"/>
      <c r="E1037" s="40"/>
      <c r="F1037" s="57"/>
      <c r="G1037" s="114"/>
      <c r="H1037" s="59"/>
      <c r="I1037" s="165"/>
      <c r="J1037" s="59"/>
      <c r="K1037" s="53"/>
      <c r="L1037" s="59"/>
      <c r="M1037" s="59"/>
      <c r="N1037" s="47" t="b">
        <v>0</v>
      </c>
      <c r="O1037" s="59"/>
      <c r="Q1037" s="54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</row>
    <row r="1038">
      <c r="A1038" s="59" t="b">
        <v>0</v>
      </c>
      <c r="B1038" s="54"/>
      <c r="C1038" s="55"/>
      <c r="D1038" s="56"/>
      <c r="E1038" s="40"/>
      <c r="F1038" s="57"/>
      <c r="G1038" s="114"/>
      <c r="H1038" s="59"/>
      <c r="I1038" s="165"/>
      <c r="J1038" s="59"/>
      <c r="K1038" s="53"/>
      <c r="L1038" s="59"/>
      <c r="M1038" s="59"/>
      <c r="N1038" s="47" t="b">
        <v>0</v>
      </c>
      <c r="O1038" s="59"/>
      <c r="Q1038" s="54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</row>
    <row r="1039">
      <c r="A1039" s="59" t="b">
        <v>0</v>
      </c>
      <c r="B1039" s="54"/>
      <c r="C1039" s="55"/>
      <c r="D1039" s="56"/>
      <c r="E1039" s="40"/>
      <c r="F1039" s="57"/>
      <c r="G1039" s="114"/>
      <c r="H1039" s="59"/>
      <c r="I1039" s="165"/>
      <c r="J1039" s="59"/>
      <c r="K1039" s="53"/>
      <c r="L1039" s="59"/>
      <c r="M1039" s="59"/>
      <c r="N1039" s="47" t="b">
        <v>0</v>
      </c>
      <c r="O1039" s="59"/>
      <c r="Q1039" s="54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</row>
    <row r="1040">
      <c r="A1040" s="59" t="b">
        <v>0</v>
      </c>
      <c r="B1040" s="54"/>
      <c r="C1040" s="55"/>
      <c r="D1040" s="56"/>
      <c r="E1040" s="40"/>
      <c r="F1040" s="57"/>
      <c r="G1040" s="114"/>
      <c r="H1040" s="59"/>
      <c r="I1040" s="165"/>
      <c r="J1040" s="59"/>
      <c r="K1040" s="53"/>
      <c r="L1040" s="59"/>
      <c r="M1040" s="59"/>
      <c r="N1040" s="47" t="b">
        <v>0</v>
      </c>
      <c r="O1040" s="59"/>
      <c r="Q1040" s="54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</row>
    <row r="1041">
      <c r="A1041" s="59" t="b">
        <v>0</v>
      </c>
      <c r="B1041" s="54"/>
      <c r="C1041" s="55"/>
      <c r="D1041" s="56"/>
      <c r="E1041" s="40"/>
      <c r="F1041" s="57"/>
      <c r="G1041" s="114"/>
      <c r="H1041" s="59"/>
      <c r="I1041" s="165"/>
      <c r="J1041" s="59"/>
      <c r="K1041" s="53"/>
      <c r="L1041" s="59"/>
      <c r="M1041" s="59"/>
      <c r="N1041" s="47" t="b">
        <v>0</v>
      </c>
      <c r="O1041" s="59"/>
      <c r="Q1041" s="54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</row>
    <row r="1042">
      <c r="A1042" s="59" t="b">
        <v>0</v>
      </c>
      <c r="B1042" s="54"/>
      <c r="C1042" s="55"/>
      <c r="D1042" s="56"/>
      <c r="E1042" s="40"/>
      <c r="F1042" s="57"/>
      <c r="G1042" s="114"/>
      <c r="H1042" s="59"/>
      <c r="I1042" s="165"/>
      <c r="J1042" s="59"/>
      <c r="K1042" s="53"/>
      <c r="L1042" s="59"/>
      <c r="M1042" s="59"/>
      <c r="N1042" s="47" t="b">
        <v>0</v>
      </c>
      <c r="O1042" s="59"/>
      <c r="Q1042" s="54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</row>
    <row r="1043">
      <c r="A1043" s="59" t="b">
        <v>0</v>
      </c>
      <c r="B1043" s="54"/>
      <c r="C1043" s="55"/>
      <c r="D1043" s="56"/>
      <c r="E1043" s="40"/>
      <c r="F1043" s="57"/>
      <c r="G1043" s="114"/>
      <c r="H1043" s="59"/>
      <c r="I1043" s="165"/>
      <c r="J1043" s="59"/>
      <c r="K1043" s="53"/>
      <c r="L1043" s="59"/>
      <c r="M1043" s="59"/>
      <c r="N1043" s="47" t="b">
        <v>0</v>
      </c>
      <c r="O1043" s="59"/>
      <c r="Q1043" s="54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</row>
    <row r="1044">
      <c r="A1044" s="59" t="b">
        <v>0</v>
      </c>
      <c r="B1044" s="54"/>
      <c r="C1044" s="55"/>
      <c r="D1044" s="56"/>
      <c r="E1044" s="40"/>
      <c r="F1044" s="57"/>
      <c r="G1044" s="114"/>
      <c r="H1044" s="59"/>
      <c r="I1044" s="165"/>
      <c r="J1044" s="59"/>
      <c r="K1044" s="53"/>
      <c r="L1044" s="59"/>
      <c r="M1044" s="59"/>
      <c r="N1044" s="47" t="b">
        <v>0</v>
      </c>
      <c r="O1044" s="59"/>
      <c r="Q1044" s="54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</row>
    <row r="1045">
      <c r="A1045" s="59" t="b">
        <v>0</v>
      </c>
      <c r="B1045" s="54"/>
      <c r="C1045" s="55"/>
      <c r="D1045" s="56"/>
      <c r="E1045" s="40"/>
      <c r="F1045" s="57"/>
      <c r="G1045" s="114"/>
      <c r="H1045" s="59"/>
      <c r="I1045" s="165"/>
      <c r="J1045" s="59"/>
      <c r="K1045" s="53"/>
      <c r="L1045" s="59"/>
      <c r="M1045" s="59"/>
      <c r="N1045" s="47" t="b">
        <v>0</v>
      </c>
      <c r="O1045" s="59"/>
      <c r="Q1045" s="54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</row>
    <row r="1046">
      <c r="A1046" s="59" t="b">
        <v>0</v>
      </c>
      <c r="B1046" s="54"/>
      <c r="C1046" s="55"/>
      <c r="D1046" s="56"/>
      <c r="E1046" s="40"/>
      <c r="F1046" s="57"/>
      <c r="G1046" s="114"/>
      <c r="H1046" s="59"/>
      <c r="I1046" s="165"/>
      <c r="J1046" s="59"/>
      <c r="K1046" s="53"/>
      <c r="L1046" s="59"/>
      <c r="M1046" s="59"/>
      <c r="N1046" s="47" t="b">
        <v>0</v>
      </c>
      <c r="O1046" s="59"/>
      <c r="Q1046" s="54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</row>
    <row r="1047">
      <c r="A1047" s="59" t="b">
        <v>0</v>
      </c>
      <c r="B1047" s="54"/>
      <c r="C1047" s="55"/>
      <c r="D1047" s="56"/>
      <c r="E1047" s="40"/>
      <c r="F1047" s="57"/>
      <c r="G1047" s="114"/>
      <c r="H1047" s="59"/>
      <c r="I1047" s="165"/>
      <c r="J1047" s="59"/>
      <c r="K1047" s="53"/>
      <c r="L1047" s="59"/>
      <c r="M1047" s="59"/>
      <c r="N1047" s="47" t="b">
        <v>0</v>
      </c>
      <c r="O1047" s="59"/>
      <c r="Q1047" s="54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</row>
    <row r="1048">
      <c r="A1048" s="59" t="b">
        <v>0</v>
      </c>
      <c r="B1048" s="54"/>
      <c r="C1048" s="55"/>
      <c r="D1048" s="56"/>
      <c r="E1048" s="40"/>
      <c r="F1048" s="57"/>
      <c r="G1048" s="114"/>
      <c r="H1048" s="59"/>
      <c r="I1048" s="165"/>
      <c r="J1048" s="59"/>
      <c r="K1048" s="53"/>
      <c r="L1048" s="59"/>
      <c r="M1048" s="59"/>
      <c r="N1048" s="47" t="b">
        <v>0</v>
      </c>
      <c r="O1048" s="59"/>
      <c r="Q1048" s="54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</row>
    <row r="1049">
      <c r="A1049" s="59" t="b">
        <v>0</v>
      </c>
      <c r="B1049" s="54"/>
      <c r="C1049" s="55"/>
      <c r="D1049" s="56"/>
      <c r="E1049" s="40"/>
      <c r="F1049" s="57"/>
      <c r="G1049" s="114"/>
      <c r="H1049" s="59"/>
      <c r="I1049" s="165"/>
      <c r="J1049" s="59"/>
      <c r="K1049" s="53"/>
      <c r="L1049" s="59"/>
      <c r="M1049" s="59"/>
      <c r="N1049" s="47" t="b">
        <v>0</v>
      </c>
      <c r="O1049" s="59"/>
      <c r="Q1049" s="54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</row>
    <row r="1050">
      <c r="A1050" s="59" t="b">
        <v>0</v>
      </c>
      <c r="B1050" s="54"/>
      <c r="C1050" s="55"/>
      <c r="D1050" s="56"/>
      <c r="E1050" s="40"/>
      <c r="F1050" s="57"/>
      <c r="G1050" s="114"/>
      <c r="H1050" s="59"/>
      <c r="I1050" s="165"/>
      <c r="J1050" s="59"/>
      <c r="K1050" s="53"/>
      <c r="L1050" s="59"/>
      <c r="M1050" s="59"/>
      <c r="N1050" s="47" t="b">
        <v>0</v>
      </c>
      <c r="O1050" s="59"/>
      <c r="Q1050" s="54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</row>
    <row r="1051">
      <c r="A1051" s="59" t="b">
        <v>0</v>
      </c>
      <c r="B1051" s="54"/>
      <c r="C1051" s="55"/>
      <c r="D1051" s="56"/>
      <c r="E1051" s="40"/>
      <c r="F1051" s="57"/>
      <c r="G1051" s="114"/>
      <c r="H1051" s="59"/>
      <c r="I1051" s="165"/>
      <c r="J1051" s="59"/>
      <c r="K1051" s="53"/>
      <c r="L1051" s="59"/>
      <c r="M1051" s="59"/>
      <c r="N1051" s="47" t="b">
        <v>0</v>
      </c>
      <c r="O1051" s="59"/>
      <c r="Q1051" s="54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</row>
    <row r="1052">
      <c r="A1052" s="59" t="b">
        <v>0</v>
      </c>
      <c r="B1052" s="54"/>
      <c r="C1052" s="55"/>
      <c r="D1052" s="56"/>
      <c r="E1052" s="40"/>
      <c r="F1052" s="57"/>
      <c r="G1052" s="114"/>
      <c r="H1052" s="59"/>
      <c r="I1052" s="165"/>
      <c r="J1052" s="59"/>
      <c r="K1052" s="53"/>
      <c r="L1052" s="59"/>
      <c r="M1052" s="59"/>
      <c r="N1052" s="47" t="b">
        <v>0</v>
      </c>
      <c r="O1052" s="59"/>
      <c r="Q1052" s="54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</row>
    <row r="1053">
      <c r="A1053" s="59" t="b">
        <v>0</v>
      </c>
      <c r="B1053" s="54"/>
      <c r="C1053" s="55"/>
      <c r="D1053" s="56"/>
      <c r="E1053" s="40"/>
      <c r="F1053" s="57"/>
      <c r="G1053" s="114"/>
      <c r="H1053" s="59"/>
      <c r="I1053" s="165"/>
      <c r="J1053" s="59"/>
      <c r="K1053" s="53"/>
      <c r="L1053" s="59"/>
      <c r="M1053" s="59"/>
      <c r="N1053" s="47" t="b">
        <v>0</v>
      </c>
      <c r="O1053" s="59"/>
      <c r="Q1053" s="54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</row>
    <row r="1054">
      <c r="A1054" s="59" t="b">
        <v>0</v>
      </c>
      <c r="B1054" s="54"/>
      <c r="C1054" s="55"/>
      <c r="D1054" s="56"/>
      <c r="E1054" s="40"/>
      <c r="F1054" s="57"/>
      <c r="G1054" s="114"/>
      <c r="H1054" s="59"/>
      <c r="I1054" s="165"/>
      <c r="J1054" s="59"/>
      <c r="K1054" s="53"/>
      <c r="L1054" s="59"/>
      <c r="M1054" s="59"/>
      <c r="N1054" s="47" t="b">
        <v>0</v>
      </c>
      <c r="O1054" s="59"/>
      <c r="Q1054" s="54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</row>
    <row r="1055">
      <c r="A1055" s="59" t="b">
        <v>0</v>
      </c>
      <c r="B1055" s="54"/>
      <c r="C1055" s="55"/>
      <c r="D1055" s="56"/>
      <c r="E1055" s="40"/>
      <c r="F1055" s="57"/>
      <c r="G1055" s="114"/>
      <c r="H1055" s="59"/>
      <c r="I1055" s="165"/>
      <c r="J1055" s="59"/>
      <c r="K1055" s="53"/>
      <c r="L1055" s="59"/>
      <c r="M1055" s="59"/>
      <c r="N1055" s="47" t="b">
        <v>0</v>
      </c>
      <c r="O1055" s="59"/>
      <c r="Q1055" s="54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</row>
    <row r="1056">
      <c r="A1056" s="59" t="b">
        <v>0</v>
      </c>
      <c r="B1056" s="54"/>
      <c r="C1056" s="55"/>
      <c r="D1056" s="56"/>
      <c r="E1056" s="40"/>
      <c r="F1056" s="57"/>
      <c r="G1056" s="114"/>
      <c r="H1056" s="59"/>
      <c r="I1056" s="165"/>
      <c r="J1056" s="59"/>
      <c r="K1056" s="53"/>
      <c r="L1056" s="59"/>
      <c r="M1056" s="59"/>
      <c r="N1056" s="47" t="b">
        <v>0</v>
      </c>
      <c r="O1056" s="59"/>
      <c r="Q1056" s="54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</row>
    <row r="1057">
      <c r="A1057" s="59" t="b">
        <v>0</v>
      </c>
      <c r="B1057" s="54"/>
      <c r="C1057" s="55"/>
      <c r="D1057" s="56"/>
      <c r="E1057" s="40"/>
      <c r="F1057" s="57"/>
      <c r="G1057" s="114"/>
      <c r="H1057" s="59"/>
      <c r="I1057" s="165"/>
      <c r="J1057" s="59"/>
      <c r="K1057" s="53"/>
      <c r="L1057" s="59"/>
      <c r="M1057" s="59"/>
      <c r="N1057" s="47" t="b">
        <v>0</v>
      </c>
      <c r="O1057" s="59"/>
      <c r="Q1057" s="54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</row>
    <row r="1058">
      <c r="A1058" s="59" t="b">
        <v>0</v>
      </c>
      <c r="B1058" s="54"/>
      <c r="C1058" s="55"/>
      <c r="D1058" s="56"/>
      <c r="E1058" s="40"/>
      <c r="F1058" s="57"/>
      <c r="G1058" s="114"/>
      <c r="H1058" s="59"/>
      <c r="I1058" s="165"/>
      <c r="J1058" s="59"/>
      <c r="K1058" s="53"/>
      <c r="L1058" s="59"/>
      <c r="M1058" s="59"/>
      <c r="N1058" s="47" t="b">
        <v>0</v>
      </c>
      <c r="O1058" s="59"/>
      <c r="Q1058" s="54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</row>
    <row r="1059">
      <c r="A1059" s="59" t="b">
        <v>0</v>
      </c>
      <c r="B1059" s="54"/>
      <c r="C1059" s="55"/>
      <c r="D1059" s="56"/>
      <c r="E1059" s="40"/>
      <c r="F1059" s="57"/>
      <c r="G1059" s="114"/>
      <c r="H1059" s="59"/>
      <c r="I1059" s="165"/>
      <c r="J1059" s="59"/>
      <c r="K1059" s="53"/>
      <c r="L1059" s="59"/>
      <c r="M1059" s="59"/>
      <c r="N1059" s="47" t="b">
        <v>0</v>
      </c>
      <c r="O1059" s="59"/>
      <c r="Q1059" s="54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</row>
    <row r="1060">
      <c r="A1060" s="59" t="b">
        <v>0</v>
      </c>
      <c r="B1060" s="54"/>
      <c r="C1060" s="55"/>
      <c r="D1060" s="56"/>
      <c r="E1060" s="40"/>
      <c r="F1060" s="57"/>
      <c r="G1060" s="114"/>
      <c r="H1060" s="59"/>
      <c r="I1060" s="165"/>
      <c r="J1060" s="59"/>
      <c r="K1060" s="53"/>
      <c r="L1060" s="59"/>
      <c r="M1060" s="59"/>
      <c r="N1060" s="47" t="b">
        <v>0</v>
      </c>
      <c r="O1060" s="59"/>
      <c r="Q1060" s="54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</row>
    <row r="1061">
      <c r="A1061" s="59" t="b">
        <v>0</v>
      </c>
      <c r="B1061" s="54"/>
      <c r="C1061" s="55"/>
      <c r="D1061" s="56"/>
      <c r="E1061" s="40"/>
      <c r="F1061" s="57"/>
      <c r="G1061" s="114"/>
      <c r="H1061" s="59"/>
      <c r="I1061" s="165"/>
      <c r="J1061" s="59"/>
      <c r="K1061" s="53"/>
      <c r="L1061" s="59"/>
      <c r="M1061" s="59"/>
      <c r="N1061" s="47" t="b">
        <v>0</v>
      </c>
      <c r="O1061" s="59"/>
      <c r="Q1061" s="54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</row>
    <row r="1062">
      <c r="A1062" s="59" t="b">
        <v>0</v>
      </c>
      <c r="B1062" s="54"/>
      <c r="C1062" s="55"/>
      <c r="D1062" s="56"/>
      <c r="E1062" s="40"/>
      <c r="F1062" s="57"/>
      <c r="G1062" s="114"/>
      <c r="H1062" s="59"/>
      <c r="I1062" s="165"/>
      <c r="J1062" s="59"/>
      <c r="K1062" s="53"/>
      <c r="L1062" s="59"/>
      <c r="M1062" s="59"/>
      <c r="N1062" s="47" t="b">
        <v>0</v>
      </c>
      <c r="O1062" s="59"/>
      <c r="Q1062" s="54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</row>
    <row r="1063">
      <c r="A1063" s="59" t="b">
        <v>0</v>
      </c>
      <c r="B1063" s="54"/>
      <c r="C1063" s="55"/>
      <c r="D1063" s="56"/>
      <c r="E1063" s="40"/>
      <c r="F1063" s="57"/>
      <c r="G1063" s="114"/>
      <c r="H1063" s="59"/>
      <c r="I1063" s="165"/>
      <c r="J1063" s="59"/>
      <c r="K1063" s="53"/>
      <c r="L1063" s="59"/>
      <c r="M1063" s="59"/>
      <c r="N1063" s="47" t="b">
        <v>0</v>
      </c>
      <c r="O1063" s="59"/>
      <c r="Q1063" s="54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</row>
    <row r="1064">
      <c r="A1064" s="59" t="b">
        <v>0</v>
      </c>
      <c r="B1064" s="54"/>
      <c r="C1064" s="55"/>
      <c r="D1064" s="56"/>
      <c r="E1064" s="40"/>
      <c r="F1064" s="57"/>
      <c r="G1064" s="114"/>
      <c r="H1064" s="59"/>
      <c r="I1064" s="165"/>
      <c r="J1064" s="59"/>
      <c r="K1064" s="53"/>
      <c r="L1064" s="59"/>
      <c r="M1064" s="59"/>
      <c r="N1064" s="47" t="b">
        <v>0</v>
      </c>
      <c r="O1064" s="59"/>
      <c r="Q1064" s="54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</row>
    <row r="1065">
      <c r="A1065" s="59" t="b">
        <v>0</v>
      </c>
      <c r="B1065" s="54"/>
      <c r="C1065" s="55"/>
      <c r="D1065" s="56"/>
      <c r="E1065" s="40"/>
      <c r="F1065" s="57"/>
      <c r="G1065" s="114"/>
      <c r="H1065" s="59"/>
      <c r="I1065" s="165"/>
      <c r="J1065" s="59"/>
      <c r="K1065" s="53"/>
      <c r="L1065" s="59"/>
      <c r="M1065" s="59"/>
      <c r="N1065" s="47" t="b">
        <v>0</v>
      </c>
      <c r="O1065" s="59"/>
      <c r="Q1065" s="54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</row>
    <row r="1066">
      <c r="A1066" s="59" t="b">
        <v>0</v>
      </c>
      <c r="B1066" s="54"/>
      <c r="C1066" s="55"/>
      <c r="D1066" s="56"/>
      <c r="E1066" s="40"/>
      <c r="F1066" s="57"/>
      <c r="G1066" s="114"/>
      <c r="H1066" s="59"/>
      <c r="I1066" s="165"/>
      <c r="J1066" s="59"/>
      <c r="K1066" s="53"/>
      <c r="L1066" s="59"/>
      <c r="M1066" s="59"/>
      <c r="N1066" s="47" t="b">
        <v>0</v>
      </c>
      <c r="O1066" s="59"/>
      <c r="Q1066" s="54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</row>
    <row r="1067">
      <c r="A1067" s="59" t="b">
        <v>0</v>
      </c>
      <c r="B1067" s="54"/>
      <c r="C1067" s="55"/>
      <c r="D1067" s="56"/>
      <c r="E1067" s="40"/>
      <c r="F1067" s="57"/>
      <c r="G1067" s="114"/>
      <c r="H1067" s="59"/>
      <c r="I1067" s="165"/>
      <c r="J1067" s="59"/>
      <c r="K1067" s="53"/>
      <c r="L1067" s="59"/>
      <c r="M1067" s="59"/>
      <c r="N1067" s="47" t="b">
        <v>0</v>
      </c>
      <c r="O1067" s="59"/>
      <c r="Q1067" s="54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</row>
    <row r="1068">
      <c r="A1068" s="59" t="b">
        <v>0</v>
      </c>
      <c r="B1068" s="54"/>
      <c r="C1068" s="55"/>
      <c r="D1068" s="56"/>
      <c r="E1068" s="40"/>
      <c r="F1068" s="57"/>
      <c r="G1068" s="114"/>
      <c r="H1068" s="59"/>
      <c r="I1068" s="165"/>
      <c r="J1068" s="59"/>
      <c r="K1068" s="53"/>
      <c r="L1068" s="59"/>
      <c r="M1068" s="59"/>
      <c r="N1068" s="47" t="b">
        <v>0</v>
      </c>
      <c r="O1068" s="59"/>
      <c r="Q1068" s="54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</row>
    <row r="1069">
      <c r="A1069" s="59" t="b">
        <v>0</v>
      </c>
      <c r="B1069" s="54"/>
      <c r="C1069" s="55"/>
      <c r="D1069" s="56"/>
      <c r="E1069" s="40"/>
      <c r="F1069" s="57"/>
      <c r="G1069" s="114"/>
      <c r="H1069" s="59"/>
      <c r="I1069" s="165"/>
      <c r="J1069" s="59"/>
      <c r="K1069" s="53"/>
      <c r="L1069" s="59"/>
      <c r="M1069" s="59"/>
      <c r="N1069" s="47" t="b">
        <v>0</v>
      </c>
      <c r="O1069" s="59"/>
      <c r="Q1069" s="54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</row>
    <row r="1070">
      <c r="A1070" s="59" t="b">
        <v>0</v>
      </c>
      <c r="B1070" s="54"/>
      <c r="C1070" s="55"/>
      <c r="D1070" s="56"/>
      <c r="E1070" s="40"/>
      <c r="F1070" s="57"/>
      <c r="G1070" s="114"/>
      <c r="H1070" s="59"/>
      <c r="I1070" s="165"/>
      <c r="J1070" s="59"/>
      <c r="K1070" s="53"/>
      <c r="L1070" s="59"/>
      <c r="M1070" s="59"/>
      <c r="N1070" s="47" t="b">
        <v>0</v>
      </c>
      <c r="O1070" s="59"/>
      <c r="Q1070" s="54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</row>
    <row r="1071">
      <c r="A1071" s="59" t="b">
        <v>0</v>
      </c>
      <c r="B1071" s="54"/>
      <c r="C1071" s="55"/>
      <c r="D1071" s="56"/>
      <c r="E1071" s="40"/>
      <c r="F1071" s="57"/>
      <c r="G1071" s="114"/>
      <c r="H1071" s="59"/>
      <c r="I1071" s="165"/>
      <c r="J1071" s="59"/>
      <c r="K1071" s="53"/>
      <c r="L1071" s="59"/>
      <c r="M1071" s="59"/>
      <c r="N1071" s="47" t="b">
        <v>0</v>
      </c>
      <c r="O1071" s="59"/>
      <c r="Q1071" s="54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</row>
    <row r="1072">
      <c r="A1072" s="59" t="b">
        <v>0</v>
      </c>
      <c r="B1072" s="54"/>
      <c r="C1072" s="55"/>
      <c r="D1072" s="56"/>
      <c r="E1072" s="40"/>
      <c r="F1072" s="57"/>
      <c r="G1072" s="114"/>
      <c r="H1072" s="59"/>
      <c r="I1072" s="165"/>
      <c r="J1072" s="59"/>
      <c r="K1072" s="53"/>
      <c r="L1072" s="59"/>
      <c r="M1072" s="59"/>
      <c r="N1072" s="47" t="b">
        <v>0</v>
      </c>
      <c r="O1072" s="59"/>
      <c r="Q1072" s="54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</row>
    <row r="1073">
      <c r="A1073" s="59" t="b">
        <v>0</v>
      </c>
      <c r="B1073" s="54"/>
      <c r="C1073" s="55"/>
      <c r="D1073" s="56"/>
      <c r="E1073" s="40"/>
      <c r="F1073" s="57"/>
      <c r="G1073" s="114"/>
      <c r="H1073" s="59"/>
      <c r="I1073" s="165"/>
      <c r="J1073" s="59"/>
      <c r="K1073" s="53"/>
      <c r="L1073" s="59"/>
      <c r="M1073" s="59"/>
      <c r="N1073" s="47" t="b">
        <v>0</v>
      </c>
      <c r="O1073" s="59"/>
      <c r="Q1073" s="54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</row>
    <row r="1074">
      <c r="A1074" s="59" t="b">
        <v>0</v>
      </c>
      <c r="B1074" s="54"/>
      <c r="C1074" s="55"/>
      <c r="D1074" s="56"/>
      <c r="E1074" s="40"/>
      <c r="F1074" s="57"/>
      <c r="G1074" s="114"/>
      <c r="H1074" s="59"/>
      <c r="I1074" s="165"/>
      <c r="J1074" s="59"/>
      <c r="K1074" s="53"/>
      <c r="L1074" s="59"/>
      <c r="M1074" s="59"/>
      <c r="N1074" s="47" t="b">
        <v>0</v>
      </c>
      <c r="O1074" s="59"/>
      <c r="Q1074" s="54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</row>
    <row r="1075">
      <c r="A1075" s="59" t="b">
        <v>0</v>
      </c>
      <c r="B1075" s="54"/>
      <c r="C1075" s="55"/>
      <c r="D1075" s="56"/>
      <c r="E1075" s="40"/>
      <c r="F1075" s="57"/>
      <c r="G1075" s="114"/>
      <c r="H1075" s="59"/>
      <c r="I1075" s="165"/>
      <c r="J1075" s="59"/>
      <c r="K1075" s="53"/>
      <c r="L1075" s="59"/>
      <c r="M1075" s="59"/>
      <c r="N1075" s="47" t="b">
        <v>0</v>
      </c>
      <c r="O1075" s="59"/>
      <c r="Q1075" s="54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</row>
    <row r="1076">
      <c r="A1076" s="59" t="b">
        <v>0</v>
      </c>
      <c r="B1076" s="54"/>
      <c r="C1076" s="55"/>
      <c r="D1076" s="56"/>
      <c r="E1076" s="40"/>
      <c r="F1076" s="57"/>
      <c r="G1076" s="114"/>
      <c r="H1076" s="59"/>
      <c r="I1076" s="165"/>
      <c r="J1076" s="59"/>
      <c r="K1076" s="53"/>
      <c r="L1076" s="59"/>
      <c r="M1076" s="59"/>
      <c r="N1076" s="47" t="b">
        <v>0</v>
      </c>
      <c r="O1076" s="59"/>
      <c r="Q1076" s="54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</row>
    <row r="1077">
      <c r="A1077" s="59" t="b">
        <v>0</v>
      </c>
      <c r="B1077" s="54"/>
      <c r="C1077" s="55"/>
      <c r="D1077" s="56"/>
      <c r="E1077" s="40"/>
      <c r="F1077" s="57"/>
      <c r="G1077" s="114"/>
      <c r="H1077" s="59"/>
      <c r="I1077" s="165"/>
      <c r="J1077" s="59"/>
      <c r="K1077" s="53"/>
      <c r="L1077" s="59"/>
      <c r="M1077" s="59"/>
      <c r="N1077" s="47" t="b">
        <v>0</v>
      </c>
      <c r="O1077" s="59"/>
      <c r="Q1077" s="54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</row>
    <row r="1078">
      <c r="A1078" s="59" t="b">
        <v>0</v>
      </c>
      <c r="B1078" s="54"/>
      <c r="C1078" s="55"/>
      <c r="D1078" s="56"/>
      <c r="E1078" s="40"/>
      <c r="F1078" s="57"/>
      <c r="G1078" s="114"/>
      <c r="H1078" s="59"/>
      <c r="I1078" s="165"/>
      <c r="J1078" s="59"/>
      <c r="K1078" s="53"/>
      <c r="L1078" s="59"/>
      <c r="M1078" s="59"/>
      <c r="N1078" s="47" t="b">
        <v>0</v>
      </c>
      <c r="O1078" s="59"/>
      <c r="Q1078" s="54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</row>
    <row r="1079">
      <c r="A1079" s="59" t="b">
        <v>0</v>
      </c>
      <c r="B1079" s="54"/>
      <c r="C1079" s="55"/>
      <c r="D1079" s="56"/>
      <c r="E1079" s="40"/>
      <c r="F1079" s="57"/>
      <c r="G1079" s="114"/>
      <c r="H1079" s="59"/>
      <c r="I1079" s="165"/>
      <c r="J1079" s="59"/>
      <c r="K1079" s="53"/>
      <c r="L1079" s="59"/>
      <c r="M1079" s="59"/>
      <c r="N1079" s="47" t="b">
        <v>0</v>
      </c>
      <c r="O1079" s="59"/>
      <c r="Q1079" s="54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</row>
    <row r="1080">
      <c r="A1080" s="59" t="b">
        <v>0</v>
      </c>
      <c r="B1080" s="54"/>
      <c r="C1080" s="55"/>
      <c r="D1080" s="56"/>
      <c r="E1080" s="40"/>
      <c r="F1080" s="57"/>
      <c r="G1080" s="114"/>
      <c r="H1080" s="59"/>
      <c r="I1080" s="165"/>
      <c r="J1080" s="59"/>
      <c r="K1080" s="53"/>
      <c r="L1080" s="59"/>
      <c r="M1080" s="59"/>
      <c r="N1080" s="47" t="b">
        <v>0</v>
      </c>
      <c r="O1080" s="59"/>
      <c r="Q1080" s="54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</row>
    <row r="1081">
      <c r="A1081" s="59" t="b">
        <v>0</v>
      </c>
      <c r="B1081" s="54"/>
      <c r="C1081" s="55"/>
      <c r="D1081" s="56"/>
      <c r="E1081" s="40"/>
      <c r="F1081" s="57"/>
      <c r="G1081" s="114"/>
      <c r="H1081" s="59"/>
      <c r="I1081" s="165"/>
      <c r="J1081" s="59"/>
      <c r="K1081" s="53"/>
      <c r="L1081" s="59"/>
      <c r="M1081" s="59"/>
      <c r="N1081" s="47" t="b">
        <v>0</v>
      </c>
      <c r="O1081" s="59"/>
      <c r="Q1081" s="54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</row>
    <row r="1082">
      <c r="A1082" s="59" t="b">
        <v>0</v>
      </c>
      <c r="B1082" s="54"/>
      <c r="C1082" s="55"/>
      <c r="D1082" s="56"/>
      <c r="E1082" s="40"/>
      <c r="F1082" s="57"/>
      <c r="G1082" s="114"/>
      <c r="H1082" s="59"/>
      <c r="I1082" s="165"/>
      <c r="J1082" s="59"/>
      <c r="K1082" s="53"/>
      <c r="L1082" s="59"/>
      <c r="M1082" s="59"/>
      <c r="N1082" s="47" t="b">
        <v>0</v>
      </c>
      <c r="O1082" s="59"/>
      <c r="Q1082" s="54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</row>
    <row r="1083">
      <c r="A1083" s="59" t="b">
        <v>0</v>
      </c>
      <c r="B1083" s="54"/>
      <c r="C1083" s="55"/>
      <c r="D1083" s="56"/>
      <c r="E1083" s="40"/>
      <c r="F1083" s="57"/>
      <c r="G1083" s="114"/>
      <c r="H1083" s="59"/>
      <c r="I1083" s="165"/>
      <c r="J1083" s="59"/>
      <c r="K1083" s="53"/>
      <c r="L1083" s="59"/>
      <c r="M1083" s="59"/>
      <c r="N1083" s="47" t="b">
        <v>0</v>
      </c>
      <c r="O1083" s="59"/>
      <c r="Q1083" s="54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</row>
    <row r="1084">
      <c r="A1084" s="59" t="b">
        <v>0</v>
      </c>
      <c r="B1084" s="54"/>
      <c r="C1084" s="55"/>
      <c r="D1084" s="56"/>
      <c r="E1084" s="40"/>
      <c r="F1084" s="57"/>
      <c r="G1084" s="114"/>
      <c r="H1084" s="59"/>
      <c r="I1084" s="165"/>
      <c r="J1084" s="59"/>
      <c r="K1084" s="53"/>
      <c r="L1084" s="59"/>
      <c r="M1084" s="59"/>
      <c r="N1084" s="47" t="b">
        <v>0</v>
      </c>
      <c r="O1084" s="59"/>
      <c r="Q1084" s="54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</row>
    <row r="1085">
      <c r="A1085" s="59" t="b">
        <v>0</v>
      </c>
      <c r="B1085" s="54"/>
      <c r="C1085" s="55"/>
      <c r="D1085" s="56"/>
      <c r="E1085" s="40"/>
      <c r="F1085" s="57"/>
      <c r="G1085" s="114"/>
      <c r="H1085" s="59"/>
      <c r="I1085" s="165"/>
      <c r="J1085" s="59"/>
      <c r="K1085" s="53"/>
      <c r="L1085" s="59"/>
      <c r="M1085" s="59"/>
      <c r="N1085" s="47" t="b">
        <v>0</v>
      </c>
      <c r="O1085" s="59"/>
      <c r="Q1085" s="54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</row>
    <row r="1086">
      <c r="A1086" s="59" t="b">
        <v>0</v>
      </c>
      <c r="B1086" s="54"/>
      <c r="C1086" s="55"/>
      <c r="D1086" s="56"/>
      <c r="E1086" s="40"/>
      <c r="F1086" s="57"/>
      <c r="G1086" s="114"/>
      <c r="H1086" s="59"/>
      <c r="I1086" s="165"/>
      <c r="J1086" s="59"/>
      <c r="K1086" s="53"/>
      <c r="L1086" s="59"/>
      <c r="M1086" s="59"/>
      <c r="N1086" s="47" t="b">
        <v>0</v>
      </c>
      <c r="O1086" s="59"/>
      <c r="Q1086" s="54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</row>
    <row r="1087">
      <c r="A1087" s="59" t="b">
        <v>0</v>
      </c>
      <c r="B1087" s="54"/>
      <c r="C1087" s="55"/>
      <c r="D1087" s="56"/>
      <c r="E1087" s="40"/>
      <c r="F1087" s="57"/>
      <c r="G1087" s="114"/>
      <c r="H1087" s="59"/>
      <c r="I1087" s="165"/>
      <c r="J1087" s="59"/>
      <c r="K1087" s="53"/>
      <c r="L1087" s="59"/>
      <c r="M1087" s="59"/>
      <c r="N1087" s="47" t="b">
        <v>0</v>
      </c>
      <c r="O1087" s="59"/>
      <c r="Q1087" s="54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</row>
    <row r="1088">
      <c r="A1088" s="59" t="b">
        <v>0</v>
      </c>
      <c r="B1088" s="54"/>
      <c r="C1088" s="55"/>
      <c r="D1088" s="56"/>
      <c r="E1088" s="40"/>
      <c r="F1088" s="57"/>
      <c r="G1088" s="114"/>
      <c r="H1088" s="59"/>
      <c r="I1088" s="165"/>
      <c r="J1088" s="59"/>
      <c r="K1088" s="53"/>
      <c r="L1088" s="59"/>
      <c r="M1088" s="59"/>
      <c r="N1088" s="47" t="b">
        <v>0</v>
      </c>
      <c r="O1088" s="59"/>
      <c r="Q1088" s="54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</row>
    <row r="1089">
      <c r="A1089" s="59" t="b">
        <v>0</v>
      </c>
      <c r="B1089" s="54"/>
      <c r="C1089" s="55"/>
      <c r="D1089" s="56"/>
      <c r="E1089" s="40"/>
      <c r="F1089" s="57"/>
      <c r="G1089" s="114"/>
      <c r="H1089" s="59"/>
      <c r="I1089" s="165"/>
      <c r="J1089" s="59"/>
      <c r="K1089" s="53"/>
      <c r="L1089" s="59"/>
      <c r="M1089" s="59"/>
      <c r="N1089" s="47" t="b">
        <v>0</v>
      </c>
      <c r="O1089" s="59"/>
      <c r="Q1089" s="54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</row>
    <row r="1090">
      <c r="A1090" s="59" t="b">
        <v>0</v>
      </c>
      <c r="B1090" s="54"/>
      <c r="C1090" s="55"/>
      <c r="D1090" s="56"/>
      <c r="E1090" s="40"/>
      <c r="F1090" s="57"/>
      <c r="G1090" s="114"/>
      <c r="H1090" s="59"/>
      <c r="I1090" s="165"/>
      <c r="J1090" s="59"/>
      <c r="K1090" s="53"/>
      <c r="L1090" s="59"/>
      <c r="M1090" s="59"/>
      <c r="N1090" s="47" t="b">
        <v>0</v>
      </c>
      <c r="O1090" s="59"/>
      <c r="Q1090" s="54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</row>
    <row r="1091">
      <c r="A1091" s="59" t="b">
        <v>0</v>
      </c>
      <c r="B1091" s="54"/>
      <c r="C1091" s="55"/>
      <c r="D1091" s="56"/>
      <c r="E1091" s="40"/>
      <c r="F1091" s="57"/>
      <c r="G1091" s="114"/>
      <c r="H1091" s="59"/>
      <c r="I1091" s="165"/>
      <c r="J1091" s="59"/>
      <c r="K1091" s="53"/>
      <c r="L1091" s="59"/>
      <c r="M1091" s="59"/>
      <c r="N1091" s="47" t="b">
        <v>0</v>
      </c>
      <c r="O1091" s="59"/>
      <c r="Q1091" s="54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</row>
    <row r="1092">
      <c r="A1092" s="59" t="b">
        <v>0</v>
      </c>
      <c r="B1092" s="54"/>
      <c r="C1092" s="55"/>
      <c r="D1092" s="56"/>
      <c r="E1092" s="40"/>
      <c r="F1092" s="57"/>
      <c r="G1092" s="114"/>
      <c r="H1092" s="59"/>
      <c r="I1092" s="165"/>
      <c r="J1092" s="59"/>
      <c r="K1092" s="53"/>
      <c r="L1092" s="59"/>
      <c r="M1092" s="59"/>
      <c r="N1092" s="47" t="b">
        <v>0</v>
      </c>
      <c r="O1092" s="59"/>
      <c r="Q1092" s="54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</row>
    <row r="1093">
      <c r="A1093" s="59" t="b">
        <v>0</v>
      </c>
      <c r="B1093" s="54"/>
      <c r="C1093" s="55"/>
      <c r="D1093" s="56"/>
      <c r="E1093" s="40"/>
      <c r="F1093" s="57"/>
      <c r="G1093" s="114"/>
      <c r="H1093" s="59"/>
      <c r="I1093" s="165"/>
      <c r="J1093" s="59"/>
      <c r="K1093" s="53"/>
      <c r="L1093" s="59"/>
      <c r="M1093" s="59"/>
      <c r="N1093" s="47" t="b">
        <v>0</v>
      </c>
      <c r="O1093" s="59"/>
      <c r="Q1093" s="54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</row>
    <row r="1094">
      <c r="A1094" s="59" t="b">
        <v>0</v>
      </c>
      <c r="B1094" s="54"/>
      <c r="C1094" s="55"/>
      <c r="D1094" s="56"/>
      <c r="E1094" s="40"/>
      <c r="F1094" s="57"/>
      <c r="G1094" s="114"/>
      <c r="H1094" s="59"/>
      <c r="I1094" s="165"/>
      <c r="J1094" s="59"/>
      <c r="K1094" s="53"/>
      <c r="L1094" s="59"/>
      <c r="M1094" s="59"/>
      <c r="N1094" s="47" t="b">
        <v>0</v>
      </c>
      <c r="O1094" s="59"/>
      <c r="Q1094" s="54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</row>
    <row r="1095">
      <c r="A1095" s="59" t="b">
        <v>0</v>
      </c>
      <c r="B1095" s="54"/>
      <c r="C1095" s="55"/>
      <c r="D1095" s="56"/>
      <c r="E1095" s="40"/>
      <c r="F1095" s="57"/>
      <c r="G1095" s="114"/>
      <c r="H1095" s="59"/>
      <c r="I1095" s="165"/>
      <c r="J1095" s="59"/>
      <c r="K1095" s="53"/>
      <c r="L1095" s="59"/>
      <c r="M1095" s="59"/>
      <c r="N1095" s="47" t="b">
        <v>0</v>
      </c>
      <c r="O1095" s="59"/>
      <c r="Q1095" s="54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</row>
    <row r="1096">
      <c r="A1096" s="59" t="b">
        <v>0</v>
      </c>
      <c r="B1096" s="54"/>
      <c r="C1096" s="55"/>
      <c r="D1096" s="56"/>
      <c r="E1096" s="40"/>
      <c r="F1096" s="57"/>
      <c r="G1096" s="114"/>
      <c r="H1096" s="59"/>
      <c r="I1096" s="165"/>
      <c r="J1096" s="59"/>
      <c r="K1096" s="53"/>
      <c r="L1096" s="59"/>
      <c r="M1096" s="59"/>
      <c r="N1096" s="47" t="b">
        <v>0</v>
      </c>
      <c r="O1096" s="59"/>
      <c r="Q1096" s="54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</row>
    <row r="1097">
      <c r="A1097" s="59" t="b">
        <v>0</v>
      </c>
      <c r="B1097" s="54"/>
      <c r="C1097" s="55"/>
      <c r="D1097" s="56"/>
      <c r="E1097" s="40"/>
      <c r="F1097" s="57"/>
      <c r="G1097" s="114"/>
      <c r="H1097" s="59"/>
      <c r="I1097" s="165"/>
      <c r="J1097" s="59"/>
      <c r="K1097" s="53"/>
      <c r="L1097" s="59"/>
      <c r="M1097" s="59"/>
      <c r="N1097" s="47" t="b">
        <v>0</v>
      </c>
      <c r="O1097" s="59"/>
      <c r="Q1097" s="54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</row>
    <row r="1098">
      <c r="A1098" s="59" t="b">
        <v>0</v>
      </c>
      <c r="B1098" s="54"/>
      <c r="C1098" s="55"/>
      <c r="D1098" s="56"/>
      <c r="E1098" s="40"/>
      <c r="F1098" s="57"/>
      <c r="G1098" s="114"/>
      <c r="H1098" s="59"/>
      <c r="I1098" s="165"/>
      <c r="J1098" s="59"/>
      <c r="K1098" s="53"/>
      <c r="L1098" s="59"/>
      <c r="M1098" s="59"/>
      <c r="N1098" s="47" t="b">
        <v>0</v>
      </c>
      <c r="O1098" s="59"/>
      <c r="Q1098" s="54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</row>
    <row r="1099">
      <c r="A1099" s="59" t="b">
        <v>0</v>
      </c>
      <c r="B1099" s="54"/>
      <c r="C1099" s="55"/>
      <c r="D1099" s="56"/>
      <c r="E1099" s="40"/>
      <c r="F1099" s="57"/>
      <c r="G1099" s="114"/>
      <c r="H1099" s="59"/>
      <c r="I1099" s="165"/>
      <c r="J1099" s="59"/>
      <c r="K1099" s="53"/>
      <c r="L1099" s="59"/>
      <c r="M1099" s="59"/>
      <c r="N1099" s="47" t="b">
        <v>0</v>
      </c>
      <c r="O1099" s="59"/>
      <c r="Q1099" s="54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</row>
    <row r="1100">
      <c r="A1100" s="59" t="b">
        <v>0</v>
      </c>
      <c r="B1100" s="54"/>
      <c r="C1100" s="55"/>
      <c r="D1100" s="56"/>
      <c r="E1100" s="40"/>
      <c r="F1100" s="57"/>
      <c r="G1100" s="114"/>
      <c r="H1100" s="59"/>
      <c r="I1100" s="165"/>
      <c r="J1100" s="59"/>
      <c r="K1100" s="53"/>
      <c r="L1100" s="59"/>
      <c r="M1100" s="59"/>
      <c r="N1100" s="47" t="b">
        <v>0</v>
      </c>
      <c r="O1100" s="59"/>
      <c r="Q1100" s="54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</row>
    <row r="1101">
      <c r="A1101" s="59" t="b">
        <v>0</v>
      </c>
      <c r="B1101" s="54"/>
      <c r="C1101" s="55"/>
      <c r="D1101" s="56"/>
      <c r="E1101" s="40"/>
      <c r="F1101" s="57"/>
      <c r="G1101" s="114"/>
      <c r="H1101" s="59"/>
      <c r="I1101" s="165"/>
      <c r="J1101" s="59"/>
      <c r="K1101" s="53"/>
      <c r="L1101" s="59"/>
      <c r="M1101" s="59"/>
      <c r="N1101" s="47" t="b">
        <v>0</v>
      </c>
      <c r="O1101" s="59"/>
      <c r="Q1101" s="54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</row>
    <row r="1102">
      <c r="A1102" s="59" t="b">
        <v>0</v>
      </c>
      <c r="B1102" s="54"/>
      <c r="C1102" s="55"/>
      <c r="D1102" s="56"/>
      <c r="E1102" s="40"/>
      <c r="F1102" s="57"/>
      <c r="G1102" s="114"/>
      <c r="H1102" s="59"/>
      <c r="I1102" s="165"/>
      <c r="J1102" s="59"/>
      <c r="K1102" s="53"/>
      <c r="L1102" s="59"/>
      <c r="M1102" s="59"/>
      <c r="N1102" s="47" t="b">
        <v>0</v>
      </c>
      <c r="O1102" s="59"/>
      <c r="Q1102" s="54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</row>
    <row r="1103">
      <c r="A1103" s="59" t="b">
        <v>0</v>
      </c>
      <c r="B1103" s="54"/>
      <c r="C1103" s="55"/>
      <c r="D1103" s="56"/>
      <c r="E1103" s="40"/>
      <c r="F1103" s="57"/>
      <c r="G1103" s="114"/>
      <c r="H1103" s="59"/>
      <c r="I1103" s="165"/>
      <c r="J1103" s="59"/>
      <c r="K1103" s="53"/>
      <c r="L1103" s="59"/>
      <c r="M1103" s="59"/>
      <c r="N1103" s="47" t="b">
        <v>0</v>
      </c>
      <c r="O1103" s="59"/>
      <c r="Q1103" s="54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</row>
    <row r="1104">
      <c r="A1104" s="59" t="b">
        <v>0</v>
      </c>
      <c r="B1104" s="54"/>
      <c r="C1104" s="55"/>
      <c r="D1104" s="56"/>
      <c r="E1104" s="40"/>
      <c r="F1104" s="57"/>
      <c r="G1104" s="114"/>
      <c r="H1104" s="59"/>
      <c r="I1104" s="165"/>
      <c r="J1104" s="59"/>
      <c r="K1104" s="53"/>
      <c r="L1104" s="59"/>
      <c r="M1104" s="59"/>
      <c r="N1104" s="47" t="b">
        <v>0</v>
      </c>
      <c r="O1104" s="59"/>
      <c r="Q1104" s="54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</row>
    <row r="1105">
      <c r="A1105" s="59" t="b">
        <v>0</v>
      </c>
      <c r="B1105" s="54"/>
      <c r="C1105" s="55"/>
      <c r="D1105" s="56"/>
      <c r="E1105" s="40"/>
      <c r="F1105" s="57"/>
      <c r="G1105" s="114"/>
      <c r="H1105" s="59"/>
      <c r="I1105" s="165"/>
      <c r="J1105" s="59"/>
      <c r="K1105" s="53"/>
      <c r="L1105" s="59"/>
      <c r="M1105" s="59"/>
      <c r="N1105" s="47" t="b">
        <v>0</v>
      </c>
      <c r="O1105" s="59"/>
      <c r="Q1105" s="54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</row>
    <row r="1106">
      <c r="A1106" s="59" t="b">
        <v>0</v>
      </c>
      <c r="B1106" s="54"/>
      <c r="C1106" s="55"/>
      <c r="D1106" s="56"/>
      <c r="E1106" s="40"/>
      <c r="F1106" s="57"/>
      <c r="G1106" s="114"/>
      <c r="H1106" s="59"/>
      <c r="I1106" s="165"/>
      <c r="J1106" s="59"/>
      <c r="K1106" s="53"/>
      <c r="L1106" s="59"/>
      <c r="M1106" s="59"/>
      <c r="N1106" s="47" t="b">
        <v>0</v>
      </c>
      <c r="O1106" s="59"/>
      <c r="Q1106" s="54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</row>
    <row r="1107">
      <c r="A1107" s="59" t="b">
        <v>0</v>
      </c>
      <c r="B1107" s="54"/>
      <c r="C1107" s="55"/>
      <c r="D1107" s="56"/>
      <c r="E1107" s="40"/>
      <c r="F1107" s="57"/>
      <c r="G1107" s="114"/>
      <c r="H1107" s="59"/>
      <c r="I1107" s="165"/>
      <c r="J1107" s="59"/>
      <c r="K1107" s="53"/>
      <c r="L1107" s="59"/>
      <c r="M1107" s="59"/>
      <c r="N1107" s="47" t="b">
        <v>0</v>
      </c>
      <c r="O1107" s="59"/>
      <c r="Q1107" s="54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</row>
    <row r="1108">
      <c r="A1108" s="59" t="b">
        <v>0</v>
      </c>
      <c r="B1108" s="54"/>
      <c r="C1108" s="55"/>
      <c r="D1108" s="56"/>
      <c r="E1108" s="40"/>
      <c r="F1108" s="57"/>
      <c r="G1108" s="114"/>
      <c r="H1108" s="59"/>
      <c r="I1108" s="165"/>
      <c r="J1108" s="59"/>
      <c r="K1108" s="53"/>
      <c r="L1108" s="59"/>
      <c r="M1108" s="59"/>
      <c r="N1108" s="47" t="b">
        <v>0</v>
      </c>
      <c r="O1108" s="59"/>
      <c r="Q1108" s="54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</row>
    <row r="1109">
      <c r="A1109" s="59" t="b">
        <v>0</v>
      </c>
      <c r="B1109" s="54"/>
      <c r="C1109" s="55"/>
      <c r="D1109" s="56"/>
      <c r="E1109" s="40"/>
      <c r="F1109" s="57"/>
      <c r="G1109" s="114"/>
      <c r="H1109" s="59"/>
      <c r="I1109" s="165"/>
      <c r="J1109" s="59"/>
      <c r="K1109" s="53"/>
      <c r="L1109" s="59"/>
      <c r="M1109" s="59"/>
      <c r="N1109" s="47" t="b">
        <v>0</v>
      </c>
      <c r="O1109" s="59"/>
      <c r="Q1109" s="54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</row>
    <row r="1110">
      <c r="A1110" s="59" t="b">
        <v>0</v>
      </c>
      <c r="B1110" s="54"/>
      <c r="C1110" s="55"/>
      <c r="D1110" s="56"/>
      <c r="E1110" s="40"/>
      <c r="F1110" s="57"/>
      <c r="G1110" s="114"/>
      <c r="H1110" s="59"/>
      <c r="I1110" s="165"/>
      <c r="J1110" s="59"/>
      <c r="K1110" s="53"/>
      <c r="L1110" s="59"/>
      <c r="M1110" s="59"/>
      <c r="N1110" s="47" t="b">
        <v>0</v>
      </c>
      <c r="O1110" s="59"/>
      <c r="Q1110" s="54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</row>
    <row r="1111">
      <c r="A1111" s="59" t="b">
        <v>0</v>
      </c>
      <c r="B1111" s="54"/>
      <c r="C1111" s="55"/>
      <c r="D1111" s="56"/>
      <c r="E1111" s="40"/>
      <c r="F1111" s="57"/>
      <c r="G1111" s="114"/>
      <c r="H1111" s="59"/>
      <c r="I1111" s="165"/>
      <c r="J1111" s="59"/>
      <c r="K1111" s="53"/>
      <c r="L1111" s="59"/>
      <c r="M1111" s="59"/>
      <c r="N1111" s="47" t="b">
        <v>0</v>
      </c>
      <c r="O1111" s="59"/>
      <c r="Q1111" s="54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</row>
    <row r="1112">
      <c r="A1112" s="59" t="b">
        <v>0</v>
      </c>
      <c r="B1112" s="54"/>
      <c r="C1112" s="55"/>
      <c r="D1112" s="56"/>
      <c r="E1112" s="40"/>
      <c r="F1112" s="57"/>
      <c r="G1112" s="114"/>
      <c r="H1112" s="59"/>
      <c r="I1112" s="165"/>
      <c r="J1112" s="59"/>
      <c r="K1112" s="53"/>
      <c r="L1112" s="59"/>
      <c r="M1112" s="59"/>
      <c r="N1112" s="47" t="b">
        <v>0</v>
      </c>
      <c r="O1112" s="59"/>
      <c r="Q1112" s="54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</row>
    <row r="1113">
      <c r="A1113" s="59" t="b">
        <v>0</v>
      </c>
      <c r="B1113" s="54"/>
      <c r="C1113" s="55"/>
      <c r="D1113" s="56"/>
      <c r="E1113" s="40"/>
      <c r="F1113" s="57"/>
      <c r="G1113" s="114"/>
      <c r="H1113" s="59"/>
      <c r="I1113" s="165"/>
      <c r="J1113" s="59"/>
      <c r="K1113" s="53"/>
      <c r="L1113" s="59"/>
      <c r="M1113" s="59"/>
      <c r="N1113" s="47" t="b">
        <v>0</v>
      </c>
      <c r="O1113" s="59"/>
      <c r="Q1113" s="54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</row>
    <row r="1114">
      <c r="A1114" s="59" t="b">
        <v>0</v>
      </c>
      <c r="B1114" s="54"/>
      <c r="C1114" s="55"/>
      <c r="D1114" s="56"/>
      <c r="E1114" s="40"/>
      <c r="F1114" s="57"/>
      <c r="G1114" s="114"/>
      <c r="H1114" s="59"/>
      <c r="I1114" s="165"/>
      <c r="J1114" s="59"/>
      <c r="K1114" s="53"/>
      <c r="L1114" s="59"/>
      <c r="M1114" s="59"/>
      <c r="N1114" s="47" t="b">
        <v>0</v>
      </c>
      <c r="O1114" s="59"/>
      <c r="Q1114" s="54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</row>
    <row r="1115">
      <c r="A1115" s="59" t="b">
        <v>0</v>
      </c>
      <c r="B1115" s="54"/>
      <c r="C1115" s="55"/>
      <c r="D1115" s="56"/>
      <c r="E1115" s="40"/>
      <c r="F1115" s="57"/>
      <c r="G1115" s="114"/>
      <c r="H1115" s="59"/>
      <c r="I1115" s="165"/>
      <c r="J1115" s="59"/>
      <c r="K1115" s="53"/>
      <c r="L1115" s="59"/>
      <c r="M1115" s="59"/>
      <c r="N1115" s="47" t="b">
        <v>0</v>
      </c>
      <c r="O1115" s="59"/>
      <c r="Q1115" s="54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</row>
    <row r="1116">
      <c r="A1116" s="59" t="b">
        <v>0</v>
      </c>
      <c r="B1116" s="54"/>
      <c r="C1116" s="55"/>
      <c r="D1116" s="56"/>
      <c r="E1116" s="40"/>
      <c r="F1116" s="57"/>
      <c r="G1116" s="114"/>
      <c r="H1116" s="59"/>
      <c r="I1116" s="165"/>
      <c r="J1116" s="59"/>
      <c r="K1116" s="53"/>
      <c r="L1116" s="59"/>
      <c r="M1116" s="59"/>
      <c r="N1116" s="47" t="b">
        <v>0</v>
      </c>
      <c r="O1116" s="59"/>
      <c r="Q1116" s="54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</row>
    <row r="1117">
      <c r="A1117" s="59" t="b">
        <v>0</v>
      </c>
      <c r="B1117" s="54"/>
      <c r="C1117" s="55"/>
      <c r="D1117" s="56"/>
      <c r="E1117" s="40"/>
      <c r="F1117" s="57"/>
      <c r="G1117" s="114"/>
      <c r="H1117" s="59"/>
      <c r="I1117" s="165"/>
      <c r="J1117" s="59"/>
      <c r="K1117" s="53"/>
      <c r="L1117" s="59"/>
      <c r="M1117" s="59"/>
      <c r="N1117" s="47" t="b">
        <v>0</v>
      </c>
      <c r="O1117" s="59"/>
      <c r="Q1117" s="54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</row>
    <row r="1118">
      <c r="A1118" s="59" t="b">
        <v>0</v>
      </c>
      <c r="B1118" s="54"/>
      <c r="C1118" s="55"/>
      <c r="D1118" s="56"/>
      <c r="E1118" s="40"/>
      <c r="F1118" s="57"/>
      <c r="G1118" s="114"/>
      <c r="H1118" s="59"/>
      <c r="I1118" s="165"/>
      <c r="J1118" s="59"/>
      <c r="K1118" s="53"/>
      <c r="L1118" s="59"/>
      <c r="M1118" s="59"/>
      <c r="N1118" s="47" t="b">
        <v>0</v>
      </c>
      <c r="O1118" s="59"/>
      <c r="Q1118" s="54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</row>
    <row r="1119">
      <c r="A1119" s="59" t="b">
        <v>0</v>
      </c>
      <c r="B1119" s="54"/>
      <c r="C1119" s="55"/>
      <c r="D1119" s="56"/>
      <c r="E1119" s="40"/>
      <c r="F1119" s="57"/>
      <c r="G1119" s="114"/>
      <c r="H1119" s="59"/>
      <c r="I1119" s="165"/>
      <c r="J1119" s="59"/>
      <c r="K1119" s="53"/>
      <c r="L1119" s="59"/>
      <c r="M1119" s="59"/>
      <c r="N1119" s="47" t="b">
        <v>0</v>
      </c>
      <c r="O1119" s="59"/>
      <c r="Q1119" s="54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</row>
    <row r="1120">
      <c r="A1120" s="59" t="b">
        <v>0</v>
      </c>
      <c r="B1120" s="54"/>
      <c r="C1120" s="55"/>
      <c r="D1120" s="56"/>
      <c r="E1120" s="40"/>
      <c r="F1120" s="57"/>
      <c r="G1120" s="114"/>
      <c r="H1120" s="59"/>
      <c r="I1120" s="165"/>
      <c r="J1120" s="59"/>
      <c r="K1120" s="53"/>
      <c r="L1120" s="59"/>
      <c r="M1120" s="59"/>
      <c r="N1120" s="47" t="b">
        <v>0</v>
      </c>
      <c r="O1120" s="59"/>
      <c r="Q1120" s="54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</row>
    <row r="1121">
      <c r="A1121" s="59" t="b">
        <v>0</v>
      </c>
      <c r="B1121" s="54"/>
      <c r="C1121" s="55"/>
      <c r="D1121" s="56"/>
      <c r="E1121" s="40"/>
      <c r="F1121" s="57"/>
      <c r="G1121" s="114"/>
      <c r="H1121" s="59"/>
      <c r="I1121" s="165"/>
      <c r="J1121" s="59"/>
      <c r="K1121" s="53"/>
      <c r="L1121" s="59"/>
      <c r="M1121" s="59"/>
      <c r="N1121" s="47" t="b">
        <v>0</v>
      </c>
      <c r="O1121" s="59"/>
      <c r="Q1121" s="54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</row>
    <row r="1122">
      <c r="A1122" s="59" t="b">
        <v>0</v>
      </c>
      <c r="B1122" s="54"/>
      <c r="C1122" s="55"/>
      <c r="D1122" s="56"/>
      <c r="E1122" s="40"/>
      <c r="F1122" s="57"/>
      <c r="G1122" s="114"/>
      <c r="H1122" s="59"/>
      <c r="I1122" s="165"/>
      <c r="J1122" s="59"/>
      <c r="K1122" s="53"/>
      <c r="L1122" s="59"/>
      <c r="M1122" s="59"/>
      <c r="N1122" s="47" t="b">
        <v>0</v>
      </c>
      <c r="O1122" s="59"/>
      <c r="Q1122" s="54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</row>
    <row r="1123">
      <c r="A1123" s="59" t="b">
        <v>0</v>
      </c>
      <c r="B1123" s="54"/>
      <c r="C1123" s="55"/>
      <c r="D1123" s="56"/>
      <c r="E1123" s="40"/>
      <c r="F1123" s="57"/>
      <c r="G1123" s="114"/>
      <c r="H1123" s="59"/>
      <c r="I1123" s="165"/>
      <c r="J1123" s="59"/>
      <c r="K1123" s="53"/>
      <c r="L1123" s="59"/>
      <c r="M1123" s="59"/>
      <c r="N1123" s="47" t="b">
        <v>0</v>
      </c>
      <c r="O1123" s="59"/>
      <c r="Q1123" s="54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</row>
    <row r="1124">
      <c r="A1124" s="59" t="b">
        <v>0</v>
      </c>
      <c r="B1124" s="54"/>
      <c r="C1124" s="55"/>
      <c r="D1124" s="56"/>
      <c r="E1124" s="40"/>
      <c r="F1124" s="57"/>
      <c r="G1124" s="114"/>
      <c r="H1124" s="59"/>
      <c r="I1124" s="165"/>
      <c r="J1124" s="59"/>
      <c r="K1124" s="53"/>
      <c r="L1124" s="59"/>
      <c r="M1124" s="59"/>
      <c r="N1124" s="47" t="b">
        <v>0</v>
      </c>
      <c r="O1124" s="59"/>
      <c r="Q1124" s="54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</row>
    <row r="1125">
      <c r="A1125" s="59" t="b">
        <v>0</v>
      </c>
      <c r="B1125" s="54"/>
      <c r="C1125" s="55"/>
      <c r="D1125" s="56"/>
      <c r="E1125" s="40"/>
      <c r="F1125" s="57"/>
      <c r="G1125" s="114"/>
      <c r="H1125" s="59"/>
      <c r="I1125" s="165"/>
      <c r="J1125" s="59"/>
      <c r="K1125" s="53"/>
      <c r="L1125" s="59"/>
      <c r="M1125" s="59"/>
      <c r="N1125" s="47" t="b">
        <v>0</v>
      </c>
      <c r="O1125" s="59"/>
      <c r="Q1125" s="54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</row>
    <row r="1126">
      <c r="A1126" s="59" t="b">
        <v>0</v>
      </c>
      <c r="B1126" s="54"/>
      <c r="C1126" s="55"/>
      <c r="D1126" s="56"/>
      <c r="E1126" s="40"/>
      <c r="F1126" s="57"/>
      <c r="G1126" s="114"/>
      <c r="H1126" s="59"/>
      <c r="I1126" s="165"/>
      <c r="J1126" s="59"/>
      <c r="K1126" s="53"/>
      <c r="L1126" s="59"/>
      <c r="M1126" s="59"/>
      <c r="N1126" s="47" t="b">
        <v>0</v>
      </c>
      <c r="O1126" s="59"/>
      <c r="Q1126" s="54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</row>
    <row r="1127">
      <c r="A1127" s="59" t="b">
        <v>0</v>
      </c>
      <c r="B1127" s="54"/>
      <c r="C1127" s="55"/>
      <c r="D1127" s="56"/>
      <c r="E1127" s="40"/>
      <c r="F1127" s="57"/>
      <c r="G1127" s="114"/>
      <c r="H1127" s="59"/>
      <c r="I1127" s="165"/>
      <c r="J1127" s="59"/>
      <c r="K1127" s="53"/>
      <c r="L1127" s="59"/>
      <c r="M1127" s="59"/>
      <c r="N1127" s="47" t="b">
        <v>0</v>
      </c>
      <c r="O1127" s="59"/>
      <c r="Q1127" s="54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</row>
    <row r="1128">
      <c r="A1128" s="59" t="b">
        <v>0</v>
      </c>
      <c r="B1128" s="54"/>
      <c r="C1128" s="55"/>
      <c r="D1128" s="56"/>
      <c r="E1128" s="40"/>
      <c r="F1128" s="57"/>
      <c r="G1128" s="114"/>
      <c r="H1128" s="59"/>
      <c r="I1128" s="165"/>
      <c r="J1128" s="59"/>
      <c r="K1128" s="53"/>
      <c r="L1128" s="59"/>
      <c r="M1128" s="59"/>
      <c r="N1128" s="47" t="b">
        <v>0</v>
      </c>
      <c r="O1128" s="59"/>
      <c r="Q1128" s="54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</row>
    <row r="1129">
      <c r="A1129" s="59" t="b">
        <v>0</v>
      </c>
      <c r="B1129" s="54"/>
      <c r="C1129" s="55"/>
      <c r="D1129" s="56"/>
      <c r="E1129" s="40"/>
      <c r="F1129" s="57"/>
      <c r="G1129" s="114"/>
      <c r="H1129" s="59"/>
      <c r="I1129" s="165"/>
      <c r="J1129" s="59"/>
      <c r="K1129" s="53"/>
      <c r="L1129" s="59"/>
      <c r="M1129" s="59"/>
      <c r="N1129" s="47" t="b">
        <v>0</v>
      </c>
      <c r="O1129" s="59"/>
      <c r="Q1129" s="54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</row>
    <row r="1130">
      <c r="A1130" s="59" t="b">
        <v>0</v>
      </c>
      <c r="B1130" s="54"/>
      <c r="C1130" s="55"/>
      <c r="D1130" s="56"/>
      <c r="E1130" s="40"/>
      <c r="F1130" s="57"/>
      <c r="G1130" s="114"/>
      <c r="H1130" s="59"/>
      <c r="I1130" s="165"/>
      <c r="J1130" s="59"/>
      <c r="K1130" s="53"/>
      <c r="L1130" s="59"/>
      <c r="M1130" s="59"/>
      <c r="N1130" s="47" t="b">
        <v>0</v>
      </c>
      <c r="O1130" s="59"/>
      <c r="Q1130" s="54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</row>
    <row r="1131">
      <c r="A1131" s="59" t="b">
        <v>0</v>
      </c>
      <c r="B1131" s="54"/>
      <c r="C1131" s="55"/>
      <c r="D1131" s="56"/>
      <c r="E1131" s="40"/>
      <c r="F1131" s="57"/>
      <c r="G1131" s="114"/>
      <c r="H1131" s="59"/>
      <c r="I1131" s="165"/>
      <c r="J1131" s="59"/>
      <c r="K1131" s="53"/>
      <c r="L1131" s="59"/>
      <c r="M1131" s="59"/>
      <c r="N1131" s="47" t="b">
        <v>0</v>
      </c>
      <c r="O1131" s="59"/>
      <c r="Q1131" s="54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</row>
    <row r="1132">
      <c r="A1132" s="59" t="b">
        <v>0</v>
      </c>
      <c r="B1132" s="54"/>
      <c r="C1132" s="55"/>
      <c r="D1132" s="56"/>
      <c r="E1132" s="40"/>
      <c r="F1132" s="57"/>
      <c r="G1132" s="114"/>
      <c r="H1132" s="59"/>
      <c r="I1132" s="165"/>
      <c r="J1132" s="59"/>
      <c r="K1132" s="53"/>
      <c r="L1132" s="59"/>
      <c r="M1132" s="59"/>
      <c r="N1132" s="47" t="b">
        <v>0</v>
      </c>
      <c r="O1132" s="59"/>
      <c r="Q1132" s="54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</row>
    <row r="1133">
      <c r="A1133" s="59" t="b">
        <v>0</v>
      </c>
      <c r="B1133" s="54"/>
      <c r="C1133" s="55"/>
      <c r="D1133" s="56"/>
      <c r="E1133" s="40"/>
      <c r="F1133" s="57"/>
      <c r="G1133" s="114"/>
      <c r="H1133" s="59"/>
      <c r="I1133" s="165"/>
      <c r="J1133" s="59"/>
      <c r="K1133" s="53"/>
      <c r="L1133" s="59"/>
      <c r="M1133" s="59"/>
      <c r="N1133" s="47" t="b">
        <v>0</v>
      </c>
      <c r="O1133" s="59"/>
      <c r="Q1133" s="54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</row>
    <row r="1134">
      <c r="A1134" s="59" t="b">
        <v>0</v>
      </c>
      <c r="B1134" s="54"/>
      <c r="C1134" s="55"/>
      <c r="D1134" s="56"/>
      <c r="E1134" s="40"/>
      <c r="F1134" s="57"/>
      <c r="G1134" s="114"/>
      <c r="H1134" s="59"/>
      <c r="I1134" s="165"/>
      <c r="J1134" s="59"/>
      <c r="K1134" s="53"/>
      <c r="L1134" s="59"/>
      <c r="M1134" s="59"/>
      <c r="N1134" s="47" t="b">
        <v>0</v>
      </c>
      <c r="O1134" s="59"/>
      <c r="Q1134" s="54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</row>
    <row r="1135">
      <c r="A1135" s="59" t="b">
        <v>0</v>
      </c>
      <c r="B1135" s="54"/>
      <c r="C1135" s="55"/>
      <c r="D1135" s="56"/>
      <c r="E1135" s="40"/>
      <c r="F1135" s="57"/>
      <c r="G1135" s="114"/>
      <c r="H1135" s="59"/>
      <c r="I1135" s="165"/>
      <c r="J1135" s="59"/>
      <c r="K1135" s="53"/>
      <c r="L1135" s="59"/>
      <c r="M1135" s="59"/>
      <c r="N1135" s="47" t="b">
        <v>0</v>
      </c>
      <c r="O1135" s="59"/>
      <c r="Q1135" s="54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</row>
    <row r="1136">
      <c r="A1136" s="59" t="b">
        <v>0</v>
      </c>
      <c r="B1136" s="54"/>
      <c r="C1136" s="55"/>
      <c r="D1136" s="56"/>
      <c r="E1136" s="40"/>
      <c r="F1136" s="57"/>
      <c r="G1136" s="114"/>
      <c r="H1136" s="59"/>
      <c r="I1136" s="165"/>
      <c r="J1136" s="59"/>
      <c r="K1136" s="53"/>
      <c r="L1136" s="59"/>
      <c r="M1136" s="59"/>
      <c r="N1136" s="47" t="b">
        <v>0</v>
      </c>
      <c r="O1136" s="59"/>
      <c r="Q1136" s="54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</row>
    <row r="1137">
      <c r="A1137" s="59" t="b">
        <v>0</v>
      </c>
      <c r="B1137" s="54"/>
      <c r="C1137" s="55"/>
      <c r="D1137" s="56"/>
      <c r="E1137" s="40"/>
      <c r="F1137" s="57"/>
      <c r="G1137" s="114"/>
      <c r="H1137" s="59"/>
      <c r="I1137" s="165"/>
      <c r="J1137" s="59"/>
      <c r="K1137" s="53"/>
      <c r="L1137" s="59"/>
      <c r="M1137" s="59"/>
      <c r="N1137" s="47" t="b">
        <v>0</v>
      </c>
      <c r="O1137" s="59"/>
      <c r="Q1137" s="54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</row>
    <row r="1138">
      <c r="A1138" s="59" t="b">
        <v>0</v>
      </c>
      <c r="B1138" s="54"/>
      <c r="C1138" s="55"/>
      <c r="D1138" s="56"/>
      <c r="E1138" s="40"/>
      <c r="F1138" s="57"/>
      <c r="G1138" s="114"/>
      <c r="H1138" s="59"/>
      <c r="I1138" s="165"/>
      <c r="J1138" s="59"/>
      <c r="K1138" s="53"/>
      <c r="L1138" s="59"/>
      <c r="M1138" s="59"/>
      <c r="N1138" s="47" t="b">
        <v>0</v>
      </c>
      <c r="O1138" s="59"/>
      <c r="Q1138" s="54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</row>
    <row r="1139">
      <c r="A1139" s="59" t="b">
        <v>0</v>
      </c>
      <c r="B1139" s="54"/>
      <c r="C1139" s="55"/>
      <c r="D1139" s="56"/>
      <c r="E1139" s="40"/>
      <c r="F1139" s="57"/>
      <c r="G1139" s="114"/>
      <c r="H1139" s="59"/>
      <c r="I1139" s="165"/>
      <c r="J1139" s="59"/>
      <c r="K1139" s="53"/>
      <c r="L1139" s="59"/>
      <c r="M1139" s="59"/>
      <c r="N1139" s="47" t="b">
        <v>0</v>
      </c>
      <c r="O1139" s="59"/>
      <c r="Q1139" s="54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</row>
    <row r="1140">
      <c r="A1140" s="59" t="b">
        <v>0</v>
      </c>
      <c r="B1140" s="54"/>
      <c r="C1140" s="55"/>
      <c r="D1140" s="56"/>
      <c r="E1140" s="40"/>
      <c r="F1140" s="57"/>
      <c r="G1140" s="114"/>
      <c r="H1140" s="59"/>
      <c r="I1140" s="165"/>
      <c r="J1140" s="59"/>
      <c r="K1140" s="53"/>
      <c r="L1140" s="59"/>
      <c r="M1140" s="59"/>
      <c r="N1140" s="47" t="b">
        <v>0</v>
      </c>
      <c r="O1140" s="59"/>
      <c r="Q1140" s="54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</row>
    <row r="1141">
      <c r="A1141" s="59" t="b">
        <v>0</v>
      </c>
      <c r="B1141" s="54"/>
      <c r="C1141" s="55"/>
      <c r="D1141" s="56"/>
      <c r="E1141" s="40"/>
      <c r="F1141" s="57"/>
      <c r="G1141" s="114"/>
      <c r="H1141" s="59"/>
      <c r="I1141" s="165"/>
      <c r="J1141" s="59"/>
      <c r="K1141" s="53"/>
      <c r="L1141" s="59"/>
      <c r="M1141" s="59"/>
      <c r="N1141" s="47" t="b">
        <v>0</v>
      </c>
      <c r="O1141" s="59"/>
      <c r="Q1141" s="54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</row>
    <row r="1142">
      <c r="A1142" s="59" t="b">
        <v>0</v>
      </c>
      <c r="B1142" s="54"/>
      <c r="C1142" s="55"/>
      <c r="D1142" s="56"/>
      <c r="E1142" s="40"/>
      <c r="F1142" s="57"/>
      <c r="G1142" s="114"/>
      <c r="H1142" s="59"/>
      <c r="I1142" s="165"/>
      <c r="J1142" s="59"/>
      <c r="K1142" s="53"/>
      <c r="L1142" s="59"/>
      <c r="M1142" s="59"/>
      <c r="N1142" s="47" t="b">
        <v>0</v>
      </c>
      <c r="O1142" s="59"/>
      <c r="Q1142" s="54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</row>
    <row r="1143">
      <c r="A1143" s="59" t="b">
        <v>0</v>
      </c>
      <c r="B1143" s="54"/>
      <c r="C1143" s="55"/>
      <c r="D1143" s="56"/>
      <c r="E1143" s="40"/>
      <c r="F1143" s="57"/>
      <c r="G1143" s="114"/>
      <c r="H1143" s="59"/>
      <c r="I1143" s="165"/>
      <c r="J1143" s="59"/>
      <c r="K1143" s="53"/>
      <c r="L1143" s="59"/>
      <c r="M1143" s="59"/>
      <c r="N1143" s="47" t="b">
        <v>0</v>
      </c>
      <c r="O1143" s="59"/>
      <c r="Q1143" s="54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</row>
    <row r="1144">
      <c r="A1144" s="59" t="b">
        <v>0</v>
      </c>
      <c r="B1144" s="54"/>
      <c r="C1144" s="55"/>
      <c r="D1144" s="56"/>
      <c r="E1144" s="40"/>
      <c r="F1144" s="57"/>
      <c r="G1144" s="114"/>
      <c r="H1144" s="59"/>
      <c r="I1144" s="165"/>
      <c r="J1144" s="59"/>
      <c r="K1144" s="53"/>
      <c r="L1144" s="59"/>
      <c r="M1144" s="59"/>
      <c r="N1144" s="47" t="b">
        <v>0</v>
      </c>
      <c r="O1144" s="59"/>
      <c r="Q1144" s="54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</row>
    <row r="1145">
      <c r="A1145" s="59" t="b">
        <v>0</v>
      </c>
      <c r="B1145" s="54"/>
      <c r="C1145" s="55"/>
      <c r="D1145" s="56"/>
      <c r="E1145" s="40"/>
      <c r="F1145" s="57"/>
      <c r="G1145" s="114"/>
      <c r="H1145" s="59"/>
      <c r="I1145" s="165"/>
      <c r="J1145" s="59"/>
      <c r="K1145" s="53"/>
      <c r="L1145" s="59"/>
      <c r="M1145" s="59"/>
      <c r="N1145" s="47" t="b">
        <v>0</v>
      </c>
      <c r="O1145" s="59"/>
      <c r="Q1145" s="54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</row>
    <row r="1146">
      <c r="A1146" s="59" t="b">
        <v>0</v>
      </c>
      <c r="B1146" s="54"/>
      <c r="C1146" s="55"/>
      <c r="D1146" s="56"/>
      <c r="E1146" s="40"/>
      <c r="F1146" s="57"/>
      <c r="G1146" s="114"/>
      <c r="H1146" s="59"/>
      <c r="I1146" s="165"/>
      <c r="J1146" s="59"/>
      <c r="K1146" s="53"/>
      <c r="L1146" s="59"/>
      <c r="M1146" s="59"/>
      <c r="N1146" s="47" t="b">
        <v>0</v>
      </c>
      <c r="O1146" s="59"/>
      <c r="Q1146" s="54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</row>
    <row r="1147">
      <c r="A1147" s="59" t="b">
        <v>0</v>
      </c>
      <c r="B1147" s="54"/>
      <c r="C1147" s="55"/>
      <c r="D1147" s="56"/>
      <c r="E1147" s="40"/>
      <c r="F1147" s="57"/>
      <c r="G1147" s="114"/>
      <c r="H1147" s="59"/>
      <c r="I1147" s="165"/>
      <c r="J1147" s="59"/>
      <c r="K1147" s="53"/>
      <c r="L1147" s="59"/>
      <c r="M1147" s="59"/>
      <c r="N1147" s="47" t="b">
        <v>0</v>
      </c>
      <c r="O1147" s="59"/>
      <c r="Q1147" s="54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</row>
    <row r="1148">
      <c r="A1148" s="59" t="b">
        <v>0</v>
      </c>
      <c r="B1148" s="54"/>
      <c r="C1148" s="55"/>
      <c r="D1148" s="56"/>
      <c r="E1148" s="40"/>
      <c r="F1148" s="57"/>
      <c r="G1148" s="114"/>
      <c r="H1148" s="59"/>
      <c r="I1148" s="165"/>
      <c r="J1148" s="59"/>
      <c r="K1148" s="53"/>
      <c r="L1148" s="59"/>
      <c r="M1148" s="59"/>
      <c r="N1148" s="47" t="b">
        <v>0</v>
      </c>
      <c r="O1148" s="59"/>
      <c r="Q1148" s="54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</row>
    <row r="1149">
      <c r="A1149" s="59" t="b">
        <v>0</v>
      </c>
      <c r="B1149" s="54"/>
      <c r="C1149" s="55"/>
      <c r="D1149" s="56"/>
      <c r="E1149" s="40"/>
      <c r="F1149" s="57"/>
      <c r="G1149" s="114"/>
      <c r="H1149" s="59"/>
      <c r="I1149" s="165"/>
      <c r="J1149" s="59"/>
      <c r="K1149" s="53"/>
      <c r="L1149" s="59"/>
      <c r="M1149" s="59"/>
      <c r="N1149" s="47" t="b">
        <v>0</v>
      </c>
      <c r="O1149" s="59"/>
      <c r="Q1149" s="54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</row>
    <row r="1150">
      <c r="A1150" s="59" t="b">
        <v>0</v>
      </c>
      <c r="B1150" s="54"/>
      <c r="C1150" s="55"/>
      <c r="D1150" s="56"/>
      <c r="E1150" s="40"/>
      <c r="F1150" s="57"/>
      <c r="G1150" s="114"/>
      <c r="H1150" s="59"/>
      <c r="I1150" s="165"/>
      <c r="J1150" s="59"/>
      <c r="K1150" s="53"/>
      <c r="L1150" s="59"/>
      <c r="M1150" s="59"/>
      <c r="N1150" s="47" t="b">
        <v>0</v>
      </c>
      <c r="O1150" s="59"/>
      <c r="Q1150" s="54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</row>
    <row r="1151">
      <c r="A1151" s="59" t="b">
        <v>0</v>
      </c>
      <c r="B1151" s="54"/>
      <c r="C1151" s="55"/>
      <c r="D1151" s="56"/>
      <c r="E1151" s="40"/>
      <c r="F1151" s="57"/>
      <c r="G1151" s="114"/>
      <c r="H1151" s="59"/>
      <c r="I1151" s="165"/>
      <c r="J1151" s="59"/>
      <c r="K1151" s="53"/>
      <c r="L1151" s="59"/>
      <c r="M1151" s="59"/>
      <c r="N1151" s="47" t="b">
        <v>0</v>
      </c>
      <c r="O1151" s="59"/>
      <c r="Q1151" s="54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</row>
    <row r="1152">
      <c r="A1152" s="59" t="b">
        <v>0</v>
      </c>
      <c r="B1152" s="54"/>
      <c r="C1152" s="55"/>
      <c r="D1152" s="56"/>
      <c r="E1152" s="40"/>
      <c r="F1152" s="57"/>
      <c r="G1152" s="114"/>
      <c r="H1152" s="59"/>
      <c r="I1152" s="165"/>
      <c r="J1152" s="59"/>
      <c r="K1152" s="53"/>
      <c r="L1152" s="59"/>
      <c r="M1152" s="59"/>
      <c r="N1152" s="47" t="b">
        <v>0</v>
      </c>
      <c r="O1152" s="59"/>
      <c r="Q1152" s="54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</row>
    <row r="1153">
      <c r="A1153" s="59" t="b">
        <v>0</v>
      </c>
      <c r="B1153" s="54"/>
      <c r="C1153" s="55"/>
      <c r="D1153" s="56"/>
      <c r="E1153" s="40"/>
      <c r="F1153" s="57"/>
      <c r="G1153" s="114"/>
      <c r="H1153" s="59"/>
      <c r="I1153" s="165"/>
      <c r="J1153" s="59"/>
      <c r="K1153" s="53"/>
      <c r="L1153" s="59"/>
      <c r="M1153" s="59"/>
      <c r="N1153" s="47" t="b">
        <v>0</v>
      </c>
      <c r="O1153" s="59"/>
      <c r="Q1153" s="54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</row>
    <row r="1154">
      <c r="A1154" s="59" t="b">
        <v>0</v>
      </c>
      <c r="B1154" s="54"/>
      <c r="C1154" s="55"/>
      <c r="D1154" s="56"/>
      <c r="E1154" s="40"/>
      <c r="F1154" s="57"/>
      <c r="G1154" s="114"/>
      <c r="H1154" s="59"/>
      <c r="I1154" s="165"/>
      <c r="J1154" s="59"/>
      <c r="K1154" s="53"/>
      <c r="L1154" s="59"/>
      <c r="M1154" s="59"/>
      <c r="N1154" s="47" t="b">
        <v>0</v>
      </c>
      <c r="O1154" s="59"/>
      <c r="Q1154" s="54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</row>
    <row r="1155">
      <c r="A1155" s="59" t="b">
        <v>0</v>
      </c>
      <c r="B1155" s="54"/>
      <c r="C1155" s="55"/>
      <c r="D1155" s="56"/>
      <c r="E1155" s="40"/>
      <c r="F1155" s="57"/>
      <c r="G1155" s="114"/>
      <c r="H1155" s="59"/>
      <c r="I1155" s="165"/>
      <c r="J1155" s="59"/>
      <c r="K1155" s="53"/>
      <c r="L1155" s="59"/>
      <c r="M1155" s="59"/>
      <c r="N1155" s="47" t="b">
        <v>0</v>
      </c>
      <c r="O1155" s="59"/>
      <c r="Q1155" s="54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</row>
    <row r="1156">
      <c r="A1156" s="59" t="b">
        <v>0</v>
      </c>
      <c r="B1156" s="54"/>
      <c r="C1156" s="55"/>
      <c r="D1156" s="56"/>
      <c r="E1156" s="40"/>
      <c r="F1156" s="57"/>
      <c r="G1156" s="114"/>
      <c r="H1156" s="59"/>
      <c r="I1156" s="165"/>
      <c r="J1156" s="59"/>
      <c r="K1156" s="53"/>
      <c r="L1156" s="59"/>
      <c r="M1156" s="59"/>
      <c r="N1156" s="47" t="b">
        <v>0</v>
      </c>
      <c r="O1156" s="59"/>
      <c r="Q1156" s="54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</row>
    <row r="1157">
      <c r="A1157" s="59" t="b">
        <v>0</v>
      </c>
      <c r="B1157" s="54"/>
      <c r="C1157" s="55"/>
      <c r="D1157" s="56"/>
      <c r="E1157" s="40"/>
      <c r="F1157" s="57"/>
      <c r="G1157" s="114"/>
      <c r="H1157" s="59"/>
      <c r="I1157" s="165"/>
      <c r="J1157" s="59"/>
      <c r="K1157" s="53"/>
      <c r="L1157" s="59"/>
      <c r="M1157" s="59"/>
      <c r="N1157" s="47" t="b">
        <v>0</v>
      </c>
      <c r="O1157" s="59"/>
      <c r="Q1157" s="54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</row>
    <row r="1158">
      <c r="A1158" s="59" t="b">
        <v>0</v>
      </c>
      <c r="B1158" s="54"/>
      <c r="C1158" s="55"/>
      <c r="D1158" s="56"/>
      <c r="E1158" s="40"/>
      <c r="F1158" s="57"/>
      <c r="G1158" s="114"/>
      <c r="H1158" s="59"/>
      <c r="I1158" s="165"/>
      <c r="J1158" s="59"/>
      <c r="K1158" s="53"/>
      <c r="L1158" s="59"/>
      <c r="M1158" s="59"/>
      <c r="N1158" s="47" t="b">
        <v>0</v>
      </c>
      <c r="O1158" s="59"/>
      <c r="Q1158" s="54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</row>
    <row r="1159">
      <c r="A1159" s="59" t="b">
        <v>0</v>
      </c>
      <c r="B1159" s="54"/>
      <c r="C1159" s="55"/>
      <c r="D1159" s="56"/>
      <c r="E1159" s="40"/>
      <c r="F1159" s="57"/>
      <c r="G1159" s="114"/>
      <c r="H1159" s="59"/>
      <c r="I1159" s="165"/>
      <c r="J1159" s="59"/>
      <c r="K1159" s="53"/>
      <c r="L1159" s="59"/>
      <c r="M1159" s="59"/>
      <c r="N1159" s="47" t="b">
        <v>0</v>
      </c>
      <c r="O1159" s="59"/>
      <c r="Q1159" s="54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</row>
    <row r="1160">
      <c r="A1160" s="59" t="b">
        <v>0</v>
      </c>
      <c r="B1160" s="54"/>
      <c r="C1160" s="55"/>
      <c r="D1160" s="56"/>
      <c r="E1160" s="40"/>
      <c r="F1160" s="57"/>
      <c r="G1160" s="114"/>
      <c r="H1160" s="59"/>
      <c r="I1160" s="165"/>
      <c r="J1160" s="59"/>
      <c r="K1160" s="53"/>
      <c r="L1160" s="59"/>
      <c r="M1160" s="59"/>
      <c r="N1160" s="47" t="b">
        <v>0</v>
      </c>
      <c r="O1160" s="59"/>
      <c r="Q1160" s="54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</row>
    <row r="1161">
      <c r="A1161" s="59" t="b">
        <v>0</v>
      </c>
      <c r="B1161" s="54"/>
      <c r="C1161" s="55"/>
      <c r="D1161" s="56"/>
      <c r="E1161" s="40"/>
      <c r="F1161" s="57"/>
      <c r="G1161" s="114"/>
      <c r="H1161" s="59"/>
      <c r="I1161" s="165"/>
      <c r="J1161" s="59"/>
      <c r="K1161" s="53"/>
      <c r="L1161" s="59"/>
      <c r="M1161" s="59"/>
      <c r="N1161" s="47" t="b">
        <v>0</v>
      </c>
      <c r="O1161" s="59"/>
      <c r="Q1161" s="54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</row>
    <row r="1162">
      <c r="A1162" s="59" t="b">
        <v>0</v>
      </c>
      <c r="B1162" s="54"/>
      <c r="C1162" s="55"/>
      <c r="D1162" s="56"/>
      <c r="E1162" s="40"/>
      <c r="F1162" s="57"/>
      <c r="G1162" s="114"/>
      <c r="H1162" s="59"/>
      <c r="I1162" s="165"/>
      <c r="J1162" s="59"/>
      <c r="K1162" s="53"/>
      <c r="L1162" s="59"/>
      <c r="M1162" s="59"/>
      <c r="N1162" s="47" t="b">
        <v>0</v>
      </c>
      <c r="O1162" s="59"/>
      <c r="Q1162" s="54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</row>
    <row r="1163">
      <c r="A1163" s="59" t="b">
        <v>0</v>
      </c>
      <c r="B1163" s="54"/>
      <c r="C1163" s="55"/>
      <c r="D1163" s="56"/>
      <c r="E1163" s="40"/>
      <c r="F1163" s="57"/>
      <c r="G1163" s="114"/>
      <c r="H1163" s="59"/>
      <c r="I1163" s="165"/>
      <c r="J1163" s="59"/>
      <c r="K1163" s="53"/>
      <c r="L1163" s="59"/>
      <c r="M1163" s="59"/>
      <c r="N1163" s="47" t="b">
        <v>0</v>
      </c>
      <c r="O1163" s="59"/>
      <c r="Q1163" s="54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</row>
    <row r="1164">
      <c r="A1164" s="59" t="b">
        <v>0</v>
      </c>
      <c r="B1164" s="54"/>
      <c r="C1164" s="55"/>
      <c r="D1164" s="56"/>
      <c r="E1164" s="40"/>
      <c r="F1164" s="57"/>
      <c r="G1164" s="114"/>
      <c r="H1164" s="59"/>
      <c r="I1164" s="165"/>
      <c r="J1164" s="59"/>
      <c r="K1164" s="53"/>
      <c r="L1164" s="59"/>
      <c r="M1164" s="59"/>
      <c r="N1164" s="47" t="b">
        <v>0</v>
      </c>
      <c r="O1164" s="59"/>
      <c r="Q1164" s="54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</row>
    <row r="1165">
      <c r="A1165" s="59" t="b">
        <v>0</v>
      </c>
      <c r="B1165" s="54"/>
      <c r="C1165" s="55"/>
      <c r="D1165" s="56"/>
      <c r="E1165" s="40"/>
      <c r="F1165" s="57"/>
      <c r="G1165" s="114"/>
      <c r="H1165" s="59"/>
      <c r="I1165" s="165"/>
      <c r="J1165" s="59"/>
      <c r="K1165" s="53"/>
      <c r="L1165" s="59"/>
      <c r="M1165" s="59"/>
      <c r="N1165" s="47" t="b">
        <v>0</v>
      </c>
      <c r="O1165" s="59"/>
      <c r="Q1165" s="54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</row>
    <row r="1166">
      <c r="A1166" s="59" t="b">
        <v>0</v>
      </c>
      <c r="B1166" s="54"/>
      <c r="C1166" s="55"/>
      <c r="D1166" s="56"/>
      <c r="E1166" s="40"/>
      <c r="F1166" s="57"/>
      <c r="G1166" s="114"/>
      <c r="H1166" s="59"/>
      <c r="I1166" s="165"/>
      <c r="J1166" s="59"/>
      <c r="K1166" s="53"/>
      <c r="L1166" s="59"/>
      <c r="M1166" s="59"/>
      <c r="N1166" s="47" t="b">
        <v>0</v>
      </c>
      <c r="O1166" s="59"/>
      <c r="Q1166" s="54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</row>
    <row r="1167">
      <c r="A1167" s="59" t="b">
        <v>0</v>
      </c>
      <c r="B1167" s="54"/>
      <c r="C1167" s="55"/>
      <c r="D1167" s="56"/>
      <c r="E1167" s="40"/>
      <c r="F1167" s="57"/>
      <c r="G1167" s="114"/>
      <c r="H1167" s="59"/>
      <c r="I1167" s="165"/>
      <c r="J1167" s="59"/>
      <c r="K1167" s="53"/>
      <c r="L1167" s="59"/>
      <c r="M1167" s="59"/>
      <c r="N1167" s="47" t="b">
        <v>0</v>
      </c>
      <c r="O1167" s="59"/>
      <c r="Q1167" s="54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</row>
    <row r="1168">
      <c r="A1168" s="59" t="b">
        <v>0</v>
      </c>
      <c r="B1168" s="54"/>
      <c r="C1168" s="55"/>
      <c r="D1168" s="56"/>
      <c r="E1168" s="40"/>
      <c r="F1168" s="57"/>
      <c r="G1168" s="114"/>
      <c r="H1168" s="59"/>
      <c r="I1168" s="165"/>
      <c r="J1168" s="59"/>
      <c r="K1168" s="53"/>
      <c r="L1168" s="59"/>
      <c r="M1168" s="59"/>
      <c r="N1168" s="47" t="b">
        <v>0</v>
      </c>
      <c r="O1168" s="59"/>
      <c r="Q1168" s="54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</row>
    <row r="1169">
      <c r="A1169" s="59" t="b">
        <v>0</v>
      </c>
      <c r="B1169" s="54"/>
      <c r="C1169" s="55"/>
      <c r="D1169" s="56"/>
      <c r="E1169" s="40"/>
      <c r="F1169" s="57"/>
      <c r="G1169" s="114"/>
      <c r="H1169" s="59"/>
      <c r="I1169" s="165"/>
      <c r="J1169" s="59"/>
      <c r="K1169" s="53"/>
      <c r="L1169" s="59"/>
      <c r="M1169" s="59"/>
      <c r="N1169" s="47" t="b">
        <v>0</v>
      </c>
      <c r="O1169" s="59"/>
      <c r="Q1169" s="54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</row>
    <row r="1170">
      <c r="A1170" s="59" t="b">
        <v>0</v>
      </c>
      <c r="B1170" s="54"/>
      <c r="C1170" s="55"/>
      <c r="D1170" s="56"/>
      <c r="E1170" s="40"/>
      <c r="F1170" s="57"/>
      <c r="G1170" s="114"/>
      <c r="H1170" s="59"/>
      <c r="I1170" s="165"/>
      <c r="J1170" s="59"/>
      <c r="K1170" s="53"/>
      <c r="L1170" s="59"/>
      <c r="M1170" s="59"/>
      <c r="N1170" s="47" t="b">
        <v>0</v>
      </c>
      <c r="O1170" s="59"/>
      <c r="Q1170" s="54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</row>
    <row r="1171">
      <c r="A1171" s="59" t="b">
        <v>0</v>
      </c>
      <c r="B1171" s="54"/>
      <c r="C1171" s="55"/>
      <c r="D1171" s="56"/>
      <c r="E1171" s="40"/>
      <c r="F1171" s="57"/>
      <c r="G1171" s="114"/>
      <c r="H1171" s="59"/>
      <c r="I1171" s="165"/>
      <c r="J1171" s="59"/>
      <c r="K1171" s="53"/>
      <c r="L1171" s="59"/>
      <c r="M1171" s="59"/>
      <c r="N1171" s="47" t="b">
        <v>0</v>
      </c>
      <c r="O1171" s="59"/>
      <c r="Q1171" s="54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</row>
    <row r="1172">
      <c r="A1172" s="59" t="b">
        <v>0</v>
      </c>
      <c r="B1172" s="54"/>
      <c r="C1172" s="55"/>
      <c r="D1172" s="56"/>
      <c r="E1172" s="40"/>
      <c r="F1172" s="57"/>
      <c r="G1172" s="114"/>
      <c r="H1172" s="59"/>
      <c r="I1172" s="165"/>
      <c r="J1172" s="59"/>
      <c r="K1172" s="53"/>
      <c r="L1172" s="59"/>
      <c r="M1172" s="59"/>
      <c r="N1172" s="47" t="b">
        <v>0</v>
      </c>
      <c r="O1172" s="59"/>
      <c r="Q1172" s="54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</row>
    <row r="1173">
      <c r="A1173" s="59" t="b">
        <v>0</v>
      </c>
      <c r="B1173" s="54"/>
      <c r="C1173" s="55"/>
      <c r="D1173" s="56"/>
      <c r="E1173" s="40"/>
      <c r="F1173" s="57"/>
      <c r="G1173" s="114"/>
      <c r="H1173" s="59"/>
      <c r="I1173" s="165"/>
      <c r="J1173" s="59"/>
      <c r="K1173" s="53"/>
      <c r="L1173" s="59"/>
      <c r="M1173" s="59"/>
      <c r="N1173" s="47" t="b">
        <v>0</v>
      </c>
      <c r="O1173" s="59"/>
      <c r="Q1173" s="54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</row>
    <row r="1174">
      <c r="A1174" s="59" t="b">
        <v>0</v>
      </c>
      <c r="B1174" s="54"/>
      <c r="C1174" s="55"/>
      <c r="D1174" s="56"/>
      <c r="E1174" s="40"/>
      <c r="F1174" s="57"/>
      <c r="G1174" s="114"/>
      <c r="H1174" s="59"/>
      <c r="I1174" s="165"/>
      <c r="J1174" s="59"/>
      <c r="K1174" s="53"/>
      <c r="L1174" s="59"/>
      <c r="M1174" s="59"/>
      <c r="N1174" s="47" t="b">
        <v>0</v>
      </c>
      <c r="O1174" s="59"/>
      <c r="Q1174" s="54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</row>
    <row r="1175">
      <c r="A1175" s="59" t="b">
        <v>0</v>
      </c>
      <c r="B1175" s="54"/>
      <c r="C1175" s="55"/>
      <c r="D1175" s="56"/>
      <c r="E1175" s="40"/>
      <c r="F1175" s="57"/>
      <c r="G1175" s="114"/>
      <c r="H1175" s="59"/>
      <c r="I1175" s="165"/>
      <c r="J1175" s="59"/>
      <c r="K1175" s="53"/>
      <c r="L1175" s="59"/>
      <c r="M1175" s="59"/>
      <c r="N1175" s="47" t="b">
        <v>0</v>
      </c>
      <c r="O1175" s="59"/>
      <c r="Q1175" s="54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</row>
    <row r="1176">
      <c r="A1176" s="59" t="b">
        <v>0</v>
      </c>
      <c r="B1176" s="54"/>
      <c r="C1176" s="55"/>
      <c r="D1176" s="56"/>
      <c r="E1176" s="40"/>
      <c r="F1176" s="57"/>
      <c r="G1176" s="114"/>
      <c r="H1176" s="59"/>
      <c r="I1176" s="165"/>
      <c r="J1176" s="59"/>
      <c r="K1176" s="53"/>
      <c r="L1176" s="59"/>
      <c r="M1176" s="59"/>
      <c r="N1176" s="47" t="b">
        <v>0</v>
      </c>
      <c r="O1176" s="59"/>
      <c r="Q1176" s="54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</row>
    <row r="1177">
      <c r="A1177" s="59" t="b">
        <v>0</v>
      </c>
      <c r="B1177" s="54"/>
      <c r="C1177" s="55"/>
      <c r="D1177" s="56"/>
      <c r="E1177" s="40"/>
      <c r="F1177" s="57"/>
      <c r="G1177" s="114"/>
      <c r="H1177" s="59"/>
      <c r="I1177" s="165"/>
      <c r="J1177" s="59"/>
      <c r="K1177" s="53"/>
      <c r="L1177" s="59"/>
      <c r="M1177" s="59"/>
      <c r="N1177" s="47" t="b">
        <v>0</v>
      </c>
      <c r="O1177" s="59"/>
      <c r="Q1177" s="54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</row>
    <row r="1178">
      <c r="A1178" s="59" t="b">
        <v>0</v>
      </c>
      <c r="B1178" s="54"/>
      <c r="C1178" s="55"/>
      <c r="D1178" s="56"/>
      <c r="E1178" s="40"/>
      <c r="F1178" s="57"/>
      <c r="G1178" s="114"/>
      <c r="H1178" s="59"/>
      <c r="I1178" s="165"/>
      <c r="J1178" s="59"/>
      <c r="K1178" s="53"/>
      <c r="L1178" s="59"/>
      <c r="M1178" s="59"/>
      <c r="N1178" s="47" t="b">
        <v>0</v>
      </c>
      <c r="O1178" s="59"/>
      <c r="Q1178" s="54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</row>
    <row r="1179">
      <c r="A1179" s="59" t="b">
        <v>0</v>
      </c>
      <c r="B1179" s="54"/>
      <c r="C1179" s="55"/>
      <c r="D1179" s="56"/>
      <c r="E1179" s="40"/>
      <c r="F1179" s="57"/>
      <c r="G1179" s="114"/>
      <c r="H1179" s="59"/>
      <c r="I1179" s="165"/>
      <c r="J1179" s="59"/>
      <c r="K1179" s="53"/>
      <c r="L1179" s="59"/>
      <c r="M1179" s="59"/>
      <c r="N1179" s="47" t="b">
        <v>0</v>
      </c>
      <c r="O1179" s="59"/>
      <c r="Q1179" s="54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</row>
    <row r="1180">
      <c r="A1180" s="59" t="b">
        <v>0</v>
      </c>
      <c r="B1180" s="54"/>
      <c r="C1180" s="55"/>
      <c r="D1180" s="56"/>
      <c r="E1180" s="40"/>
      <c r="F1180" s="57"/>
      <c r="G1180" s="114"/>
      <c r="H1180" s="59"/>
      <c r="I1180" s="165"/>
      <c r="J1180" s="59"/>
      <c r="K1180" s="53"/>
      <c r="L1180" s="59"/>
      <c r="M1180" s="59"/>
      <c r="N1180" s="47" t="b">
        <v>0</v>
      </c>
      <c r="O1180" s="59"/>
      <c r="Q1180" s="54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</row>
    <row r="1181">
      <c r="A1181" s="59" t="b">
        <v>0</v>
      </c>
      <c r="B1181" s="54"/>
      <c r="C1181" s="55"/>
      <c r="D1181" s="56"/>
      <c r="E1181" s="40"/>
      <c r="F1181" s="57"/>
      <c r="G1181" s="114"/>
      <c r="H1181" s="59"/>
      <c r="I1181" s="165"/>
      <c r="J1181" s="59"/>
      <c r="K1181" s="53"/>
      <c r="L1181" s="59"/>
      <c r="M1181" s="59"/>
      <c r="N1181" s="47" t="b">
        <v>0</v>
      </c>
      <c r="O1181" s="59"/>
      <c r="Q1181" s="54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</row>
    <row r="1182">
      <c r="A1182" s="59" t="b">
        <v>0</v>
      </c>
      <c r="B1182" s="54"/>
      <c r="C1182" s="55"/>
      <c r="D1182" s="56"/>
      <c r="E1182" s="40"/>
      <c r="F1182" s="57"/>
      <c r="G1182" s="114"/>
      <c r="H1182" s="59"/>
      <c r="I1182" s="165"/>
      <c r="J1182" s="59"/>
      <c r="K1182" s="53"/>
      <c r="L1182" s="59"/>
      <c r="M1182" s="59"/>
      <c r="N1182" s="47" t="b">
        <v>0</v>
      </c>
      <c r="O1182" s="59"/>
      <c r="Q1182" s="54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</row>
    <row r="1183">
      <c r="A1183" s="59" t="b">
        <v>0</v>
      </c>
      <c r="B1183" s="54"/>
      <c r="C1183" s="55"/>
      <c r="D1183" s="56"/>
      <c r="E1183" s="40"/>
      <c r="F1183" s="57"/>
      <c r="G1183" s="114"/>
      <c r="H1183" s="59"/>
      <c r="I1183" s="165"/>
      <c r="J1183" s="59"/>
      <c r="K1183" s="53"/>
      <c r="L1183" s="59"/>
      <c r="M1183" s="59"/>
      <c r="N1183" s="47" t="b">
        <v>0</v>
      </c>
      <c r="O1183" s="59"/>
      <c r="Q1183" s="54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</row>
    <row r="1184">
      <c r="A1184" s="59" t="b">
        <v>0</v>
      </c>
      <c r="B1184" s="54"/>
      <c r="C1184" s="55"/>
      <c r="D1184" s="56"/>
      <c r="E1184" s="40"/>
      <c r="F1184" s="57"/>
      <c r="G1184" s="114"/>
      <c r="H1184" s="59"/>
      <c r="I1184" s="165"/>
      <c r="J1184" s="59"/>
      <c r="K1184" s="53"/>
      <c r="L1184" s="59"/>
      <c r="M1184" s="59"/>
      <c r="N1184" s="47" t="b">
        <v>0</v>
      </c>
      <c r="O1184" s="59"/>
      <c r="Q1184" s="54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</row>
    <row r="1185">
      <c r="A1185" s="59" t="b">
        <v>0</v>
      </c>
      <c r="B1185" s="54"/>
      <c r="C1185" s="55"/>
      <c r="D1185" s="56"/>
      <c r="E1185" s="40"/>
      <c r="F1185" s="57"/>
      <c r="G1185" s="114"/>
      <c r="H1185" s="59"/>
      <c r="I1185" s="165"/>
      <c r="J1185" s="59"/>
      <c r="K1185" s="53"/>
      <c r="L1185" s="59"/>
      <c r="M1185" s="59"/>
      <c r="N1185" s="47" t="b">
        <v>0</v>
      </c>
      <c r="O1185" s="59"/>
      <c r="Q1185" s="54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</row>
    <row r="1186">
      <c r="A1186" s="59" t="b">
        <v>0</v>
      </c>
      <c r="B1186" s="54"/>
      <c r="C1186" s="55"/>
      <c r="D1186" s="56"/>
      <c r="E1186" s="40"/>
      <c r="F1186" s="57"/>
      <c r="G1186" s="114"/>
      <c r="H1186" s="59"/>
      <c r="I1186" s="165"/>
      <c r="J1186" s="59"/>
      <c r="K1186" s="53"/>
      <c r="L1186" s="59"/>
      <c r="M1186" s="59"/>
      <c r="N1186" s="47" t="b">
        <v>0</v>
      </c>
      <c r="O1186" s="59"/>
      <c r="Q1186" s="54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</row>
    <row r="1187">
      <c r="A1187" s="59" t="b">
        <v>0</v>
      </c>
      <c r="B1187" s="54"/>
      <c r="C1187" s="55"/>
      <c r="D1187" s="56"/>
      <c r="E1187" s="40"/>
      <c r="F1187" s="57"/>
      <c r="G1187" s="114"/>
      <c r="H1187" s="59"/>
      <c r="I1187" s="165"/>
      <c r="J1187" s="59"/>
      <c r="K1187" s="53"/>
      <c r="L1187" s="59"/>
      <c r="M1187" s="59"/>
      <c r="N1187" s="47" t="b">
        <v>0</v>
      </c>
      <c r="O1187" s="59"/>
      <c r="Q1187" s="54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</row>
    <row r="1188">
      <c r="A1188" s="59" t="b">
        <v>0</v>
      </c>
      <c r="B1188" s="54"/>
      <c r="C1188" s="55"/>
      <c r="D1188" s="56"/>
      <c r="E1188" s="40"/>
      <c r="F1188" s="57"/>
      <c r="G1188" s="114"/>
      <c r="H1188" s="59"/>
      <c r="I1188" s="165"/>
      <c r="J1188" s="59"/>
      <c r="K1188" s="53"/>
      <c r="L1188" s="59"/>
      <c r="M1188" s="59"/>
      <c r="N1188" s="47" t="b">
        <v>0</v>
      </c>
      <c r="O1188" s="59"/>
      <c r="Q1188" s="54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</row>
    <row r="1189">
      <c r="A1189" s="59" t="b">
        <v>0</v>
      </c>
      <c r="B1189" s="54"/>
      <c r="C1189" s="55"/>
      <c r="D1189" s="56"/>
      <c r="E1189" s="40"/>
      <c r="F1189" s="57"/>
      <c r="G1189" s="114"/>
      <c r="H1189" s="59"/>
      <c r="I1189" s="165"/>
      <c r="J1189" s="59"/>
      <c r="K1189" s="53"/>
      <c r="L1189" s="59"/>
      <c r="M1189" s="59"/>
      <c r="N1189" s="47" t="b">
        <v>0</v>
      </c>
      <c r="O1189" s="59"/>
      <c r="Q1189" s="54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</row>
    <row r="1190">
      <c r="A1190" s="59" t="b">
        <v>0</v>
      </c>
      <c r="B1190" s="54"/>
      <c r="C1190" s="55"/>
      <c r="D1190" s="56"/>
      <c r="E1190" s="40"/>
      <c r="F1190" s="57"/>
      <c r="G1190" s="114"/>
      <c r="H1190" s="59"/>
      <c r="I1190" s="165"/>
      <c r="J1190" s="59"/>
      <c r="K1190" s="53"/>
      <c r="L1190" s="59"/>
      <c r="M1190" s="59"/>
      <c r="N1190" s="47" t="b">
        <v>0</v>
      </c>
      <c r="O1190" s="59"/>
      <c r="Q1190" s="54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</row>
    <row r="1191">
      <c r="A1191" s="59" t="b">
        <v>0</v>
      </c>
      <c r="B1191" s="54"/>
      <c r="C1191" s="55"/>
      <c r="D1191" s="56"/>
      <c r="E1191" s="40"/>
      <c r="F1191" s="57"/>
      <c r="G1191" s="114"/>
      <c r="H1191" s="59"/>
      <c r="I1191" s="165"/>
      <c r="J1191" s="59"/>
      <c r="K1191" s="53"/>
      <c r="L1191" s="59"/>
      <c r="M1191" s="59"/>
      <c r="N1191" s="47" t="b">
        <v>0</v>
      </c>
      <c r="O1191" s="59"/>
      <c r="Q1191" s="54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</row>
    <row r="1192">
      <c r="A1192" s="59" t="b">
        <v>0</v>
      </c>
      <c r="B1192" s="54"/>
      <c r="C1192" s="55"/>
      <c r="D1192" s="56"/>
      <c r="E1192" s="40"/>
      <c r="F1192" s="57"/>
      <c r="G1192" s="114"/>
      <c r="H1192" s="59"/>
      <c r="I1192" s="165"/>
      <c r="J1192" s="59"/>
      <c r="K1192" s="53"/>
      <c r="L1192" s="59"/>
      <c r="M1192" s="59"/>
      <c r="N1192" s="47" t="b">
        <v>0</v>
      </c>
      <c r="O1192" s="59"/>
      <c r="Q1192" s="54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</row>
    <row r="1193">
      <c r="A1193" s="59" t="b">
        <v>0</v>
      </c>
      <c r="B1193" s="54"/>
      <c r="C1193" s="55"/>
      <c r="D1193" s="56"/>
      <c r="E1193" s="40"/>
      <c r="F1193" s="57"/>
      <c r="G1193" s="114"/>
      <c r="H1193" s="59"/>
      <c r="I1193" s="165"/>
      <c r="J1193" s="59"/>
      <c r="K1193" s="53"/>
      <c r="L1193" s="59"/>
      <c r="M1193" s="59"/>
      <c r="N1193" s="47" t="b">
        <v>0</v>
      </c>
      <c r="O1193" s="59"/>
      <c r="Q1193" s="54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</row>
    <row r="1194">
      <c r="A1194" s="59" t="b">
        <v>0</v>
      </c>
      <c r="B1194" s="54"/>
      <c r="C1194" s="55"/>
      <c r="D1194" s="56"/>
      <c r="E1194" s="40"/>
      <c r="F1194" s="57"/>
      <c r="G1194" s="114"/>
      <c r="H1194" s="59"/>
      <c r="I1194" s="165"/>
      <c r="J1194" s="59"/>
      <c r="K1194" s="53"/>
      <c r="L1194" s="59"/>
      <c r="M1194" s="59"/>
      <c r="N1194" s="47" t="b">
        <v>0</v>
      </c>
      <c r="O1194" s="59"/>
      <c r="Q1194" s="54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</row>
    <row r="1195">
      <c r="A1195" s="59" t="b">
        <v>0</v>
      </c>
      <c r="B1195" s="54"/>
      <c r="C1195" s="55"/>
      <c r="D1195" s="56"/>
      <c r="E1195" s="40"/>
      <c r="F1195" s="57"/>
      <c r="G1195" s="114"/>
      <c r="H1195" s="59"/>
      <c r="I1195" s="165"/>
      <c r="J1195" s="59"/>
      <c r="K1195" s="53"/>
      <c r="L1195" s="59"/>
      <c r="M1195" s="59"/>
      <c r="N1195" s="47" t="b">
        <v>0</v>
      </c>
      <c r="O1195" s="59"/>
      <c r="Q1195" s="54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</row>
    <row r="1196">
      <c r="A1196" s="59" t="b">
        <v>0</v>
      </c>
      <c r="B1196" s="54"/>
      <c r="C1196" s="55"/>
      <c r="D1196" s="56"/>
      <c r="E1196" s="40"/>
      <c r="F1196" s="57"/>
      <c r="G1196" s="114"/>
      <c r="H1196" s="59"/>
      <c r="I1196" s="165"/>
      <c r="J1196" s="59"/>
      <c r="K1196" s="53"/>
      <c r="L1196" s="59"/>
      <c r="M1196" s="59"/>
      <c r="N1196" s="47" t="b">
        <v>0</v>
      </c>
      <c r="O1196" s="59"/>
      <c r="Q1196" s="54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</row>
    <row r="1197">
      <c r="A1197" s="59" t="b">
        <v>0</v>
      </c>
      <c r="B1197" s="54"/>
      <c r="C1197" s="55"/>
      <c r="D1197" s="56"/>
      <c r="E1197" s="40"/>
      <c r="F1197" s="57"/>
      <c r="G1197" s="114"/>
      <c r="H1197" s="59"/>
      <c r="I1197" s="165"/>
      <c r="J1197" s="59"/>
      <c r="K1197" s="53"/>
      <c r="L1197" s="59"/>
      <c r="M1197" s="59"/>
      <c r="N1197" s="47" t="b">
        <v>0</v>
      </c>
      <c r="O1197" s="59"/>
      <c r="Q1197" s="54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</row>
    <row r="1198">
      <c r="A1198" s="59" t="b">
        <v>0</v>
      </c>
      <c r="B1198" s="54"/>
      <c r="C1198" s="55"/>
      <c r="D1198" s="56"/>
      <c r="E1198" s="40"/>
      <c r="F1198" s="57"/>
      <c r="G1198" s="114"/>
      <c r="H1198" s="59"/>
      <c r="I1198" s="165"/>
      <c r="J1198" s="59"/>
      <c r="K1198" s="53"/>
      <c r="L1198" s="59"/>
      <c r="M1198" s="59"/>
      <c r="N1198" s="47" t="b">
        <v>0</v>
      </c>
      <c r="O1198" s="59"/>
      <c r="Q1198" s="54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</row>
    <row r="1199">
      <c r="A1199" s="59" t="b">
        <v>0</v>
      </c>
      <c r="B1199" s="54"/>
      <c r="C1199" s="55"/>
      <c r="D1199" s="56"/>
      <c r="E1199" s="40"/>
      <c r="F1199" s="57"/>
      <c r="G1199" s="114"/>
      <c r="H1199" s="59"/>
      <c r="I1199" s="165"/>
      <c r="J1199" s="59"/>
      <c r="K1199" s="53"/>
      <c r="L1199" s="59"/>
      <c r="M1199" s="59"/>
      <c r="N1199" s="47" t="b">
        <v>0</v>
      </c>
      <c r="O1199" s="59"/>
      <c r="Q1199" s="54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</row>
    <row r="1200">
      <c r="A1200" s="59" t="b">
        <v>0</v>
      </c>
      <c r="B1200" s="54"/>
      <c r="C1200" s="55"/>
      <c r="D1200" s="56"/>
      <c r="E1200" s="40"/>
      <c r="F1200" s="57"/>
      <c r="G1200" s="114"/>
      <c r="H1200" s="59"/>
      <c r="I1200" s="165"/>
      <c r="J1200" s="59"/>
      <c r="K1200" s="53"/>
      <c r="L1200" s="59"/>
      <c r="M1200" s="59"/>
      <c r="N1200" s="47" t="b">
        <v>0</v>
      </c>
      <c r="O1200" s="59"/>
      <c r="Q1200" s="54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</row>
    <row r="1201">
      <c r="A1201" s="59" t="b">
        <v>0</v>
      </c>
      <c r="B1201" s="54"/>
      <c r="C1201" s="55"/>
      <c r="D1201" s="56"/>
      <c r="E1201" s="40"/>
      <c r="F1201" s="57"/>
      <c r="G1201" s="114"/>
      <c r="H1201" s="59"/>
      <c r="I1201" s="165"/>
      <c r="J1201" s="59"/>
      <c r="K1201" s="53"/>
      <c r="L1201" s="59"/>
      <c r="M1201" s="59"/>
      <c r="N1201" s="47" t="b">
        <v>0</v>
      </c>
      <c r="O1201" s="59"/>
      <c r="Q1201" s="54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</row>
    <row r="1202">
      <c r="A1202" s="59" t="b">
        <v>0</v>
      </c>
      <c r="B1202" s="54"/>
      <c r="C1202" s="55"/>
      <c r="D1202" s="56"/>
      <c r="E1202" s="40"/>
      <c r="F1202" s="57"/>
      <c r="G1202" s="114"/>
      <c r="H1202" s="59"/>
      <c r="I1202" s="165"/>
      <c r="J1202" s="59"/>
      <c r="K1202" s="53"/>
      <c r="L1202" s="59"/>
      <c r="M1202" s="59"/>
      <c r="N1202" s="47" t="b">
        <v>0</v>
      </c>
      <c r="O1202" s="59"/>
      <c r="Q1202" s="54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</row>
    <row r="1203">
      <c r="A1203" s="59" t="b">
        <v>0</v>
      </c>
      <c r="B1203" s="54"/>
      <c r="C1203" s="55"/>
      <c r="D1203" s="56"/>
      <c r="E1203" s="40"/>
      <c r="F1203" s="57"/>
      <c r="G1203" s="114"/>
      <c r="H1203" s="59"/>
      <c r="I1203" s="165"/>
      <c r="J1203" s="59"/>
      <c r="K1203" s="53"/>
      <c r="L1203" s="59"/>
      <c r="M1203" s="59"/>
      <c r="N1203" s="47" t="b">
        <v>0</v>
      </c>
      <c r="O1203" s="59"/>
      <c r="Q1203" s="54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</row>
    <row r="1204">
      <c r="A1204" s="59" t="b">
        <v>0</v>
      </c>
      <c r="B1204" s="54"/>
      <c r="C1204" s="55"/>
      <c r="D1204" s="56"/>
      <c r="E1204" s="40"/>
      <c r="F1204" s="57"/>
      <c r="G1204" s="114"/>
      <c r="H1204" s="59"/>
      <c r="I1204" s="165"/>
      <c r="J1204" s="59"/>
      <c r="K1204" s="53"/>
      <c r="L1204" s="59"/>
      <c r="M1204" s="59"/>
      <c r="N1204" s="47" t="b">
        <v>0</v>
      </c>
      <c r="O1204" s="59"/>
      <c r="Q1204" s="54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</row>
    <row r="1205">
      <c r="A1205" s="59" t="b">
        <v>0</v>
      </c>
      <c r="B1205" s="54"/>
      <c r="C1205" s="55"/>
      <c r="D1205" s="56"/>
      <c r="E1205" s="40"/>
      <c r="F1205" s="57"/>
      <c r="G1205" s="114"/>
      <c r="H1205" s="59"/>
      <c r="I1205" s="165"/>
      <c r="J1205" s="59"/>
      <c r="K1205" s="53"/>
      <c r="L1205" s="59"/>
      <c r="M1205" s="59"/>
      <c r="N1205" s="47" t="b">
        <v>0</v>
      </c>
      <c r="O1205" s="59"/>
      <c r="Q1205" s="54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</row>
    <row r="1206">
      <c r="A1206" s="59" t="b">
        <v>0</v>
      </c>
      <c r="B1206" s="54"/>
      <c r="C1206" s="55"/>
      <c r="D1206" s="56"/>
      <c r="E1206" s="40"/>
      <c r="F1206" s="57"/>
      <c r="G1206" s="114"/>
      <c r="H1206" s="59"/>
      <c r="I1206" s="165"/>
      <c r="J1206" s="59"/>
      <c r="K1206" s="53"/>
      <c r="L1206" s="59"/>
      <c r="M1206" s="59"/>
      <c r="N1206" s="47" t="b">
        <v>0</v>
      </c>
      <c r="O1206" s="59"/>
      <c r="Q1206" s="54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</row>
    <row r="1207">
      <c r="A1207" s="59" t="b">
        <v>0</v>
      </c>
      <c r="B1207" s="54"/>
      <c r="C1207" s="55"/>
      <c r="D1207" s="56"/>
      <c r="E1207" s="40"/>
      <c r="F1207" s="57"/>
      <c r="G1207" s="114"/>
      <c r="H1207" s="59"/>
      <c r="I1207" s="165"/>
      <c r="J1207" s="59"/>
      <c r="K1207" s="53"/>
      <c r="L1207" s="59"/>
      <c r="M1207" s="59"/>
      <c r="N1207" s="47" t="b">
        <v>0</v>
      </c>
      <c r="O1207" s="59"/>
      <c r="Q1207" s="54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</row>
    <row r="1208">
      <c r="A1208" s="59" t="b">
        <v>0</v>
      </c>
      <c r="B1208" s="54"/>
      <c r="C1208" s="55"/>
      <c r="D1208" s="56"/>
      <c r="E1208" s="40"/>
      <c r="F1208" s="57"/>
      <c r="G1208" s="114"/>
      <c r="H1208" s="59"/>
      <c r="I1208" s="165"/>
      <c r="J1208" s="59"/>
      <c r="K1208" s="53"/>
      <c r="L1208" s="59"/>
      <c r="M1208" s="59"/>
      <c r="N1208" s="47" t="b">
        <v>0</v>
      </c>
      <c r="O1208" s="59"/>
      <c r="Q1208" s="54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</row>
    <row r="1209">
      <c r="A1209" s="59" t="b">
        <v>0</v>
      </c>
      <c r="B1209" s="54"/>
      <c r="C1209" s="55"/>
      <c r="D1209" s="56"/>
      <c r="E1209" s="40"/>
      <c r="F1209" s="57"/>
      <c r="G1209" s="114"/>
      <c r="H1209" s="59"/>
      <c r="I1209" s="165"/>
      <c r="J1209" s="59"/>
      <c r="K1209" s="53"/>
      <c r="L1209" s="59"/>
      <c r="M1209" s="59"/>
      <c r="N1209" s="47" t="b">
        <v>0</v>
      </c>
      <c r="O1209" s="59"/>
      <c r="Q1209" s="54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</row>
    <row r="1210">
      <c r="A1210" s="59" t="b">
        <v>0</v>
      </c>
      <c r="B1210" s="54"/>
      <c r="C1210" s="55"/>
      <c r="D1210" s="56"/>
      <c r="E1210" s="40"/>
      <c r="F1210" s="57"/>
      <c r="G1210" s="114"/>
      <c r="H1210" s="59"/>
      <c r="I1210" s="165"/>
      <c r="J1210" s="59"/>
      <c r="K1210" s="53"/>
      <c r="L1210" s="59"/>
      <c r="M1210" s="59"/>
      <c r="N1210" s="47" t="b">
        <v>0</v>
      </c>
      <c r="O1210" s="59"/>
      <c r="Q1210" s="54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</row>
    <row r="1211">
      <c r="A1211" s="59" t="b">
        <v>0</v>
      </c>
      <c r="B1211" s="54"/>
      <c r="C1211" s="55"/>
      <c r="D1211" s="56"/>
      <c r="E1211" s="40"/>
      <c r="F1211" s="57"/>
      <c r="G1211" s="114"/>
      <c r="H1211" s="59"/>
      <c r="I1211" s="165"/>
      <c r="J1211" s="59"/>
      <c r="K1211" s="53"/>
      <c r="L1211" s="59"/>
      <c r="M1211" s="59"/>
      <c r="N1211" s="47" t="b">
        <v>0</v>
      </c>
      <c r="O1211" s="59"/>
      <c r="Q1211" s="54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</row>
    <row r="1212">
      <c r="A1212" s="59" t="b">
        <v>0</v>
      </c>
      <c r="B1212" s="54"/>
      <c r="C1212" s="55"/>
      <c r="D1212" s="56"/>
      <c r="E1212" s="40"/>
      <c r="F1212" s="57"/>
      <c r="G1212" s="114"/>
      <c r="H1212" s="59"/>
      <c r="I1212" s="165"/>
      <c r="J1212" s="59"/>
      <c r="K1212" s="53"/>
      <c r="L1212" s="59"/>
      <c r="M1212" s="59"/>
      <c r="N1212" s="47" t="b">
        <v>0</v>
      </c>
      <c r="O1212" s="59"/>
      <c r="Q1212" s="54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</row>
    <row r="1213">
      <c r="A1213" s="59" t="b">
        <v>0</v>
      </c>
      <c r="B1213" s="54"/>
      <c r="C1213" s="55"/>
      <c r="D1213" s="56"/>
      <c r="E1213" s="40"/>
      <c r="F1213" s="57"/>
      <c r="G1213" s="114"/>
      <c r="H1213" s="59"/>
      <c r="I1213" s="165"/>
      <c r="J1213" s="59"/>
      <c r="K1213" s="53"/>
      <c r="L1213" s="59"/>
      <c r="M1213" s="59"/>
      <c r="N1213" s="47" t="b">
        <v>0</v>
      </c>
      <c r="O1213" s="59"/>
      <c r="Q1213" s="54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</row>
    <row r="1214">
      <c r="A1214" s="59" t="b">
        <v>0</v>
      </c>
      <c r="B1214" s="54"/>
      <c r="C1214" s="55"/>
      <c r="D1214" s="56"/>
      <c r="E1214" s="40"/>
      <c r="F1214" s="57"/>
      <c r="G1214" s="114"/>
      <c r="H1214" s="59"/>
      <c r="I1214" s="165"/>
      <c r="J1214" s="59"/>
      <c r="K1214" s="53"/>
      <c r="L1214" s="59"/>
      <c r="M1214" s="59"/>
      <c r="N1214" s="47" t="b">
        <v>0</v>
      </c>
      <c r="O1214" s="59"/>
      <c r="Q1214" s="54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</row>
    <row r="1215">
      <c r="A1215" s="59" t="b">
        <v>0</v>
      </c>
      <c r="B1215" s="54"/>
      <c r="C1215" s="55"/>
      <c r="D1215" s="56"/>
      <c r="E1215" s="40"/>
      <c r="F1215" s="57"/>
      <c r="G1215" s="114"/>
      <c r="H1215" s="59"/>
      <c r="I1215" s="165"/>
      <c r="J1215" s="59"/>
      <c r="K1215" s="53"/>
      <c r="L1215" s="59"/>
      <c r="M1215" s="59"/>
      <c r="N1215" s="47" t="b">
        <v>0</v>
      </c>
      <c r="O1215" s="59"/>
      <c r="Q1215" s="54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</row>
    <row r="1216">
      <c r="A1216" s="59" t="b">
        <v>0</v>
      </c>
      <c r="B1216" s="54"/>
      <c r="C1216" s="55"/>
      <c r="D1216" s="56"/>
      <c r="E1216" s="40"/>
      <c r="F1216" s="57"/>
      <c r="G1216" s="114"/>
      <c r="H1216" s="59"/>
      <c r="I1216" s="165"/>
      <c r="J1216" s="59"/>
      <c r="K1216" s="53"/>
      <c r="L1216" s="59"/>
      <c r="M1216" s="59"/>
      <c r="N1216" s="47" t="b">
        <v>0</v>
      </c>
      <c r="O1216" s="59"/>
      <c r="Q1216" s="54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</row>
    <row r="1217">
      <c r="A1217" s="59" t="b">
        <v>0</v>
      </c>
      <c r="B1217" s="54"/>
      <c r="C1217" s="55"/>
      <c r="D1217" s="56"/>
      <c r="E1217" s="40"/>
      <c r="F1217" s="57"/>
      <c r="G1217" s="114"/>
      <c r="H1217" s="59"/>
      <c r="I1217" s="165"/>
      <c r="J1217" s="59"/>
      <c r="K1217" s="53"/>
      <c r="L1217" s="59"/>
      <c r="M1217" s="59"/>
      <c r="N1217" s="47" t="b">
        <v>0</v>
      </c>
      <c r="O1217" s="59"/>
      <c r="Q1217" s="54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</row>
    <row r="1218">
      <c r="A1218" s="59" t="b">
        <v>0</v>
      </c>
      <c r="B1218" s="54"/>
      <c r="C1218" s="55"/>
      <c r="D1218" s="56"/>
      <c r="E1218" s="40"/>
      <c r="F1218" s="57"/>
      <c r="G1218" s="114"/>
      <c r="H1218" s="59"/>
      <c r="I1218" s="165"/>
      <c r="J1218" s="59"/>
      <c r="K1218" s="53"/>
      <c r="L1218" s="59"/>
      <c r="M1218" s="59"/>
      <c r="N1218" s="47" t="b">
        <v>0</v>
      </c>
      <c r="O1218" s="59"/>
      <c r="Q1218" s="54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</row>
    <row r="1219">
      <c r="A1219" s="59" t="b">
        <v>0</v>
      </c>
      <c r="B1219" s="54"/>
      <c r="C1219" s="55"/>
      <c r="D1219" s="56"/>
      <c r="E1219" s="40"/>
      <c r="F1219" s="57"/>
      <c r="G1219" s="114"/>
      <c r="H1219" s="59"/>
      <c r="I1219" s="165"/>
      <c r="J1219" s="59"/>
      <c r="K1219" s="53"/>
      <c r="L1219" s="59"/>
      <c r="M1219" s="59"/>
      <c r="N1219" s="47" t="b">
        <v>0</v>
      </c>
      <c r="O1219" s="59"/>
      <c r="Q1219" s="54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</row>
    <row r="1220">
      <c r="A1220" s="59" t="b">
        <v>0</v>
      </c>
      <c r="B1220" s="54"/>
      <c r="C1220" s="55"/>
      <c r="D1220" s="56"/>
      <c r="E1220" s="40"/>
      <c r="F1220" s="57"/>
      <c r="G1220" s="114"/>
      <c r="H1220" s="59"/>
      <c r="I1220" s="165"/>
      <c r="J1220" s="59"/>
      <c r="K1220" s="53"/>
      <c r="L1220" s="59"/>
      <c r="M1220" s="59"/>
      <c r="N1220" s="47" t="b">
        <v>0</v>
      </c>
      <c r="O1220" s="59"/>
      <c r="Q1220" s="54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</row>
    <row r="1221">
      <c r="A1221" s="59" t="b">
        <v>0</v>
      </c>
      <c r="B1221" s="54"/>
      <c r="C1221" s="55"/>
      <c r="D1221" s="56"/>
      <c r="E1221" s="40"/>
      <c r="F1221" s="57"/>
      <c r="G1221" s="114"/>
      <c r="H1221" s="59"/>
      <c r="I1221" s="165"/>
      <c r="J1221" s="59"/>
      <c r="K1221" s="53"/>
      <c r="L1221" s="59"/>
      <c r="M1221" s="59"/>
      <c r="N1221" s="47" t="b">
        <v>0</v>
      </c>
      <c r="O1221" s="59"/>
      <c r="Q1221" s="54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</row>
    <row r="1222">
      <c r="A1222" s="59" t="b">
        <v>0</v>
      </c>
      <c r="B1222" s="54"/>
      <c r="C1222" s="55"/>
      <c r="D1222" s="56"/>
      <c r="E1222" s="40"/>
      <c r="F1222" s="57"/>
      <c r="G1222" s="114"/>
      <c r="H1222" s="59"/>
      <c r="I1222" s="165"/>
      <c r="J1222" s="59"/>
      <c r="K1222" s="53"/>
      <c r="L1222" s="59"/>
      <c r="M1222" s="59"/>
      <c r="N1222" s="47" t="b">
        <v>0</v>
      </c>
      <c r="O1222" s="59"/>
      <c r="Q1222" s="54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</row>
    <row r="1223">
      <c r="A1223" s="59" t="b">
        <v>0</v>
      </c>
      <c r="B1223" s="54"/>
      <c r="C1223" s="55"/>
      <c r="D1223" s="56"/>
      <c r="E1223" s="40"/>
      <c r="F1223" s="57"/>
      <c r="G1223" s="114"/>
      <c r="H1223" s="59"/>
      <c r="I1223" s="165"/>
      <c r="J1223" s="59"/>
      <c r="K1223" s="53"/>
      <c r="L1223" s="59"/>
      <c r="M1223" s="59"/>
      <c r="N1223" s="47" t="b">
        <v>0</v>
      </c>
      <c r="O1223" s="59"/>
      <c r="Q1223" s="54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</row>
    <row r="1224">
      <c r="A1224" s="59" t="b">
        <v>0</v>
      </c>
      <c r="B1224" s="54"/>
      <c r="C1224" s="55"/>
      <c r="D1224" s="56"/>
      <c r="E1224" s="40"/>
      <c r="F1224" s="57"/>
      <c r="G1224" s="114"/>
      <c r="H1224" s="59"/>
      <c r="I1224" s="165"/>
      <c r="J1224" s="59"/>
      <c r="K1224" s="53"/>
      <c r="L1224" s="59"/>
      <c r="M1224" s="59"/>
      <c r="N1224" s="47" t="b">
        <v>0</v>
      </c>
      <c r="O1224" s="59"/>
      <c r="Q1224" s="54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</row>
    <row r="1225">
      <c r="A1225" s="59" t="b">
        <v>0</v>
      </c>
      <c r="B1225" s="54"/>
      <c r="C1225" s="55"/>
      <c r="D1225" s="56"/>
      <c r="E1225" s="40"/>
      <c r="F1225" s="57"/>
      <c r="G1225" s="114"/>
      <c r="H1225" s="59"/>
      <c r="I1225" s="165"/>
      <c r="J1225" s="59"/>
      <c r="K1225" s="53"/>
      <c r="L1225" s="59"/>
      <c r="M1225" s="59"/>
      <c r="N1225" s="47" t="b">
        <v>0</v>
      </c>
      <c r="O1225" s="59"/>
      <c r="Q1225" s="54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</row>
    <row r="1226">
      <c r="A1226" s="59" t="b">
        <v>0</v>
      </c>
      <c r="B1226" s="54"/>
      <c r="C1226" s="55"/>
      <c r="D1226" s="56"/>
      <c r="E1226" s="40"/>
      <c r="F1226" s="57"/>
      <c r="G1226" s="114"/>
      <c r="H1226" s="59"/>
      <c r="I1226" s="165"/>
      <c r="J1226" s="59"/>
      <c r="K1226" s="53"/>
      <c r="L1226" s="59"/>
      <c r="M1226" s="59"/>
      <c r="N1226" s="47" t="b">
        <v>0</v>
      </c>
      <c r="O1226" s="59"/>
      <c r="Q1226" s="54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</row>
    <row r="1227">
      <c r="A1227" s="59" t="b">
        <v>0</v>
      </c>
      <c r="B1227" s="54"/>
      <c r="C1227" s="55"/>
      <c r="D1227" s="56"/>
      <c r="E1227" s="40"/>
      <c r="F1227" s="57"/>
      <c r="G1227" s="114"/>
      <c r="H1227" s="59"/>
      <c r="I1227" s="165"/>
      <c r="J1227" s="59"/>
      <c r="K1227" s="53"/>
      <c r="L1227" s="59"/>
      <c r="M1227" s="59"/>
      <c r="N1227" s="47" t="b">
        <v>0</v>
      </c>
      <c r="O1227" s="59"/>
      <c r="Q1227" s="54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</row>
    <row r="1228">
      <c r="A1228" s="59" t="b">
        <v>0</v>
      </c>
      <c r="B1228" s="54"/>
      <c r="C1228" s="55"/>
      <c r="D1228" s="56"/>
      <c r="E1228" s="40"/>
      <c r="F1228" s="57"/>
      <c r="G1228" s="114"/>
      <c r="H1228" s="59"/>
      <c r="I1228" s="165"/>
      <c r="J1228" s="59"/>
      <c r="K1228" s="53"/>
      <c r="L1228" s="59"/>
      <c r="M1228" s="59"/>
      <c r="N1228" s="47" t="b">
        <v>0</v>
      </c>
      <c r="O1228" s="59"/>
      <c r="Q1228" s="54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</row>
    <row r="1229">
      <c r="A1229" s="59" t="b">
        <v>0</v>
      </c>
      <c r="B1229" s="54"/>
      <c r="C1229" s="55"/>
      <c r="D1229" s="56"/>
      <c r="E1229" s="40"/>
      <c r="F1229" s="57"/>
      <c r="G1229" s="114"/>
      <c r="H1229" s="59"/>
      <c r="I1229" s="165"/>
      <c r="J1229" s="59"/>
      <c r="K1229" s="53"/>
      <c r="L1229" s="59"/>
      <c r="M1229" s="59"/>
      <c r="N1229" s="47" t="b">
        <v>0</v>
      </c>
      <c r="O1229" s="59"/>
      <c r="Q1229" s="54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</row>
    <row r="1230">
      <c r="A1230" s="59" t="b">
        <v>0</v>
      </c>
      <c r="B1230" s="54"/>
      <c r="C1230" s="55"/>
      <c r="D1230" s="56"/>
      <c r="E1230" s="40"/>
      <c r="F1230" s="57"/>
      <c r="G1230" s="114"/>
      <c r="H1230" s="59"/>
      <c r="I1230" s="165"/>
      <c r="J1230" s="59"/>
      <c r="K1230" s="53"/>
      <c r="L1230" s="59"/>
      <c r="M1230" s="59"/>
      <c r="N1230" s="47" t="b">
        <v>0</v>
      </c>
      <c r="O1230" s="59"/>
      <c r="Q1230" s="54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</row>
    <row r="1231">
      <c r="A1231" s="59" t="b">
        <v>0</v>
      </c>
      <c r="B1231" s="54"/>
      <c r="C1231" s="55"/>
      <c r="D1231" s="56"/>
      <c r="E1231" s="40"/>
      <c r="F1231" s="57"/>
      <c r="G1231" s="114"/>
      <c r="H1231" s="59"/>
      <c r="I1231" s="165"/>
      <c r="J1231" s="59"/>
      <c r="K1231" s="53"/>
      <c r="L1231" s="59"/>
      <c r="M1231" s="59"/>
      <c r="N1231" s="47" t="b">
        <v>0</v>
      </c>
      <c r="O1231" s="59"/>
      <c r="Q1231" s="54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</row>
    <row r="1232">
      <c r="A1232" s="59" t="b">
        <v>0</v>
      </c>
      <c r="B1232" s="54"/>
      <c r="C1232" s="55"/>
      <c r="D1232" s="56"/>
      <c r="E1232" s="40"/>
      <c r="F1232" s="57"/>
      <c r="G1232" s="114"/>
      <c r="H1232" s="59"/>
      <c r="I1232" s="165"/>
      <c r="J1232" s="59"/>
      <c r="K1232" s="53"/>
      <c r="L1232" s="59"/>
      <c r="M1232" s="59"/>
      <c r="N1232" s="47" t="b">
        <v>0</v>
      </c>
      <c r="O1232" s="59"/>
      <c r="Q1232" s="54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</row>
    <row r="1233">
      <c r="A1233" s="59" t="b">
        <v>0</v>
      </c>
      <c r="B1233" s="54"/>
      <c r="C1233" s="55"/>
      <c r="D1233" s="56"/>
      <c r="E1233" s="40"/>
      <c r="F1233" s="57"/>
      <c r="G1233" s="114"/>
      <c r="H1233" s="59"/>
      <c r="I1233" s="165"/>
      <c r="J1233" s="59"/>
      <c r="K1233" s="53"/>
      <c r="L1233" s="59"/>
      <c r="M1233" s="59"/>
      <c r="N1233" s="47" t="b">
        <v>0</v>
      </c>
      <c r="O1233" s="59"/>
      <c r="Q1233" s="54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</row>
    <row r="1234">
      <c r="A1234" s="59" t="b">
        <v>0</v>
      </c>
      <c r="B1234" s="54"/>
      <c r="C1234" s="55"/>
      <c r="D1234" s="56"/>
      <c r="E1234" s="40"/>
      <c r="F1234" s="57"/>
      <c r="G1234" s="114"/>
      <c r="H1234" s="59"/>
      <c r="I1234" s="165"/>
      <c r="J1234" s="59"/>
      <c r="K1234" s="53"/>
      <c r="L1234" s="59"/>
      <c r="M1234" s="59"/>
      <c r="N1234" s="47" t="b">
        <v>0</v>
      </c>
      <c r="O1234" s="59"/>
      <c r="Q1234" s="54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</row>
    <row r="1235">
      <c r="A1235" s="59" t="b">
        <v>0</v>
      </c>
      <c r="B1235" s="54"/>
      <c r="C1235" s="55"/>
      <c r="D1235" s="56"/>
      <c r="E1235" s="40"/>
      <c r="F1235" s="57"/>
      <c r="G1235" s="114"/>
      <c r="H1235" s="59"/>
      <c r="I1235" s="165"/>
      <c r="J1235" s="59"/>
      <c r="K1235" s="53"/>
      <c r="L1235" s="59"/>
      <c r="M1235" s="59"/>
      <c r="N1235" s="47" t="b">
        <v>0</v>
      </c>
      <c r="O1235" s="59"/>
      <c r="Q1235" s="54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</row>
    <row r="1236">
      <c r="A1236" s="59" t="b">
        <v>0</v>
      </c>
      <c r="B1236" s="54"/>
      <c r="C1236" s="55"/>
      <c r="D1236" s="56"/>
      <c r="E1236" s="40"/>
      <c r="F1236" s="57"/>
      <c r="G1236" s="114"/>
      <c r="H1236" s="59"/>
      <c r="I1236" s="165"/>
      <c r="J1236" s="59"/>
      <c r="K1236" s="53"/>
      <c r="L1236" s="59"/>
      <c r="M1236" s="59"/>
      <c r="N1236" s="47" t="b">
        <v>0</v>
      </c>
      <c r="O1236" s="59"/>
      <c r="Q1236" s="54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</row>
    <row r="1237">
      <c r="A1237" s="59" t="b">
        <v>0</v>
      </c>
      <c r="B1237" s="54"/>
      <c r="C1237" s="55"/>
      <c r="D1237" s="56"/>
      <c r="E1237" s="40"/>
      <c r="F1237" s="57"/>
      <c r="G1237" s="114"/>
      <c r="H1237" s="59"/>
      <c r="I1237" s="165"/>
      <c r="J1237" s="59"/>
      <c r="K1237" s="53"/>
      <c r="L1237" s="59"/>
      <c r="M1237" s="59"/>
      <c r="N1237" s="47" t="b">
        <v>0</v>
      </c>
      <c r="O1237" s="59"/>
      <c r="Q1237" s="54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</row>
    <row r="1238">
      <c r="A1238" s="59" t="b">
        <v>0</v>
      </c>
      <c r="B1238" s="54"/>
      <c r="C1238" s="55"/>
      <c r="D1238" s="56"/>
      <c r="E1238" s="40"/>
      <c r="F1238" s="57"/>
      <c r="G1238" s="114"/>
      <c r="H1238" s="59"/>
      <c r="I1238" s="165"/>
      <c r="J1238" s="59"/>
      <c r="K1238" s="53"/>
      <c r="L1238" s="59"/>
      <c r="M1238" s="59"/>
      <c r="N1238" s="47" t="b">
        <v>0</v>
      </c>
      <c r="O1238" s="59"/>
      <c r="Q1238" s="54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</row>
    <row r="1239">
      <c r="A1239" s="59" t="b">
        <v>0</v>
      </c>
      <c r="B1239" s="54"/>
      <c r="C1239" s="55"/>
      <c r="D1239" s="56"/>
      <c r="E1239" s="40"/>
      <c r="F1239" s="57"/>
      <c r="G1239" s="114"/>
      <c r="H1239" s="59"/>
      <c r="I1239" s="165"/>
      <c r="J1239" s="59"/>
      <c r="K1239" s="53"/>
      <c r="L1239" s="59"/>
      <c r="M1239" s="59"/>
      <c r="N1239" s="47" t="b">
        <v>0</v>
      </c>
      <c r="O1239" s="59"/>
      <c r="Q1239" s="54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</row>
    <row r="1240">
      <c r="A1240" s="59" t="b">
        <v>0</v>
      </c>
      <c r="B1240" s="54"/>
      <c r="C1240" s="55"/>
      <c r="D1240" s="56"/>
      <c r="E1240" s="40"/>
      <c r="F1240" s="57"/>
      <c r="G1240" s="114"/>
      <c r="H1240" s="59"/>
      <c r="I1240" s="165"/>
      <c r="J1240" s="59"/>
      <c r="K1240" s="53"/>
      <c r="L1240" s="59"/>
      <c r="M1240" s="59"/>
      <c r="N1240" s="47" t="b">
        <v>0</v>
      </c>
      <c r="O1240" s="59"/>
      <c r="Q1240" s="54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</row>
    <row r="1241">
      <c r="A1241" s="59" t="b">
        <v>0</v>
      </c>
      <c r="B1241" s="54"/>
      <c r="C1241" s="55"/>
      <c r="D1241" s="56"/>
      <c r="E1241" s="40"/>
      <c r="F1241" s="57"/>
      <c r="G1241" s="114"/>
      <c r="H1241" s="59"/>
      <c r="I1241" s="165"/>
      <c r="J1241" s="59"/>
      <c r="K1241" s="53"/>
      <c r="L1241" s="59"/>
      <c r="M1241" s="59"/>
      <c r="N1241" s="47" t="b">
        <v>0</v>
      </c>
      <c r="O1241" s="59"/>
      <c r="Q1241" s="54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</row>
    <row r="1242">
      <c r="A1242" s="59" t="b">
        <v>0</v>
      </c>
      <c r="B1242" s="54"/>
      <c r="C1242" s="55"/>
      <c r="D1242" s="56"/>
      <c r="E1242" s="40"/>
      <c r="F1242" s="57"/>
      <c r="G1242" s="114"/>
      <c r="H1242" s="59"/>
      <c r="I1242" s="165"/>
      <c r="J1242" s="59"/>
      <c r="K1242" s="53"/>
      <c r="L1242" s="59"/>
      <c r="M1242" s="59"/>
      <c r="N1242" s="47" t="b">
        <v>0</v>
      </c>
      <c r="O1242" s="59"/>
      <c r="Q1242" s="54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</row>
    <row r="1243">
      <c r="A1243" s="59" t="b">
        <v>0</v>
      </c>
      <c r="B1243" s="54"/>
      <c r="C1243" s="55"/>
      <c r="D1243" s="56"/>
      <c r="E1243" s="40"/>
      <c r="F1243" s="57"/>
      <c r="G1243" s="114"/>
      <c r="H1243" s="59"/>
      <c r="I1243" s="165"/>
      <c r="J1243" s="59"/>
      <c r="K1243" s="53"/>
      <c r="L1243" s="59"/>
      <c r="M1243" s="59"/>
      <c r="N1243" s="47" t="b">
        <v>0</v>
      </c>
      <c r="O1243" s="59"/>
      <c r="Q1243" s="54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</row>
    <row r="1244">
      <c r="A1244" s="59" t="b">
        <v>0</v>
      </c>
      <c r="B1244" s="54"/>
      <c r="C1244" s="55"/>
      <c r="D1244" s="56"/>
      <c r="E1244" s="40"/>
      <c r="F1244" s="57"/>
      <c r="G1244" s="114"/>
      <c r="H1244" s="59"/>
      <c r="I1244" s="165"/>
      <c r="J1244" s="59"/>
      <c r="K1244" s="53"/>
      <c r="L1244" s="59"/>
      <c r="M1244" s="59"/>
      <c r="N1244" s="47" t="b">
        <v>0</v>
      </c>
      <c r="O1244" s="59"/>
      <c r="Q1244" s="54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</row>
    <row r="1245">
      <c r="A1245" s="59" t="b">
        <v>0</v>
      </c>
      <c r="B1245" s="54"/>
      <c r="C1245" s="55"/>
      <c r="D1245" s="56"/>
      <c r="E1245" s="40"/>
      <c r="F1245" s="57"/>
      <c r="G1245" s="114"/>
      <c r="H1245" s="59"/>
      <c r="I1245" s="165"/>
      <c r="J1245" s="59"/>
      <c r="K1245" s="53"/>
      <c r="L1245" s="59"/>
      <c r="M1245" s="59"/>
      <c r="N1245" s="47" t="b">
        <v>0</v>
      </c>
      <c r="O1245" s="59"/>
      <c r="Q1245" s="54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</row>
    <row r="1246">
      <c r="A1246" s="59" t="b">
        <v>0</v>
      </c>
      <c r="B1246" s="54"/>
      <c r="C1246" s="55"/>
      <c r="D1246" s="56"/>
      <c r="E1246" s="40"/>
      <c r="F1246" s="57"/>
      <c r="G1246" s="114"/>
      <c r="H1246" s="59"/>
      <c r="I1246" s="165"/>
      <c r="J1246" s="59"/>
      <c r="K1246" s="53"/>
      <c r="L1246" s="59"/>
      <c r="M1246" s="59"/>
      <c r="N1246" s="47" t="b">
        <v>0</v>
      </c>
      <c r="O1246" s="59"/>
      <c r="Q1246" s="54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</row>
    <row r="1247">
      <c r="A1247" s="59" t="b">
        <v>0</v>
      </c>
      <c r="B1247" s="54"/>
      <c r="C1247" s="55"/>
      <c r="D1247" s="56"/>
      <c r="E1247" s="40"/>
      <c r="F1247" s="57"/>
      <c r="G1247" s="114"/>
      <c r="H1247" s="59"/>
      <c r="I1247" s="165"/>
      <c r="J1247" s="59"/>
      <c r="K1247" s="53"/>
      <c r="L1247" s="59"/>
      <c r="M1247" s="59"/>
      <c r="N1247" s="47" t="b">
        <v>0</v>
      </c>
      <c r="O1247" s="59"/>
      <c r="Q1247" s="54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</row>
    <row r="1248">
      <c r="A1248" s="59" t="b">
        <v>0</v>
      </c>
      <c r="B1248" s="54"/>
      <c r="C1248" s="55"/>
      <c r="D1248" s="56"/>
      <c r="E1248" s="40"/>
      <c r="F1248" s="57"/>
      <c r="G1248" s="114"/>
      <c r="H1248" s="59"/>
      <c r="I1248" s="165"/>
      <c r="J1248" s="59"/>
      <c r="K1248" s="53"/>
      <c r="L1248" s="59"/>
      <c r="M1248" s="59"/>
      <c r="N1248" s="47" t="b">
        <v>0</v>
      </c>
      <c r="O1248" s="59"/>
      <c r="Q1248" s="54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</row>
    <row r="1249">
      <c r="A1249" s="59" t="b">
        <v>0</v>
      </c>
      <c r="B1249" s="54"/>
      <c r="C1249" s="55"/>
      <c r="D1249" s="56"/>
      <c r="E1249" s="40"/>
      <c r="F1249" s="57"/>
      <c r="G1249" s="114"/>
      <c r="H1249" s="59"/>
      <c r="I1249" s="165"/>
      <c r="J1249" s="59"/>
      <c r="K1249" s="53"/>
      <c r="L1249" s="59"/>
      <c r="M1249" s="59"/>
      <c r="N1249" s="47" t="b">
        <v>0</v>
      </c>
      <c r="O1249" s="59"/>
      <c r="Q1249" s="54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</row>
    <row r="1250">
      <c r="A1250" s="59" t="b">
        <v>0</v>
      </c>
      <c r="B1250" s="54"/>
      <c r="C1250" s="55"/>
      <c r="D1250" s="56"/>
      <c r="E1250" s="40"/>
      <c r="F1250" s="57"/>
      <c r="G1250" s="114"/>
      <c r="H1250" s="59"/>
      <c r="I1250" s="165"/>
      <c r="J1250" s="59"/>
      <c r="K1250" s="53"/>
      <c r="L1250" s="59"/>
      <c r="M1250" s="59"/>
      <c r="N1250" s="47" t="b">
        <v>0</v>
      </c>
      <c r="O1250" s="59"/>
      <c r="Q1250" s="54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</row>
    <row r="1251">
      <c r="A1251" s="59" t="b">
        <v>0</v>
      </c>
      <c r="B1251" s="54"/>
      <c r="C1251" s="55"/>
      <c r="D1251" s="56"/>
      <c r="E1251" s="40"/>
      <c r="F1251" s="57"/>
      <c r="G1251" s="114"/>
      <c r="H1251" s="59"/>
      <c r="I1251" s="165"/>
      <c r="J1251" s="59"/>
      <c r="K1251" s="53"/>
      <c r="L1251" s="59"/>
      <c r="M1251" s="59"/>
      <c r="N1251" s="47" t="b">
        <v>0</v>
      </c>
      <c r="O1251" s="59"/>
      <c r="Q1251" s="54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</row>
    <row r="1252">
      <c r="A1252" s="59" t="b">
        <v>0</v>
      </c>
      <c r="B1252" s="54"/>
      <c r="C1252" s="55"/>
      <c r="D1252" s="56"/>
      <c r="E1252" s="40"/>
      <c r="F1252" s="57"/>
      <c r="G1252" s="114"/>
      <c r="H1252" s="59"/>
      <c r="I1252" s="165"/>
      <c r="J1252" s="59"/>
      <c r="K1252" s="53"/>
      <c r="L1252" s="59"/>
      <c r="M1252" s="59"/>
      <c r="N1252" s="47" t="b">
        <v>0</v>
      </c>
      <c r="O1252" s="59"/>
      <c r="Q1252" s="54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</row>
    <row r="1253">
      <c r="A1253" s="59" t="b">
        <v>0</v>
      </c>
      <c r="B1253" s="54"/>
      <c r="C1253" s="55"/>
      <c r="D1253" s="56"/>
      <c r="E1253" s="40"/>
      <c r="F1253" s="57"/>
      <c r="G1253" s="114"/>
      <c r="H1253" s="59"/>
      <c r="I1253" s="165"/>
      <c r="J1253" s="59"/>
      <c r="K1253" s="53"/>
      <c r="L1253" s="59"/>
      <c r="M1253" s="59"/>
      <c r="N1253" s="47" t="b">
        <v>0</v>
      </c>
      <c r="O1253" s="59"/>
      <c r="Q1253" s="54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</row>
    <row r="1254">
      <c r="A1254" s="59" t="b">
        <v>0</v>
      </c>
      <c r="B1254" s="54"/>
      <c r="C1254" s="55"/>
      <c r="D1254" s="56"/>
      <c r="E1254" s="40"/>
      <c r="F1254" s="57"/>
      <c r="G1254" s="114"/>
      <c r="H1254" s="59"/>
      <c r="I1254" s="165"/>
      <c r="J1254" s="59"/>
      <c r="K1254" s="53"/>
      <c r="L1254" s="59"/>
      <c r="M1254" s="59"/>
      <c r="N1254" s="47" t="b">
        <v>0</v>
      </c>
      <c r="O1254" s="59"/>
      <c r="Q1254" s="54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</row>
    <row r="1255">
      <c r="A1255" s="59" t="b">
        <v>0</v>
      </c>
      <c r="B1255" s="54"/>
      <c r="C1255" s="55"/>
      <c r="D1255" s="56"/>
      <c r="E1255" s="40"/>
      <c r="F1255" s="57"/>
      <c r="G1255" s="114"/>
      <c r="H1255" s="59"/>
      <c r="I1255" s="165"/>
      <c r="J1255" s="59"/>
      <c r="K1255" s="53"/>
      <c r="L1255" s="59"/>
      <c r="M1255" s="59"/>
      <c r="N1255" s="47" t="b">
        <v>0</v>
      </c>
      <c r="O1255" s="59"/>
      <c r="Q1255" s="54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</row>
    <row r="1256">
      <c r="A1256" s="59" t="b">
        <v>0</v>
      </c>
      <c r="B1256" s="54"/>
      <c r="C1256" s="55"/>
      <c r="D1256" s="56"/>
      <c r="E1256" s="40"/>
      <c r="F1256" s="57"/>
      <c r="G1256" s="114"/>
      <c r="H1256" s="59"/>
      <c r="I1256" s="165"/>
      <c r="J1256" s="59"/>
      <c r="K1256" s="53"/>
      <c r="L1256" s="59"/>
      <c r="M1256" s="59"/>
      <c r="N1256" s="47" t="b">
        <v>0</v>
      </c>
      <c r="O1256" s="59"/>
      <c r="Q1256" s="54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</row>
    <row r="1257">
      <c r="A1257" s="59" t="b">
        <v>0</v>
      </c>
      <c r="B1257" s="54"/>
      <c r="C1257" s="55"/>
      <c r="D1257" s="56"/>
      <c r="E1257" s="40"/>
      <c r="F1257" s="57"/>
      <c r="G1257" s="114"/>
      <c r="H1257" s="59"/>
      <c r="I1257" s="165"/>
      <c r="J1257" s="59"/>
      <c r="K1257" s="53"/>
      <c r="L1257" s="59"/>
      <c r="M1257" s="59"/>
      <c r="N1257" s="47" t="b">
        <v>0</v>
      </c>
      <c r="O1257" s="59"/>
      <c r="Q1257" s="54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</row>
    <row r="1258">
      <c r="A1258" s="59" t="b">
        <v>0</v>
      </c>
      <c r="B1258" s="54"/>
      <c r="C1258" s="55"/>
      <c r="D1258" s="56"/>
      <c r="E1258" s="40"/>
      <c r="F1258" s="57"/>
      <c r="G1258" s="114"/>
      <c r="H1258" s="59"/>
      <c r="I1258" s="165"/>
      <c r="J1258" s="59"/>
      <c r="K1258" s="53"/>
      <c r="L1258" s="59"/>
      <c r="M1258" s="59"/>
      <c r="N1258" s="47" t="b">
        <v>0</v>
      </c>
      <c r="O1258" s="59"/>
      <c r="Q1258" s="54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</row>
    <row r="1259">
      <c r="A1259" s="59" t="b">
        <v>0</v>
      </c>
      <c r="B1259" s="54"/>
      <c r="C1259" s="55"/>
      <c r="D1259" s="56"/>
      <c r="E1259" s="40"/>
      <c r="F1259" s="57"/>
      <c r="G1259" s="114"/>
      <c r="H1259" s="59"/>
      <c r="I1259" s="165"/>
      <c r="J1259" s="59"/>
      <c r="K1259" s="53"/>
      <c r="L1259" s="59"/>
      <c r="M1259" s="59"/>
      <c r="N1259" s="47" t="b">
        <v>0</v>
      </c>
      <c r="O1259" s="59"/>
      <c r="Q1259" s="54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</row>
    <row r="1260">
      <c r="A1260" s="59" t="b">
        <v>0</v>
      </c>
      <c r="B1260" s="54"/>
      <c r="C1260" s="55"/>
      <c r="D1260" s="56"/>
      <c r="E1260" s="40"/>
      <c r="F1260" s="57"/>
      <c r="G1260" s="114"/>
      <c r="H1260" s="59"/>
      <c r="I1260" s="165"/>
      <c r="J1260" s="59"/>
      <c r="K1260" s="53"/>
      <c r="L1260" s="59"/>
      <c r="M1260" s="59"/>
      <c r="N1260" s="47" t="b">
        <v>0</v>
      </c>
      <c r="O1260" s="59"/>
      <c r="Q1260" s="54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</row>
    <row r="1261">
      <c r="A1261" s="59" t="b">
        <v>0</v>
      </c>
      <c r="B1261" s="54"/>
      <c r="C1261" s="55"/>
      <c r="D1261" s="56"/>
      <c r="E1261" s="40"/>
      <c r="F1261" s="57"/>
      <c r="G1261" s="114"/>
      <c r="H1261" s="59"/>
      <c r="I1261" s="165"/>
      <c r="J1261" s="59"/>
      <c r="K1261" s="53"/>
      <c r="L1261" s="59"/>
      <c r="M1261" s="59"/>
      <c r="N1261" s="47" t="b">
        <v>0</v>
      </c>
      <c r="O1261" s="59"/>
      <c r="Q1261" s="54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</row>
    <row r="1262">
      <c r="A1262" s="59" t="b">
        <v>0</v>
      </c>
      <c r="B1262" s="54"/>
      <c r="C1262" s="55"/>
      <c r="D1262" s="56"/>
      <c r="E1262" s="40"/>
      <c r="F1262" s="57"/>
      <c r="G1262" s="114"/>
      <c r="H1262" s="59"/>
      <c r="I1262" s="165"/>
      <c r="J1262" s="59"/>
      <c r="K1262" s="53"/>
      <c r="L1262" s="59"/>
      <c r="M1262" s="59"/>
      <c r="N1262" s="47" t="b">
        <v>0</v>
      </c>
      <c r="O1262" s="59"/>
      <c r="Q1262" s="54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</row>
    <row r="1263">
      <c r="A1263" s="59" t="b">
        <v>0</v>
      </c>
      <c r="B1263" s="54"/>
      <c r="C1263" s="55"/>
      <c r="D1263" s="56"/>
      <c r="E1263" s="40"/>
      <c r="F1263" s="57"/>
      <c r="G1263" s="114"/>
      <c r="H1263" s="59"/>
      <c r="I1263" s="165"/>
      <c r="J1263" s="59"/>
      <c r="K1263" s="53"/>
      <c r="L1263" s="59"/>
      <c r="M1263" s="59"/>
      <c r="N1263" s="47" t="b">
        <v>0</v>
      </c>
      <c r="O1263" s="59"/>
      <c r="Q1263" s="54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</row>
    <row r="1264">
      <c r="A1264" s="59" t="b">
        <v>0</v>
      </c>
      <c r="B1264" s="54"/>
      <c r="C1264" s="55"/>
      <c r="D1264" s="56"/>
      <c r="E1264" s="40"/>
      <c r="F1264" s="57"/>
      <c r="G1264" s="114"/>
      <c r="H1264" s="59"/>
      <c r="I1264" s="165"/>
      <c r="J1264" s="59"/>
      <c r="K1264" s="53"/>
      <c r="L1264" s="59"/>
      <c r="M1264" s="59"/>
      <c r="N1264" s="47" t="b">
        <v>0</v>
      </c>
      <c r="O1264" s="59"/>
      <c r="Q1264" s="54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</row>
    <row r="1265">
      <c r="A1265" s="59" t="b">
        <v>0</v>
      </c>
      <c r="B1265" s="54"/>
      <c r="C1265" s="55"/>
      <c r="D1265" s="56"/>
      <c r="E1265" s="40"/>
      <c r="F1265" s="57"/>
      <c r="G1265" s="114"/>
      <c r="H1265" s="59"/>
      <c r="I1265" s="165"/>
      <c r="J1265" s="59"/>
      <c r="K1265" s="53"/>
      <c r="L1265" s="59"/>
      <c r="M1265" s="59"/>
      <c r="N1265" s="47" t="b">
        <v>0</v>
      </c>
      <c r="O1265" s="59"/>
      <c r="Q1265" s="54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</row>
    <row r="1266">
      <c r="A1266" s="59" t="b">
        <v>0</v>
      </c>
      <c r="B1266" s="54"/>
      <c r="C1266" s="55"/>
      <c r="D1266" s="56"/>
      <c r="E1266" s="40"/>
      <c r="F1266" s="57"/>
      <c r="G1266" s="114"/>
      <c r="H1266" s="59"/>
      <c r="I1266" s="165"/>
      <c r="J1266" s="59"/>
      <c r="K1266" s="53"/>
      <c r="L1266" s="59"/>
      <c r="M1266" s="59"/>
      <c r="N1266" s="47" t="b">
        <v>0</v>
      </c>
      <c r="O1266" s="59"/>
      <c r="Q1266" s="54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</row>
    <row r="1267">
      <c r="A1267" s="59" t="b">
        <v>0</v>
      </c>
      <c r="B1267" s="54"/>
      <c r="C1267" s="55"/>
      <c r="D1267" s="56"/>
      <c r="E1267" s="40"/>
      <c r="F1267" s="57"/>
      <c r="G1267" s="114"/>
      <c r="H1267" s="59"/>
      <c r="I1267" s="165"/>
      <c r="J1267" s="59"/>
      <c r="K1267" s="53"/>
      <c r="L1267" s="59"/>
      <c r="M1267" s="59"/>
      <c r="N1267" s="47" t="b">
        <v>0</v>
      </c>
      <c r="O1267" s="59"/>
      <c r="Q1267" s="54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</row>
    <row r="1268">
      <c r="A1268" s="59" t="b">
        <v>0</v>
      </c>
      <c r="B1268" s="54"/>
      <c r="C1268" s="55"/>
      <c r="D1268" s="56"/>
      <c r="E1268" s="40"/>
      <c r="F1268" s="57"/>
      <c r="G1268" s="114"/>
      <c r="H1268" s="59"/>
      <c r="I1268" s="165"/>
      <c r="J1268" s="59"/>
      <c r="K1268" s="53"/>
      <c r="L1268" s="59"/>
      <c r="M1268" s="59"/>
      <c r="N1268" s="47" t="b">
        <v>0</v>
      </c>
      <c r="O1268" s="59"/>
      <c r="Q1268" s="54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</row>
    <row r="1269">
      <c r="A1269" s="59" t="b">
        <v>0</v>
      </c>
      <c r="B1269" s="54"/>
      <c r="C1269" s="55"/>
      <c r="D1269" s="56"/>
      <c r="E1269" s="40"/>
      <c r="F1269" s="57"/>
      <c r="G1269" s="114"/>
      <c r="H1269" s="59"/>
      <c r="I1269" s="165"/>
      <c r="J1269" s="59"/>
      <c r="K1269" s="53"/>
      <c r="L1269" s="59"/>
      <c r="M1269" s="59"/>
      <c r="N1269" s="47" t="b">
        <v>0</v>
      </c>
      <c r="O1269" s="59"/>
      <c r="Q1269" s="54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</row>
    <row r="1270">
      <c r="A1270" s="59" t="b">
        <v>0</v>
      </c>
      <c r="B1270" s="54"/>
      <c r="C1270" s="55"/>
      <c r="D1270" s="56"/>
      <c r="E1270" s="40"/>
      <c r="F1270" s="57"/>
      <c r="G1270" s="114"/>
      <c r="H1270" s="59"/>
      <c r="I1270" s="165"/>
      <c r="J1270" s="59"/>
      <c r="K1270" s="53"/>
      <c r="L1270" s="59"/>
      <c r="M1270" s="59"/>
      <c r="N1270" s="47" t="b">
        <v>0</v>
      </c>
      <c r="O1270" s="59"/>
      <c r="Q1270" s="54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</row>
    <row r="1271">
      <c r="A1271" s="59" t="b">
        <v>0</v>
      </c>
      <c r="B1271" s="54"/>
      <c r="C1271" s="55"/>
      <c r="D1271" s="56"/>
      <c r="E1271" s="40"/>
      <c r="F1271" s="57"/>
      <c r="G1271" s="114"/>
      <c r="H1271" s="59"/>
      <c r="I1271" s="165"/>
      <c r="J1271" s="59"/>
      <c r="K1271" s="53"/>
      <c r="L1271" s="59"/>
      <c r="M1271" s="59"/>
      <c r="N1271" s="47" t="b">
        <v>0</v>
      </c>
      <c r="O1271" s="59"/>
      <c r="Q1271" s="54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</row>
    <row r="1272">
      <c r="A1272" s="59" t="b">
        <v>0</v>
      </c>
      <c r="B1272" s="54"/>
      <c r="C1272" s="55"/>
      <c r="D1272" s="56"/>
      <c r="E1272" s="40"/>
      <c r="F1272" s="57"/>
      <c r="G1272" s="114"/>
      <c r="H1272" s="59"/>
      <c r="I1272" s="165"/>
      <c r="J1272" s="59"/>
      <c r="K1272" s="53"/>
      <c r="L1272" s="59"/>
      <c r="M1272" s="59"/>
      <c r="N1272" s="47" t="b">
        <v>0</v>
      </c>
      <c r="O1272" s="59"/>
      <c r="Q1272" s="54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</row>
    <row r="1273">
      <c r="A1273" s="59" t="b">
        <v>0</v>
      </c>
      <c r="B1273" s="54"/>
      <c r="C1273" s="55"/>
      <c r="D1273" s="56"/>
      <c r="E1273" s="40"/>
      <c r="F1273" s="57"/>
      <c r="G1273" s="114"/>
      <c r="H1273" s="59"/>
      <c r="I1273" s="165"/>
      <c r="J1273" s="59"/>
      <c r="K1273" s="53"/>
      <c r="L1273" s="59"/>
      <c r="M1273" s="59"/>
      <c r="N1273" s="47" t="b">
        <v>0</v>
      </c>
      <c r="O1273" s="59"/>
      <c r="Q1273" s="54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</row>
    <row r="1274">
      <c r="A1274" s="59" t="b">
        <v>0</v>
      </c>
      <c r="B1274" s="54"/>
      <c r="C1274" s="55"/>
      <c r="D1274" s="56"/>
      <c r="E1274" s="40"/>
      <c r="F1274" s="57"/>
      <c r="G1274" s="114"/>
      <c r="H1274" s="59"/>
      <c r="I1274" s="165"/>
      <c r="J1274" s="59"/>
      <c r="K1274" s="53"/>
      <c r="L1274" s="59"/>
      <c r="M1274" s="59"/>
      <c r="N1274" s="47" t="b">
        <v>0</v>
      </c>
      <c r="O1274" s="59"/>
      <c r="Q1274" s="54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</row>
    <row r="1275">
      <c r="A1275" s="59" t="b">
        <v>0</v>
      </c>
      <c r="B1275" s="54"/>
      <c r="C1275" s="55"/>
      <c r="D1275" s="56"/>
      <c r="E1275" s="40"/>
      <c r="F1275" s="57"/>
      <c r="G1275" s="114"/>
      <c r="H1275" s="59"/>
      <c r="I1275" s="165"/>
      <c r="J1275" s="59"/>
      <c r="K1275" s="53"/>
      <c r="L1275" s="59"/>
      <c r="M1275" s="59"/>
      <c r="N1275" s="47" t="b">
        <v>0</v>
      </c>
      <c r="O1275" s="59"/>
      <c r="Q1275" s="54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</row>
    <row r="1276">
      <c r="A1276" s="59" t="b">
        <v>0</v>
      </c>
      <c r="B1276" s="54"/>
      <c r="C1276" s="55"/>
      <c r="D1276" s="56"/>
      <c r="E1276" s="40"/>
      <c r="F1276" s="57"/>
      <c r="G1276" s="114"/>
      <c r="H1276" s="59"/>
      <c r="I1276" s="165"/>
      <c r="J1276" s="59"/>
      <c r="K1276" s="53"/>
      <c r="L1276" s="59"/>
      <c r="M1276" s="59"/>
      <c r="N1276" s="47" t="b">
        <v>0</v>
      </c>
      <c r="O1276" s="59"/>
      <c r="Q1276" s="54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</row>
    <row r="1277">
      <c r="A1277" s="59" t="b">
        <v>0</v>
      </c>
      <c r="B1277" s="54"/>
      <c r="C1277" s="55"/>
      <c r="D1277" s="56"/>
      <c r="E1277" s="40"/>
      <c r="F1277" s="57"/>
      <c r="G1277" s="114"/>
      <c r="H1277" s="59"/>
      <c r="I1277" s="165"/>
      <c r="J1277" s="59"/>
      <c r="K1277" s="53"/>
      <c r="L1277" s="59"/>
      <c r="M1277" s="59"/>
      <c r="N1277" s="47" t="b">
        <v>0</v>
      </c>
      <c r="O1277" s="59"/>
      <c r="Q1277" s="54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</row>
    <row r="1278">
      <c r="A1278" s="59" t="b">
        <v>0</v>
      </c>
      <c r="B1278" s="54"/>
      <c r="C1278" s="55"/>
      <c r="D1278" s="56"/>
      <c r="E1278" s="40"/>
      <c r="F1278" s="57"/>
      <c r="G1278" s="114"/>
      <c r="H1278" s="59"/>
      <c r="I1278" s="165"/>
      <c r="J1278" s="59"/>
      <c r="K1278" s="53"/>
      <c r="L1278" s="59"/>
      <c r="M1278" s="59"/>
      <c r="N1278" s="47" t="b">
        <v>0</v>
      </c>
      <c r="O1278" s="59"/>
      <c r="Q1278" s="54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</row>
    <row r="1279">
      <c r="A1279" s="59" t="b">
        <v>0</v>
      </c>
      <c r="B1279" s="54"/>
      <c r="C1279" s="55"/>
      <c r="D1279" s="56"/>
      <c r="E1279" s="40"/>
      <c r="F1279" s="57"/>
      <c r="G1279" s="114"/>
      <c r="H1279" s="59"/>
      <c r="I1279" s="165"/>
      <c r="J1279" s="59"/>
      <c r="K1279" s="53"/>
      <c r="L1279" s="59"/>
      <c r="M1279" s="59"/>
      <c r="N1279" s="47" t="b">
        <v>0</v>
      </c>
      <c r="O1279" s="59"/>
      <c r="Q1279" s="54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</row>
    <row r="1280">
      <c r="A1280" s="59" t="b">
        <v>0</v>
      </c>
      <c r="B1280" s="54"/>
      <c r="C1280" s="55"/>
      <c r="D1280" s="56"/>
      <c r="E1280" s="40"/>
      <c r="F1280" s="57"/>
      <c r="G1280" s="114"/>
      <c r="H1280" s="59"/>
      <c r="I1280" s="165"/>
      <c r="J1280" s="59"/>
      <c r="K1280" s="53"/>
      <c r="L1280" s="59"/>
      <c r="M1280" s="59"/>
      <c r="N1280" s="47" t="b">
        <v>0</v>
      </c>
      <c r="O1280" s="59"/>
      <c r="Q1280" s="54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</row>
    <row r="1281">
      <c r="A1281" s="59" t="b">
        <v>0</v>
      </c>
      <c r="B1281" s="54"/>
      <c r="C1281" s="55"/>
      <c r="D1281" s="56"/>
      <c r="E1281" s="40"/>
      <c r="F1281" s="57"/>
      <c r="G1281" s="114"/>
      <c r="H1281" s="59"/>
      <c r="I1281" s="165"/>
      <c r="J1281" s="59"/>
      <c r="K1281" s="53"/>
      <c r="L1281" s="59"/>
      <c r="M1281" s="59"/>
      <c r="N1281" s="47" t="b">
        <v>0</v>
      </c>
      <c r="O1281" s="59"/>
      <c r="Q1281" s="54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</row>
    <row r="1282">
      <c r="A1282" s="59" t="b">
        <v>0</v>
      </c>
      <c r="B1282" s="54"/>
      <c r="C1282" s="55"/>
      <c r="D1282" s="56"/>
      <c r="E1282" s="40"/>
      <c r="F1282" s="57"/>
      <c r="G1282" s="114"/>
      <c r="H1282" s="59"/>
      <c r="I1282" s="165"/>
      <c r="J1282" s="59"/>
      <c r="K1282" s="53"/>
      <c r="L1282" s="59"/>
      <c r="M1282" s="59"/>
      <c r="N1282" s="47" t="b">
        <v>0</v>
      </c>
      <c r="O1282" s="59"/>
      <c r="Q1282" s="54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</row>
    <row r="1283">
      <c r="A1283" s="59" t="b">
        <v>0</v>
      </c>
      <c r="B1283" s="54"/>
      <c r="C1283" s="55"/>
      <c r="D1283" s="56"/>
      <c r="E1283" s="40"/>
      <c r="F1283" s="57"/>
      <c r="G1283" s="114"/>
      <c r="H1283" s="59"/>
      <c r="I1283" s="165"/>
      <c r="J1283" s="59"/>
      <c r="K1283" s="53"/>
      <c r="L1283" s="59"/>
      <c r="M1283" s="59"/>
      <c r="N1283" s="47" t="b">
        <v>0</v>
      </c>
      <c r="O1283" s="59"/>
      <c r="Q1283" s="54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</row>
    <row r="1284">
      <c r="A1284" s="59" t="b">
        <v>0</v>
      </c>
      <c r="B1284" s="54"/>
      <c r="C1284" s="55"/>
      <c r="D1284" s="56"/>
      <c r="E1284" s="40"/>
      <c r="F1284" s="57"/>
      <c r="G1284" s="114"/>
      <c r="H1284" s="59"/>
      <c r="I1284" s="165"/>
      <c r="J1284" s="59"/>
      <c r="K1284" s="53"/>
      <c r="L1284" s="59"/>
      <c r="M1284" s="59"/>
      <c r="N1284" s="47" t="b">
        <v>0</v>
      </c>
      <c r="O1284" s="59"/>
      <c r="Q1284" s="54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</row>
    <row r="1285">
      <c r="A1285" s="59" t="b">
        <v>0</v>
      </c>
      <c r="B1285" s="54"/>
      <c r="C1285" s="55"/>
      <c r="D1285" s="56"/>
      <c r="E1285" s="40"/>
      <c r="F1285" s="57"/>
      <c r="G1285" s="114"/>
      <c r="H1285" s="59"/>
      <c r="I1285" s="165"/>
      <c r="J1285" s="59"/>
      <c r="K1285" s="53"/>
      <c r="L1285" s="59"/>
      <c r="M1285" s="59"/>
      <c r="N1285" s="47" t="b">
        <v>0</v>
      </c>
      <c r="O1285" s="59"/>
      <c r="Q1285" s="54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</row>
    <row r="1286">
      <c r="A1286" s="59" t="b">
        <v>0</v>
      </c>
      <c r="B1286" s="54"/>
      <c r="C1286" s="55"/>
      <c r="D1286" s="56"/>
      <c r="E1286" s="40"/>
      <c r="F1286" s="57"/>
      <c r="G1286" s="114"/>
      <c r="H1286" s="59"/>
      <c r="I1286" s="165"/>
      <c r="J1286" s="59"/>
      <c r="K1286" s="53"/>
      <c r="L1286" s="59"/>
      <c r="M1286" s="59"/>
      <c r="N1286" s="47" t="b">
        <v>0</v>
      </c>
      <c r="O1286" s="59"/>
      <c r="Q1286" s="54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</row>
    <row r="1287">
      <c r="A1287" s="59" t="b">
        <v>0</v>
      </c>
      <c r="B1287" s="54"/>
      <c r="C1287" s="55"/>
      <c r="D1287" s="56"/>
      <c r="E1287" s="40"/>
      <c r="F1287" s="57"/>
      <c r="G1287" s="114"/>
      <c r="H1287" s="59"/>
      <c r="I1287" s="165"/>
      <c r="J1287" s="59"/>
      <c r="K1287" s="53"/>
      <c r="L1287" s="59"/>
      <c r="M1287" s="59"/>
      <c r="N1287" s="47" t="b">
        <v>0</v>
      </c>
      <c r="O1287" s="59"/>
      <c r="Q1287" s="54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</row>
    <row r="1288">
      <c r="A1288" s="59" t="b">
        <v>0</v>
      </c>
      <c r="B1288" s="54"/>
      <c r="C1288" s="55"/>
      <c r="D1288" s="56"/>
      <c r="E1288" s="40"/>
      <c r="F1288" s="57"/>
      <c r="G1288" s="114"/>
      <c r="H1288" s="59"/>
      <c r="I1288" s="165"/>
      <c r="J1288" s="59"/>
      <c r="K1288" s="53"/>
      <c r="L1288" s="59"/>
      <c r="M1288" s="59"/>
      <c r="N1288" s="47" t="b">
        <v>0</v>
      </c>
      <c r="O1288" s="59"/>
      <c r="Q1288" s="54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</row>
    <row r="1289">
      <c r="A1289" s="59" t="b">
        <v>0</v>
      </c>
      <c r="B1289" s="54"/>
      <c r="C1289" s="55"/>
      <c r="D1289" s="56"/>
      <c r="E1289" s="40"/>
      <c r="F1289" s="57"/>
      <c r="G1289" s="114"/>
      <c r="H1289" s="59"/>
      <c r="I1289" s="165"/>
      <c r="J1289" s="59"/>
      <c r="K1289" s="53"/>
      <c r="L1289" s="59"/>
      <c r="M1289" s="59"/>
      <c r="N1289" s="47" t="b">
        <v>0</v>
      </c>
      <c r="O1289" s="59"/>
      <c r="Q1289" s="54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</row>
    <row r="1290">
      <c r="A1290" s="59" t="b">
        <v>0</v>
      </c>
      <c r="B1290" s="54"/>
      <c r="C1290" s="55"/>
      <c r="D1290" s="56"/>
      <c r="E1290" s="40"/>
      <c r="F1290" s="57"/>
      <c r="G1290" s="114"/>
      <c r="H1290" s="59"/>
      <c r="I1290" s="165"/>
      <c r="J1290" s="59"/>
      <c r="K1290" s="53"/>
      <c r="L1290" s="59"/>
      <c r="M1290" s="59"/>
      <c r="N1290" s="47" t="b">
        <v>0</v>
      </c>
      <c r="O1290" s="59"/>
      <c r="Q1290" s="54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</row>
    <row r="1291">
      <c r="A1291" s="59" t="b">
        <v>0</v>
      </c>
      <c r="B1291" s="54"/>
      <c r="C1291" s="55"/>
      <c r="D1291" s="56"/>
      <c r="E1291" s="40"/>
      <c r="F1291" s="57"/>
      <c r="G1291" s="114"/>
      <c r="H1291" s="59"/>
      <c r="I1291" s="165"/>
      <c r="J1291" s="59"/>
      <c r="K1291" s="53"/>
      <c r="L1291" s="59"/>
      <c r="M1291" s="59"/>
      <c r="N1291" s="47" t="b">
        <v>0</v>
      </c>
      <c r="O1291" s="59"/>
      <c r="Q1291" s="54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</row>
    <row r="1292">
      <c r="A1292" s="59" t="b">
        <v>0</v>
      </c>
      <c r="B1292" s="54"/>
      <c r="C1292" s="55"/>
      <c r="D1292" s="56"/>
      <c r="E1292" s="40"/>
      <c r="F1292" s="57"/>
      <c r="G1292" s="114"/>
      <c r="H1292" s="59"/>
      <c r="I1292" s="165"/>
      <c r="J1292" s="59"/>
      <c r="K1292" s="53"/>
      <c r="L1292" s="59"/>
      <c r="M1292" s="59"/>
      <c r="N1292" s="47" t="b">
        <v>0</v>
      </c>
      <c r="O1292" s="59"/>
      <c r="Q1292" s="54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</row>
    <row r="1293">
      <c r="A1293" s="59" t="b">
        <v>0</v>
      </c>
      <c r="B1293" s="54"/>
      <c r="C1293" s="55"/>
      <c r="D1293" s="56"/>
      <c r="E1293" s="40"/>
      <c r="F1293" s="57"/>
      <c r="G1293" s="114"/>
      <c r="H1293" s="59"/>
      <c r="I1293" s="165"/>
      <c r="J1293" s="59"/>
      <c r="K1293" s="53"/>
      <c r="L1293" s="59"/>
      <c r="M1293" s="59"/>
      <c r="N1293" s="47" t="b">
        <v>0</v>
      </c>
      <c r="O1293" s="59"/>
      <c r="Q1293" s="54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</row>
    <row r="1294">
      <c r="A1294" s="59" t="b">
        <v>0</v>
      </c>
      <c r="B1294" s="54"/>
      <c r="C1294" s="55"/>
      <c r="D1294" s="56"/>
      <c r="E1294" s="40"/>
      <c r="F1294" s="57"/>
      <c r="G1294" s="114"/>
      <c r="H1294" s="59"/>
      <c r="I1294" s="165"/>
      <c r="J1294" s="59"/>
      <c r="K1294" s="53"/>
      <c r="L1294" s="59"/>
      <c r="M1294" s="59"/>
      <c r="N1294" s="47" t="b">
        <v>0</v>
      </c>
      <c r="O1294" s="59"/>
      <c r="Q1294" s="54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</row>
    <row r="1295">
      <c r="A1295" s="59" t="b">
        <v>0</v>
      </c>
      <c r="B1295" s="54"/>
      <c r="C1295" s="55"/>
      <c r="D1295" s="56"/>
      <c r="E1295" s="40"/>
      <c r="F1295" s="57"/>
      <c r="G1295" s="114"/>
      <c r="H1295" s="59"/>
      <c r="I1295" s="165"/>
      <c r="J1295" s="59"/>
      <c r="K1295" s="53"/>
      <c r="L1295" s="59"/>
      <c r="M1295" s="59"/>
      <c r="N1295" s="47" t="b">
        <v>0</v>
      </c>
      <c r="O1295" s="59"/>
      <c r="Q1295" s="54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</row>
    <row r="1296">
      <c r="A1296" s="59" t="b">
        <v>0</v>
      </c>
      <c r="B1296" s="54"/>
      <c r="C1296" s="55"/>
      <c r="D1296" s="56"/>
      <c r="E1296" s="40"/>
      <c r="F1296" s="57"/>
      <c r="G1296" s="114"/>
      <c r="H1296" s="59"/>
      <c r="I1296" s="165"/>
      <c r="J1296" s="59"/>
      <c r="K1296" s="53"/>
      <c r="L1296" s="59"/>
      <c r="M1296" s="59"/>
      <c r="N1296" s="47" t="b">
        <v>0</v>
      </c>
      <c r="O1296" s="59"/>
      <c r="Q1296" s="54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</row>
    <row r="1297">
      <c r="A1297" s="59" t="b">
        <v>0</v>
      </c>
      <c r="B1297" s="54"/>
      <c r="C1297" s="55"/>
      <c r="D1297" s="56"/>
      <c r="E1297" s="40"/>
      <c r="F1297" s="57"/>
      <c r="G1297" s="114"/>
      <c r="H1297" s="59"/>
      <c r="I1297" s="165"/>
      <c r="J1297" s="59"/>
      <c r="K1297" s="53"/>
      <c r="L1297" s="59"/>
      <c r="M1297" s="59"/>
      <c r="N1297" s="47" t="b">
        <v>0</v>
      </c>
      <c r="O1297" s="59"/>
      <c r="Q1297" s="54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</row>
    <row r="1298">
      <c r="A1298" s="59" t="b">
        <v>0</v>
      </c>
      <c r="B1298" s="54"/>
      <c r="C1298" s="55"/>
      <c r="D1298" s="56"/>
      <c r="E1298" s="40"/>
      <c r="F1298" s="57"/>
      <c r="G1298" s="114"/>
      <c r="H1298" s="59"/>
      <c r="I1298" s="165"/>
      <c r="J1298" s="59"/>
      <c r="K1298" s="53"/>
      <c r="L1298" s="59"/>
      <c r="M1298" s="59"/>
      <c r="N1298" s="47" t="b">
        <v>0</v>
      </c>
      <c r="O1298" s="59"/>
      <c r="Q1298" s="54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</row>
    <row r="1299">
      <c r="A1299" s="59" t="b">
        <v>0</v>
      </c>
      <c r="B1299" s="54"/>
      <c r="C1299" s="55"/>
      <c r="D1299" s="56"/>
      <c r="E1299" s="40"/>
      <c r="F1299" s="57"/>
      <c r="G1299" s="114"/>
      <c r="H1299" s="59"/>
      <c r="I1299" s="165"/>
      <c r="J1299" s="59"/>
      <c r="K1299" s="53"/>
      <c r="L1299" s="59"/>
      <c r="M1299" s="59"/>
      <c r="N1299" s="47" t="b">
        <v>0</v>
      </c>
      <c r="O1299" s="59"/>
      <c r="Q1299" s="54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</row>
    <row r="1300">
      <c r="A1300" s="59" t="b">
        <v>0</v>
      </c>
      <c r="B1300" s="54"/>
      <c r="C1300" s="55"/>
      <c r="D1300" s="56"/>
      <c r="E1300" s="40"/>
      <c r="F1300" s="57"/>
      <c r="G1300" s="114"/>
      <c r="H1300" s="59"/>
      <c r="I1300" s="165"/>
      <c r="J1300" s="59"/>
      <c r="K1300" s="53"/>
      <c r="L1300" s="59"/>
      <c r="M1300" s="59"/>
      <c r="N1300" s="47" t="b">
        <v>0</v>
      </c>
      <c r="O1300" s="59"/>
      <c r="Q1300" s="54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</row>
    <row r="1301">
      <c r="A1301" s="59" t="b">
        <v>0</v>
      </c>
      <c r="B1301" s="54"/>
      <c r="C1301" s="55"/>
      <c r="D1301" s="56"/>
      <c r="E1301" s="40"/>
      <c r="F1301" s="57"/>
      <c r="G1301" s="114"/>
      <c r="H1301" s="59"/>
      <c r="I1301" s="165"/>
      <c r="J1301" s="59"/>
      <c r="K1301" s="53"/>
      <c r="L1301" s="59"/>
      <c r="M1301" s="59"/>
      <c r="N1301" s="47" t="b">
        <v>0</v>
      </c>
      <c r="O1301" s="59"/>
      <c r="Q1301" s="54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</row>
    <row r="1302">
      <c r="A1302" s="59" t="b">
        <v>0</v>
      </c>
      <c r="B1302" s="54"/>
      <c r="C1302" s="55"/>
      <c r="D1302" s="56"/>
      <c r="E1302" s="40"/>
      <c r="F1302" s="57"/>
      <c r="G1302" s="114"/>
      <c r="H1302" s="59"/>
      <c r="I1302" s="165"/>
      <c r="J1302" s="59"/>
      <c r="K1302" s="53"/>
      <c r="L1302" s="59"/>
      <c r="M1302" s="59"/>
      <c r="N1302" s="47" t="b">
        <v>0</v>
      </c>
      <c r="O1302" s="59"/>
      <c r="Q1302" s="54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</row>
    <row r="1303">
      <c r="A1303" s="59" t="b">
        <v>0</v>
      </c>
      <c r="B1303" s="54"/>
      <c r="C1303" s="55"/>
      <c r="D1303" s="56"/>
      <c r="E1303" s="40"/>
      <c r="F1303" s="57"/>
      <c r="G1303" s="114"/>
      <c r="H1303" s="59"/>
      <c r="I1303" s="165"/>
      <c r="J1303" s="59"/>
      <c r="K1303" s="53"/>
      <c r="L1303" s="59"/>
      <c r="M1303" s="59"/>
      <c r="N1303" s="47" t="b">
        <v>0</v>
      </c>
      <c r="O1303" s="59"/>
      <c r="Q1303" s="54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</row>
    <row r="1304">
      <c r="A1304" s="59" t="b">
        <v>0</v>
      </c>
      <c r="B1304" s="54"/>
      <c r="C1304" s="55"/>
      <c r="D1304" s="56"/>
      <c r="E1304" s="40"/>
      <c r="F1304" s="57"/>
      <c r="G1304" s="114"/>
      <c r="H1304" s="59"/>
      <c r="I1304" s="165"/>
      <c r="J1304" s="59"/>
      <c r="K1304" s="53"/>
      <c r="L1304" s="59"/>
      <c r="M1304" s="59"/>
      <c r="N1304" s="47" t="b">
        <v>0</v>
      </c>
      <c r="O1304" s="59"/>
      <c r="Q1304" s="54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</row>
    <row r="1305">
      <c r="A1305" s="59" t="b">
        <v>0</v>
      </c>
      <c r="B1305" s="54"/>
      <c r="C1305" s="55"/>
      <c r="D1305" s="56"/>
      <c r="E1305" s="40"/>
      <c r="F1305" s="57"/>
      <c r="G1305" s="114"/>
      <c r="H1305" s="59"/>
      <c r="I1305" s="165"/>
      <c r="J1305" s="59"/>
      <c r="K1305" s="53"/>
      <c r="L1305" s="59"/>
      <c r="M1305" s="59"/>
      <c r="N1305" s="47" t="b">
        <v>0</v>
      </c>
      <c r="O1305" s="59"/>
      <c r="Q1305" s="54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</row>
    <row r="1306">
      <c r="A1306" s="59" t="b">
        <v>0</v>
      </c>
      <c r="B1306" s="54"/>
      <c r="C1306" s="55"/>
      <c r="D1306" s="56"/>
      <c r="E1306" s="40"/>
      <c r="F1306" s="57"/>
      <c r="G1306" s="114"/>
      <c r="H1306" s="59"/>
      <c r="I1306" s="165"/>
      <c r="J1306" s="59"/>
      <c r="K1306" s="53"/>
      <c r="L1306" s="59"/>
      <c r="M1306" s="59"/>
      <c r="N1306" s="47" t="b">
        <v>0</v>
      </c>
      <c r="O1306" s="59"/>
      <c r="Q1306" s="54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</row>
    <row r="1307">
      <c r="A1307" s="59" t="b">
        <v>0</v>
      </c>
      <c r="B1307" s="54"/>
      <c r="C1307" s="55"/>
      <c r="D1307" s="56"/>
      <c r="E1307" s="40"/>
      <c r="F1307" s="57"/>
      <c r="G1307" s="114"/>
      <c r="H1307" s="59"/>
      <c r="I1307" s="165"/>
      <c r="J1307" s="59"/>
      <c r="K1307" s="53"/>
      <c r="L1307" s="59"/>
      <c r="M1307" s="59"/>
      <c r="N1307" s="47" t="b">
        <v>0</v>
      </c>
      <c r="O1307" s="59"/>
      <c r="Q1307" s="54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</row>
    <row r="1308">
      <c r="A1308" s="59" t="b">
        <v>0</v>
      </c>
      <c r="B1308" s="54"/>
      <c r="C1308" s="55"/>
      <c r="D1308" s="56"/>
      <c r="E1308" s="40"/>
      <c r="F1308" s="57"/>
      <c r="G1308" s="114"/>
      <c r="H1308" s="59"/>
      <c r="I1308" s="165"/>
      <c r="J1308" s="59"/>
      <c r="K1308" s="53"/>
      <c r="L1308" s="59"/>
      <c r="M1308" s="59"/>
      <c r="N1308" s="47" t="b">
        <v>0</v>
      </c>
      <c r="O1308" s="59"/>
      <c r="Q1308" s="54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</row>
    <row r="1309">
      <c r="A1309" s="59" t="b">
        <v>0</v>
      </c>
      <c r="B1309" s="54"/>
      <c r="C1309" s="55"/>
      <c r="D1309" s="56"/>
      <c r="E1309" s="40"/>
      <c r="F1309" s="57"/>
      <c r="G1309" s="114"/>
      <c r="H1309" s="59"/>
      <c r="I1309" s="165"/>
      <c r="J1309" s="59"/>
      <c r="K1309" s="53"/>
      <c r="L1309" s="59"/>
      <c r="M1309" s="59"/>
      <c r="N1309" s="47" t="b">
        <v>0</v>
      </c>
      <c r="O1309" s="59"/>
      <c r="Q1309" s="54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</row>
    <row r="1310">
      <c r="A1310" s="59" t="b">
        <v>0</v>
      </c>
      <c r="B1310" s="54"/>
      <c r="C1310" s="55"/>
      <c r="D1310" s="56"/>
      <c r="E1310" s="40"/>
      <c r="F1310" s="57"/>
      <c r="G1310" s="114"/>
      <c r="H1310" s="59"/>
      <c r="I1310" s="165"/>
      <c r="J1310" s="59"/>
      <c r="K1310" s="53"/>
      <c r="L1310" s="59"/>
      <c r="M1310" s="59"/>
      <c r="N1310" s="47" t="b">
        <v>0</v>
      </c>
      <c r="O1310" s="59"/>
      <c r="Q1310" s="54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</row>
    <row r="1311">
      <c r="A1311" s="59" t="b">
        <v>0</v>
      </c>
      <c r="B1311" s="54"/>
      <c r="C1311" s="55"/>
      <c r="D1311" s="56"/>
      <c r="E1311" s="40"/>
      <c r="F1311" s="57"/>
      <c r="G1311" s="114"/>
      <c r="H1311" s="59"/>
      <c r="I1311" s="165"/>
      <c r="J1311" s="59"/>
      <c r="K1311" s="53"/>
      <c r="L1311" s="59"/>
      <c r="M1311" s="59"/>
      <c r="N1311" s="47" t="b">
        <v>0</v>
      </c>
      <c r="O1311" s="59"/>
      <c r="Q1311" s="54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</row>
    <row r="1312">
      <c r="A1312" s="59" t="b">
        <v>0</v>
      </c>
      <c r="B1312" s="54"/>
      <c r="C1312" s="55"/>
      <c r="D1312" s="56"/>
      <c r="E1312" s="40"/>
      <c r="F1312" s="57"/>
      <c r="G1312" s="114"/>
      <c r="H1312" s="59"/>
      <c r="I1312" s="165"/>
      <c r="J1312" s="59"/>
      <c r="K1312" s="53"/>
      <c r="L1312" s="59"/>
      <c r="M1312" s="59"/>
      <c r="N1312" s="47" t="b">
        <v>0</v>
      </c>
      <c r="O1312" s="59"/>
      <c r="Q1312" s="54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</row>
    <row r="1313">
      <c r="A1313" s="59" t="b">
        <v>0</v>
      </c>
      <c r="B1313" s="54"/>
      <c r="C1313" s="55"/>
      <c r="D1313" s="56"/>
      <c r="E1313" s="40"/>
      <c r="F1313" s="57"/>
      <c r="G1313" s="114"/>
      <c r="H1313" s="59"/>
      <c r="I1313" s="165"/>
      <c r="J1313" s="59"/>
      <c r="K1313" s="53"/>
      <c r="L1313" s="59"/>
      <c r="M1313" s="59"/>
      <c r="N1313" s="47" t="b">
        <v>0</v>
      </c>
      <c r="O1313" s="59"/>
      <c r="Q1313" s="54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</row>
    <row r="1314">
      <c r="A1314" s="59" t="b">
        <v>0</v>
      </c>
      <c r="B1314" s="54"/>
      <c r="C1314" s="55"/>
      <c r="D1314" s="56"/>
      <c r="E1314" s="40"/>
      <c r="F1314" s="57"/>
      <c r="G1314" s="114"/>
      <c r="H1314" s="59"/>
      <c r="I1314" s="165"/>
      <c r="J1314" s="59"/>
      <c r="K1314" s="53"/>
      <c r="L1314" s="59"/>
      <c r="M1314" s="59"/>
      <c r="N1314" s="47" t="b">
        <v>0</v>
      </c>
      <c r="O1314" s="59"/>
      <c r="Q1314" s="54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</row>
    <row r="1315">
      <c r="A1315" s="59" t="b">
        <v>0</v>
      </c>
      <c r="B1315" s="54"/>
      <c r="C1315" s="55"/>
      <c r="D1315" s="56"/>
      <c r="E1315" s="40"/>
      <c r="F1315" s="57"/>
      <c r="G1315" s="114"/>
      <c r="H1315" s="59"/>
      <c r="I1315" s="165"/>
      <c r="J1315" s="59"/>
      <c r="K1315" s="53"/>
      <c r="L1315" s="59"/>
      <c r="M1315" s="59"/>
      <c r="N1315" s="47" t="b">
        <v>0</v>
      </c>
      <c r="O1315" s="59"/>
      <c r="Q1315" s="54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</row>
    <row r="1316">
      <c r="A1316" s="59" t="b">
        <v>0</v>
      </c>
      <c r="B1316" s="54"/>
      <c r="C1316" s="55"/>
      <c r="D1316" s="56"/>
      <c r="E1316" s="40"/>
      <c r="F1316" s="57"/>
      <c r="G1316" s="114"/>
      <c r="H1316" s="59"/>
      <c r="I1316" s="165"/>
      <c r="J1316" s="59"/>
      <c r="K1316" s="53"/>
      <c r="L1316" s="59"/>
      <c r="M1316" s="59"/>
      <c r="N1316" s="47" t="b">
        <v>0</v>
      </c>
      <c r="O1316" s="59"/>
      <c r="Q1316" s="54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</row>
    <row r="1317">
      <c r="A1317" s="59" t="b">
        <v>0</v>
      </c>
      <c r="B1317" s="54"/>
      <c r="C1317" s="55"/>
      <c r="D1317" s="56"/>
      <c r="E1317" s="40"/>
      <c r="F1317" s="57"/>
      <c r="G1317" s="114"/>
      <c r="H1317" s="59"/>
      <c r="I1317" s="165"/>
      <c r="J1317" s="59"/>
      <c r="K1317" s="53"/>
      <c r="L1317" s="59"/>
      <c r="M1317" s="59"/>
      <c r="N1317" s="47" t="b">
        <v>0</v>
      </c>
      <c r="O1317" s="59"/>
      <c r="Q1317" s="54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</row>
    <row r="1318">
      <c r="A1318" s="59" t="b">
        <v>0</v>
      </c>
      <c r="B1318" s="54"/>
      <c r="C1318" s="55"/>
      <c r="D1318" s="56"/>
      <c r="E1318" s="40"/>
      <c r="F1318" s="57"/>
      <c r="G1318" s="114"/>
      <c r="H1318" s="59"/>
      <c r="I1318" s="165"/>
      <c r="J1318" s="59"/>
      <c r="K1318" s="53"/>
      <c r="L1318" s="59"/>
      <c r="M1318" s="59"/>
      <c r="N1318" s="47" t="b">
        <v>0</v>
      </c>
      <c r="O1318" s="59"/>
      <c r="Q1318" s="54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</row>
    <row r="1319">
      <c r="A1319" s="59" t="b">
        <v>0</v>
      </c>
      <c r="B1319" s="54"/>
      <c r="C1319" s="55"/>
      <c r="D1319" s="56"/>
      <c r="E1319" s="40"/>
      <c r="F1319" s="57"/>
      <c r="G1319" s="114"/>
      <c r="H1319" s="59"/>
      <c r="I1319" s="165"/>
      <c r="J1319" s="59"/>
      <c r="K1319" s="53"/>
      <c r="L1319" s="59"/>
      <c r="M1319" s="59"/>
      <c r="N1319" s="47" t="b">
        <v>0</v>
      </c>
      <c r="O1319" s="59"/>
      <c r="Q1319" s="54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</row>
    <row r="1320">
      <c r="A1320" s="59" t="b">
        <v>0</v>
      </c>
      <c r="B1320" s="54"/>
      <c r="C1320" s="55"/>
      <c r="D1320" s="56"/>
      <c r="E1320" s="40"/>
      <c r="F1320" s="57"/>
      <c r="G1320" s="114"/>
      <c r="H1320" s="59"/>
      <c r="I1320" s="165"/>
      <c r="J1320" s="59"/>
      <c r="K1320" s="53"/>
      <c r="L1320" s="59"/>
      <c r="M1320" s="59"/>
      <c r="N1320" s="47" t="b">
        <v>0</v>
      </c>
      <c r="O1320" s="59"/>
      <c r="Q1320" s="54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</row>
    <row r="1321">
      <c r="A1321" s="59" t="b">
        <v>0</v>
      </c>
      <c r="B1321" s="54"/>
      <c r="C1321" s="55"/>
      <c r="D1321" s="56"/>
      <c r="E1321" s="40"/>
      <c r="F1321" s="57"/>
      <c r="G1321" s="114"/>
      <c r="H1321" s="59"/>
      <c r="I1321" s="165"/>
      <c r="J1321" s="59"/>
      <c r="K1321" s="53"/>
      <c r="L1321" s="59"/>
      <c r="M1321" s="59"/>
      <c r="N1321" s="47" t="b">
        <v>0</v>
      </c>
      <c r="O1321" s="59"/>
      <c r="Q1321" s="54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</row>
    <row r="1322">
      <c r="A1322" s="59" t="b">
        <v>0</v>
      </c>
      <c r="B1322" s="54"/>
      <c r="C1322" s="55"/>
      <c r="D1322" s="56"/>
      <c r="E1322" s="40"/>
      <c r="F1322" s="57"/>
      <c r="G1322" s="114"/>
      <c r="H1322" s="59"/>
      <c r="I1322" s="165"/>
      <c r="J1322" s="59"/>
      <c r="K1322" s="53"/>
      <c r="L1322" s="59"/>
      <c r="M1322" s="59"/>
      <c r="N1322" s="47" t="b">
        <v>0</v>
      </c>
      <c r="O1322" s="59"/>
      <c r="Q1322" s="54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</row>
    <row r="1323">
      <c r="A1323" s="59" t="b">
        <v>0</v>
      </c>
      <c r="B1323" s="54"/>
      <c r="C1323" s="55"/>
      <c r="D1323" s="56"/>
      <c r="E1323" s="40"/>
      <c r="F1323" s="57"/>
      <c r="G1323" s="114"/>
      <c r="H1323" s="59"/>
      <c r="I1323" s="165"/>
      <c r="J1323" s="59"/>
      <c r="K1323" s="53"/>
      <c r="L1323" s="59"/>
      <c r="M1323" s="59"/>
      <c r="N1323" s="47" t="b">
        <v>0</v>
      </c>
      <c r="O1323" s="59"/>
      <c r="Q1323" s="54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</row>
    <row r="1324">
      <c r="A1324" s="59" t="b">
        <v>0</v>
      </c>
      <c r="B1324" s="54"/>
      <c r="C1324" s="55"/>
      <c r="D1324" s="56"/>
      <c r="E1324" s="40"/>
      <c r="F1324" s="57"/>
      <c r="G1324" s="114"/>
      <c r="H1324" s="59"/>
      <c r="I1324" s="165"/>
      <c r="J1324" s="59"/>
      <c r="K1324" s="53"/>
      <c r="L1324" s="59"/>
      <c r="M1324" s="59"/>
      <c r="N1324" s="47" t="b">
        <v>0</v>
      </c>
      <c r="O1324" s="59"/>
      <c r="Q1324" s="54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</row>
    <row r="1325">
      <c r="A1325" s="59" t="b">
        <v>0</v>
      </c>
      <c r="B1325" s="54"/>
      <c r="C1325" s="55"/>
      <c r="D1325" s="56"/>
      <c r="E1325" s="40"/>
      <c r="F1325" s="57"/>
      <c r="G1325" s="114"/>
      <c r="H1325" s="59"/>
      <c r="I1325" s="165"/>
      <c r="J1325" s="59"/>
      <c r="K1325" s="53"/>
      <c r="L1325" s="59"/>
      <c r="M1325" s="59"/>
      <c r="N1325" s="47" t="b">
        <v>0</v>
      </c>
      <c r="O1325" s="59"/>
      <c r="Q1325" s="54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</row>
    <row r="1326">
      <c r="A1326" s="59" t="b">
        <v>0</v>
      </c>
      <c r="B1326" s="54"/>
      <c r="C1326" s="55"/>
      <c r="D1326" s="56"/>
      <c r="E1326" s="40"/>
      <c r="F1326" s="57"/>
      <c r="G1326" s="114"/>
      <c r="H1326" s="59"/>
      <c r="I1326" s="165"/>
      <c r="J1326" s="59"/>
      <c r="K1326" s="53"/>
      <c r="L1326" s="59"/>
      <c r="M1326" s="59"/>
      <c r="N1326" s="47" t="b">
        <v>0</v>
      </c>
      <c r="O1326" s="59"/>
      <c r="Q1326" s="54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</row>
    <row r="1327">
      <c r="A1327" s="59" t="b">
        <v>0</v>
      </c>
      <c r="B1327" s="54"/>
      <c r="C1327" s="55"/>
      <c r="D1327" s="56"/>
      <c r="E1327" s="40"/>
      <c r="F1327" s="57"/>
      <c r="G1327" s="114"/>
      <c r="H1327" s="59"/>
      <c r="I1327" s="165"/>
      <c r="J1327" s="59"/>
      <c r="K1327" s="53"/>
      <c r="L1327" s="59"/>
      <c r="M1327" s="59"/>
      <c r="N1327" s="47" t="b">
        <v>0</v>
      </c>
      <c r="O1327" s="59"/>
      <c r="Q1327" s="54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</row>
    <row r="1328">
      <c r="A1328" s="59" t="b">
        <v>0</v>
      </c>
      <c r="B1328" s="54"/>
      <c r="C1328" s="55"/>
      <c r="D1328" s="56"/>
      <c r="E1328" s="40"/>
      <c r="F1328" s="57"/>
      <c r="G1328" s="114"/>
      <c r="H1328" s="59"/>
      <c r="I1328" s="165"/>
      <c r="J1328" s="59"/>
      <c r="K1328" s="53"/>
      <c r="L1328" s="59"/>
      <c r="M1328" s="59"/>
      <c r="N1328" s="47" t="b">
        <v>0</v>
      </c>
      <c r="O1328" s="59"/>
      <c r="Q1328" s="54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</row>
    <row r="1329">
      <c r="A1329" s="59" t="b">
        <v>0</v>
      </c>
      <c r="B1329" s="54"/>
      <c r="C1329" s="55"/>
      <c r="D1329" s="56"/>
      <c r="E1329" s="40"/>
      <c r="F1329" s="57"/>
      <c r="G1329" s="114"/>
      <c r="H1329" s="59"/>
      <c r="I1329" s="165"/>
      <c r="J1329" s="59"/>
      <c r="K1329" s="53"/>
      <c r="L1329" s="59"/>
      <c r="M1329" s="59"/>
      <c r="N1329" s="47" t="b">
        <v>0</v>
      </c>
      <c r="O1329" s="59"/>
      <c r="Q1329" s="54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</row>
    <row r="1330">
      <c r="A1330" s="59" t="b">
        <v>0</v>
      </c>
      <c r="B1330" s="54"/>
      <c r="C1330" s="55"/>
      <c r="D1330" s="56"/>
      <c r="E1330" s="40"/>
      <c r="F1330" s="57"/>
      <c r="G1330" s="114"/>
      <c r="H1330" s="59"/>
      <c r="I1330" s="165"/>
      <c r="J1330" s="59"/>
      <c r="K1330" s="53"/>
      <c r="L1330" s="59"/>
      <c r="M1330" s="59"/>
      <c r="N1330" s="47" t="b">
        <v>0</v>
      </c>
      <c r="O1330" s="59"/>
      <c r="Q1330" s="54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</row>
    <row r="1331">
      <c r="A1331" s="59" t="b">
        <v>0</v>
      </c>
      <c r="B1331" s="54"/>
      <c r="C1331" s="55"/>
      <c r="D1331" s="56"/>
      <c r="E1331" s="40"/>
      <c r="F1331" s="57"/>
      <c r="G1331" s="114"/>
      <c r="H1331" s="59"/>
      <c r="I1331" s="165"/>
      <c r="J1331" s="59"/>
      <c r="K1331" s="53"/>
      <c r="L1331" s="59"/>
      <c r="M1331" s="59"/>
      <c r="N1331" s="47" t="b">
        <v>0</v>
      </c>
      <c r="O1331" s="59"/>
      <c r="Q1331" s="54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</row>
    <row r="1332">
      <c r="A1332" s="59" t="b">
        <v>0</v>
      </c>
      <c r="B1332" s="54"/>
      <c r="C1332" s="55"/>
      <c r="D1332" s="56"/>
      <c r="E1332" s="40"/>
      <c r="F1332" s="57"/>
      <c r="G1332" s="114"/>
      <c r="H1332" s="59"/>
      <c r="I1332" s="165"/>
      <c r="J1332" s="59"/>
      <c r="K1332" s="53"/>
      <c r="L1332" s="59"/>
      <c r="M1332" s="59"/>
      <c r="N1332" s="47" t="b">
        <v>0</v>
      </c>
      <c r="O1332" s="59"/>
      <c r="Q1332" s="54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</row>
    <row r="1333">
      <c r="A1333" s="59" t="b">
        <v>0</v>
      </c>
      <c r="B1333" s="54"/>
      <c r="C1333" s="55"/>
      <c r="D1333" s="56"/>
      <c r="E1333" s="40"/>
      <c r="F1333" s="57"/>
      <c r="G1333" s="114"/>
      <c r="H1333" s="59"/>
      <c r="I1333" s="165"/>
      <c r="J1333" s="59"/>
      <c r="K1333" s="53"/>
      <c r="L1333" s="59"/>
      <c r="M1333" s="59"/>
      <c r="N1333" s="47" t="b">
        <v>0</v>
      </c>
      <c r="O1333" s="59"/>
      <c r="Q1333" s="54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</row>
    <row r="1334">
      <c r="A1334" s="59" t="b">
        <v>0</v>
      </c>
      <c r="B1334" s="54"/>
      <c r="C1334" s="55"/>
      <c r="D1334" s="56"/>
      <c r="E1334" s="40"/>
      <c r="F1334" s="57"/>
      <c r="G1334" s="114"/>
      <c r="H1334" s="59"/>
      <c r="I1334" s="165"/>
      <c r="J1334" s="59"/>
      <c r="K1334" s="53"/>
      <c r="L1334" s="59"/>
      <c r="M1334" s="59"/>
      <c r="N1334" s="47" t="b">
        <v>0</v>
      </c>
      <c r="O1334" s="59"/>
      <c r="Q1334" s="54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</row>
    <row r="1335">
      <c r="A1335" s="59" t="b">
        <v>0</v>
      </c>
      <c r="B1335" s="54"/>
      <c r="C1335" s="55"/>
      <c r="D1335" s="56"/>
      <c r="E1335" s="40"/>
      <c r="F1335" s="57"/>
      <c r="G1335" s="114"/>
      <c r="H1335" s="59"/>
      <c r="I1335" s="165"/>
      <c r="J1335" s="59"/>
      <c r="K1335" s="53"/>
      <c r="L1335" s="59"/>
      <c r="M1335" s="59"/>
      <c r="N1335" s="47" t="b">
        <v>0</v>
      </c>
      <c r="O1335" s="59"/>
      <c r="Q1335" s="54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</row>
    <row r="1336">
      <c r="A1336" s="59" t="b">
        <v>0</v>
      </c>
      <c r="B1336" s="54"/>
      <c r="C1336" s="55"/>
      <c r="D1336" s="56"/>
      <c r="E1336" s="40"/>
      <c r="F1336" s="57"/>
      <c r="G1336" s="114"/>
      <c r="H1336" s="59"/>
      <c r="I1336" s="165"/>
      <c r="J1336" s="59"/>
      <c r="K1336" s="53"/>
      <c r="L1336" s="59"/>
      <c r="M1336" s="59"/>
      <c r="N1336" s="47" t="b">
        <v>0</v>
      </c>
      <c r="O1336" s="59"/>
      <c r="Q1336" s="54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</row>
    <row r="1337">
      <c r="A1337" s="59" t="b">
        <v>0</v>
      </c>
      <c r="B1337" s="54"/>
      <c r="C1337" s="55"/>
      <c r="D1337" s="56"/>
      <c r="E1337" s="40"/>
      <c r="F1337" s="57"/>
      <c r="G1337" s="114"/>
      <c r="H1337" s="59"/>
      <c r="I1337" s="165"/>
      <c r="J1337" s="59"/>
      <c r="K1337" s="53"/>
      <c r="L1337" s="59"/>
      <c r="M1337" s="59"/>
      <c r="N1337" s="47" t="b">
        <v>0</v>
      </c>
      <c r="O1337" s="59"/>
      <c r="Q1337" s="54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</row>
    <row r="1338">
      <c r="A1338" s="59" t="b">
        <v>0</v>
      </c>
      <c r="B1338" s="54"/>
      <c r="C1338" s="55"/>
      <c r="D1338" s="56"/>
      <c r="E1338" s="40"/>
      <c r="F1338" s="57"/>
      <c r="G1338" s="114"/>
      <c r="H1338" s="59"/>
      <c r="I1338" s="165"/>
      <c r="J1338" s="59"/>
      <c r="K1338" s="53"/>
      <c r="L1338" s="59"/>
      <c r="M1338" s="59"/>
      <c r="N1338" s="47" t="b">
        <v>0</v>
      </c>
      <c r="O1338" s="59"/>
      <c r="Q1338" s="54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</row>
    <row r="1339">
      <c r="A1339" s="59" t="b">
        <v>0</v>
      </c>
      <c r="B1339" s="54"/>
      <c r="C1339" s="55"/>
      <c r="D1339" s="56"/>
      <c r="E1339" s="40"/>
      <c r="F1339" s="57"/>
      <c r="G1339" s="114"/>
      <c r="H1339" s="59"/>
      <c r="I1339" s="165"/>
      <c r="J1339" s="59"/>
      <c r="K1339" s="53"/>
      <c r="L1339" s="59"/>
      <c r="M1339" s="59"/>
      <c r="N1339" s="47" t="b">
        <v>0</v>
      </c>
      <c r="O1339" s="59"/>
      <c r="Q1339" s="54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</row>
    <row r="1340">
      <c r="A1340" s="59" t="b">
        <v>0</v>
      </c>
      <c r="B1340" s="54"/>
      <c r="C1340" s="55"/>
      <c r="D1340" s="56"/>
      <c r="E1340" s="40"/>
      <c r="F1340" s="57"/>
      <c r="G1340" s="114"/>
      <c r="H1340" s="59"/>
      <c r="I1340" s="165"/>
      <c r="J1340" s="59"/>
      <c r="K1340" s="53"/>
      <c r="L1340" s="59"/>
      <c r="M1340" s="59"/>
      <c r="N1340" s="47" t="b">
        <v>0</v>
      </c>
      <c r="O1340" s="59"/>
      <c r="Q1340" s="54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</row>
    <row r="1341">
      <c r="A1341" s="59" t="b">
        <v>0</v>
      </c>
      <c r="B1341" s="54"/>
      <c r="C1341" s="55"/>
      <c r="D1341" s="56"/>
      <c r="E1341" s="40"/>
      <c r="F1341" s="57"/>
      <c r="G1341" s="114"/>
      <c r="H1341" s="59"/>
      <c r="I1341" s="165"/>
      <c r="J1341" s="59"/>
      <c r="K1341" s="53"/>
      <c r="L1341" s="59"/>
      <c r="M1341" s="59"/>
      <c r="N1341" s="47" t="b">
        <v>0</v>
      </c>
      <c r="O1341" s="59"/>
      <c r="Q1341" s="54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</row>
    <row r="1342">
      <c r="A1342" s="59" t="b">
        <v>0</v>
      </c>
      <c r="B1342" s="54"/>
      <c r="C1342" s="55"/>
      <c r="D1342" s="56"/>
      <c r="E1342" s="40"/>
      <c r="F1342" s="57"/>
      <c r="G1342" s="114"/>
      <c r="H1342" s="59"/>
      <c r="I1342" s="165"/>
      <c r="J1342" s="59"/>
      <c r="K1342" s="53"/>
      <c r="L1342" s="59"/>
      <c r="M1342" s="59"/>
      <c r="N1342" s="47" t="b">
        <v>0</v>
      </c>
      <c r="O1342" s="59"/>
      <c r="Q1342" s="54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</row>
    <row r="1343">
      <c r="A1343" s="59" t="b">
        <v>0</v>
      </c>
      <c r="B1343" s="54"/>
      <c r="C1343" s="55"/>
      <c r="D1343" s="56"/>
      <c r="E1343" s="40"/>
      <c r="F1343" s="57"/>
      <c r="G1343" s="114"/>
      <c r="H1343" s="59"/>
      <c r="I1343" s="165"/>
      <c r="J1343" s="59"/>
      <c r="K1343" s="53"/>
      <c r="L1343" s="59"/>
      <c r="M1343" s="59"/>
      <c r="N1343" s="47" t="b">
        <v>0</v>
      </c>
      <c r="O1343" s="59"/>
      <c r="Q1343" s="54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</row>
    <row r="1344">
      <c r="A1344" s="59" t="b">
        <v>0</v>
      </c>
      <c r="B1344" s="54"/>
      <c r="C1344" s="55"/>
      <c r="D1344" s="56"/>
      <c r="E1344" s="40"/>
      <c r="F1344" s="57"/>
      <c r="G1344" s="114"/>
      <c r="H1344" s="59"/>
      <c r="I1344" s="165"/>
      <c r="J1344" s="59"/>
      <c r="K1344" s="53"/>
      <c r="L1344" s="59"/>
      <c r="M1344" s="59"/>
      <c r="N1344" s="47" t="b">
        <v>0</v>
      </c>
      <c r="O1344" s="59"/>
      <c r="Q1344" s="54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</row>
    <row r="1345">
      <c r="A1345" s="59" t="b">
        <v>0</v>
      </c>
      <c r="B1345" s="54"/>
      <c r="C1345" s="55"/>
      <c r="D1345" s="56"/>
      <c r="E1345" s="40"/>
      <c r="F1345" s="57"/>
      <c r="G1345" s="114"/>
      <c r="H1345" s="59"/>
      <c r="I1345" s="165"/>
      <c r="J1345" s="59"/>
      <c r="K1345" s="53"/>
      <c r="L1345" s="59"/>
      <c r="M1345" s="59"/>
      <c r="N1345" s="47" t="b">
        <v>0</v>
      </c>
      <c r="O1345" s="59"/>
      <c r="Q1345" s="54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</row>
    <row r="1346">
      <c r="A1346" s="59" t="b">
        <v>0</v>
      </c>
      <c r="B1346" s="54"/>
      <c r="C1346" s="55"/>
      <c r="D1346" s="56"/>
      <c r="E1346" s="40"/>
      <c r="F1346" s="57"/>
      <c r="G1346" s="114"/>
      <c r="H1346" s="59"/>
      <c r="I1346" s="165"/>
      <c r="J1346" s="59"/>
      <c r="K1346" s="53"/>
      <c r="L1346" s="59"/>
      <c r="M1346" s="59"/>
      <c r="N1346" s="47" t="b">
        <v>0</v>
      </c>
      <c r="O1346" s="59"/>
      <c r="Q1346" s="54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</row>
    <row r="1347">
      <c r="A1347" s="59" t="b">
        <v>0</v>
      </c>
      <c r="B1347" s="54"/>
      <c r="C1347" s="55"/>
      <c r="D1347" s="56"/>
      <c r="E1347" s="40"/>
      <c r="F1347" s="57"/>
      <c r="G1347" s="114"/>
      <c r="H1347" s="59"/>
      <c r="I1347" s="165"/>
      <c r="J1347" s="59"/>
      <c r="K1347" s="53"/>
      <c r="L1347" s="59"/>
      <c r="M1347" s="59"/>
      <c r="N1347" s="47" t="b">
        <v>0</v>
      </c>
      <c r="O1347" s="59"/>
      <c r="Q1347" s="54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</row>
    <row r="1348">
      <c r="A1348" s="59" t="b">
        <v>0</v>
      </c>
      <c r="B1348" s="54"/>
      <c r="C1348" s="55"/>
      <c r="D1348" s="56"/>
      <c r="E1348" s="40"/>
      <c r="F1348" s="57"/>
      <c r="G1348" s="114"/>
      <c r="H1348" s="59"/>
      <c r="I1348" s="165"/>
      <c r="J1348" s="59"/>
      <c r="K1348" s="53"/>
      <c r="L1348" s="59"/>
      <c r="M1348" s="59"/>
      <c r="N1348" s="47" t="b">
        <v>0</v>
      </c>
      <c r="O1348" s="59"/>
      <c r="Q1348" s="54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</row>
    <row r="1349">
      <c r="A1349" s="59" t="b">
        <v>0</v>
      </c>
      <c r="B1349" s="54"/>
      <c r="C1349" s="55"/>
      <c r="D1349" s="56"/>
      <c r="E1349" s="40"/>
      <c r="F1349" s="57"/>
      <c r="G1349" s="114"/>
      <c r="H1349" s="59"/>
      <c r="I1349" s="165"/>
      <c r="J1349" s="59"/>
      <c r="K1349" s="53"/>
      <c r="L1349" s="59"/>
      <c r="M1349" s="59"/>
      <c r="N1349" s="47" t="b">
        <v>0</v>
      </c>
      <c r="O1349" s="59"/>
      <c r="Q1349" s="54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</row>
    <row r="1350">
      <c r="A1350" s="59" t="b">
        <v>0</v>
      </c>
      <c r="B1350" s="54"/>
      <c r="C1350" s="55"/>
      <c r="D1350" s="56"/>
      <c r="E1350" s="40"/>
      <c r="F1350" s="57"/>
      <c r="G1350" s="114"/>
      <c r="H1350" s="59"/>
      <c r="I1350" s="165"/>
      <c r="J1350" s="59"/>
      <c r="K1350" s="53"/>
      <c r="L1350" s="59"/>
      <c r="M1350" s="59"/>
      <c r="N1350" s="47" t="b">
        <v>0</v>
      </c>
      <c r="O1350" s="59"/>
      <c r="Q1350" s="54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</row>
    <row r="1351">
      <c r="A1351" s="59" t="b">
        <v>0</v>
      </c>
      <c r="B1351" s="54"/>
      <c r="C1351" s="55"/>
      <c r="D1351" s="56"/>
      <c r="E1351" s="40"/>
      <c r="F1351" s="57"/>
      <c r="G1351" s="114"/>
      <c r="H1351" s="59"/>
      <c r="I1351" s="165"/>
      <c r="J1351" s="59"/>
      <c r="K1351" s="53"/>
      <c r="L1351" s="59"/>
      <c r="M1351" s="59"/>
      <c r="N1351" s="47" t="b">
        <v>0</v>
      </c>
      <c r="O1351" s="59"/>
      <c r="Q1351" s="54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</row>
    <row r="1352">
      <c r="A1352" s="59" t="b">
        <v>0</v>
      </c>
      <c r="B1352" s="54"/>
      <c r="C1352" s="55"/>
      <c r="D1352" s="56"/>
      <c r="E1352" s="40"/>
      <c r="F1352" s="57"/>
      <c r="G1352" s="114"/>
      <c r="H1352" s="59"/>
      <c r="I1352" s="165"/>
      <c r="J1352" s="59"/>
      <c r="K1352" s="53"/>
      <c r="L1352" s="59"/>
      <c r="M1352" s="59"/>
      <c r="N1352" s="47" t="b">
        <v>0</v>
      </c>
      <c r="O1352" s="59"/>
      <c r="Q1352" s="54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</row>
    <row r="1353">
      <c r="A1353" s="59" t="b">
        <v>0</v>
      </c>
      <c r="B1353" s="54"/>
      <c r="C1353" s="55"/>
      <c r="D1353" s="56"/>
      <c r="E1353" s="40"/>
      <c r="F1353" s="57"/>
      <c r="G1353" s="114"/>
      <c r="H1353" s="59"/>
      <c r="I1353" s="165"/>
      <c r="J1353" s="59"/>
      <c r="K1353" s="53"/>
      <c r="L1353" s="59"/>
      <c r="M1353" s="59"/>
      <c r="N1353" s="47" t="b">
        <v>0</v>
      </c>
      <c r="O1353" s="59"/>
      <c r="Q1353" s="54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</row>
    <row r="1354">
      <c r="A1354" s="59" t="b">
        <v>0</v>
      </c>
      <c r="B1354" s="54"/>
      <c r="C1354" s="55"/>
      <c r="D1354" s="56"/>
      <c r="E1354" s="40"/>
      <c r="F1354" s="57"/>
      <c r="G1354" s="114"/>
      <c r="H1354" s="59"/>
      <c r="I1354" s="165"/>
      <c r="J1354" s="59"/>
      <c r="K1354" s="53"/>
      <c r="L1354" s="59"/>
      <c r="M1354" s="59"/>
      <c r="N1354" s="47" t="b">
        <v>0</v>
      </c>
      <c r="O1354" s="59"/>
      <c r="Q1354" s="54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</row>
    <row r="1355">
      <c r="A1355" s="59" t="b">
        <v>0</v>
      </c>
      <c r="B1355" s="54"/>
      <c r="C1355" s="55"/>
      <c r="D1355" s="56"/>
      <c r="E1355" s="40"/>
      <c r="F1355" s="57"/>
      <c r="G1355" s="114"/>
      <c r="H1355" s="59"/>
      <c r="I1355" s="165"/>
      <c r="J1355" s="59"/>
      <c r="K1355" s="53"/>
      <c r="L1355" s="59"/>
      <c r="M1355" s="59"/>
      <c r="N1355" s="47" t="b">
        <v>0</v>
      </c>
      <c r="O1355" s="59"/>
      <c r="Q1355" s="54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</row>
    <row r="1356">
      <c r="A1356" s="59" t="b">
        <v>0</v>
      </c>
      <c r="B1356" s="54"/>
      <c r="C1356" s="55"/>
      <c r="D1356" s="56"/>
      <c r="E1356" s="40"/>
      <c r="F1356" s="57"/>
      <c r="G1356" s="114"/>
      <c r="H1356" s="59"/>
      <c r="I1356" s="165"/>
      <c r="J1356" s="59"/>
      <c r="K1356" s="53"/>
      <c r="L1356" s="59"/>
      <c r="M1356" s="59"/>
      <c r="N1356" s="47" t="b">
        <v>0</v>
      </c>
      <c r="O1356" s="59"/>
      <c r="Q1356" s="54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</row>
    <row r="1357">
      <c r="A1357" s="59" t="b">
        <v>0</v>
      </c>
      <c r="B1357" s="54"/>
      <c r="C1357" s="55"/>
      <c r="D1357" s="56"/>
      <c r="E1357" s="40"/>
      <c r="F1357" s="57"/>
      <c r="G1357" s="114"/>
      <c r="H1357" s="59"/>
      <c r="I1357" s="165"/>
      <c r="J1357" s="59"/>
      <c r="K1357" s="53"/>
      <c r="L1357" s="59"/>
      <c r="M1357" s="59"/>
      <c r="N1357" s="47" t="b">
        <v>0</v>
      </c>
      <c r="O1357" s="59"/>
      <c r="Q1357" s="54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</row>
    <row r="1358">
      <c r="A1358" s="59" t="b">
        <v>0</v>
      </c>
      <c r="B1358" s="54"/>
      <c r="C1358" s="55"/>
      <c r="D1358" s="56"/>
      <c r="E1358" s="40"/>
      <c r="F1358" s="57"/>
      <c r="G1358" s="114"/>
      <c r="H1358" s="59"/>
      <c r="I1358" s="165"/>
      <c r="J1358" s="59"/>
      <c r="K1358" s="53"/>
      <c r="L1358" s="59"/>
      <c r="M1358" s="59"/>
      <c r="N1358" s="47" t="b">
        <v>0</v>
      </c>
      <c r="O1358" s="59"/>
      <c r="Q1358" s="54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</row>
    <row r="1359">
      <c r="A1359" s="59" t="b">
        <v>0</v>
      </c>
      <c r="B1359" s="54"/>
      <c r="C1359" s="55"/>
      <c r="D1359" s="56"/>
      <c r="E1359" s="40"/>
      <c r="F1359" s="57"/>
      <c r="G1359" s="114"/>
      <c r="H1359" s="59"/>
      <c r="I1359" s="165"/>
      <c r="J1359" s="59"/>
      <c r="K1359" s="53"/>
      <c r="L1359" s="59"/>
      <c r="M1359" s="59"/>
      <c r="N1359" s="47" t="b">
        <v>0</v>
      </c>
      <c r="O1359" s="59"/>
      <c r="Q1359" s="54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</row>
    <row r="1360">
      <c r="A1360" s="59" t="b">
        <v>0</v>
      </c>
      <c r="B1360" s="54"/>
      <c r="C1360" s="55"/>
      <c r="D1360" s="56"/>
      <c r="E1360" s="40"/>
      <c r="F1360" s="57"/>
      <c r="G1360" s="114"/>
      <c r="H1360" s="59"/>
      <c r="I1360" s="165"/>
      <c r="J1360" s="59"/>
      <c r="K1360" s="53"/>
      <c r="L1360" s="59"/>
      <c r="M1360" s="59"/>
      <c r="N1360" s="47" t="b">
        <v>0</v>
      </c>
      <c r="O1360" s="59"/>
      <c r="Q1360" s="54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</row>
    <row r="1361">
      <c r="A1361" s="59" t="b">
        <v>0</v>
      </c>
      <c r="B1361" s="54"/>
      <c r="C1361" s="55"/>
      <c r="D1361" s="56"/>
      <c r="E1361" s="40"/>
      <c r="F1361" s="57"/>
      <c r="G1361" s="114"/>
      <c r="H1361" s="59"/>
      <c r="I1361" s="165"/>
      <c r="J1361" s="59"/>
      <c r="K1361" s="53"/>
      <c r="L1361" s="59"/>
      <c r="M1361" s="59"/>
      <c r="N1361" s="47" t="b">
        <v>0</v>
      </c>
      <c r="O1361" s="59"/>
      <c r="Q1361" s="54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</row>
    <row r="1362">
      <c r="A1362" s="59" t="b">
        <v>0</v>
      </c>
      <c r="B1362" s="54"/>
      <c r="C1362" s="55"/>
      <c r="D1362" s="56"/>
      <c r="E1362" s="40"/>
      <c r="F1362" s="57"/>
      <c r="G1362" s="114"/>
      <c r="H1362" s="59"/>
      <c r="I1362" s="165"/>
      <c r="J1362" s="59"/>
      <c r="K1362" s="53"/>
      <c r="L1362" s="59"/>
      <c r="M1362" s="59"/>
      <c r="N1362" s="47" t="b">
        <v>0</v>
      </c>
      <c r="O1362" s="59"/>
      <c r="Q1362" s="54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</row>
    <row r="1363">
      <c r="A1363" s="59" t="b">
        <v>0</v>
      </c>
      <c r="B1363" s="54"/>
      <c r="C1363" s="55"/>
      <c r="D1363" s="56"/>
      <c r="E1363" s="40"/>
      <c r="F1363" s="57"/>
      <c r="G1363" s="114"/>
      <c r="H1363" s="59"/>
      <c r="I1363" s="165"/>
      <c r="J1363" s="59"/>
      <c r="K1363" s="53"/>
      <c r="L1363" s="59"/>
      <c r="M1363" s="59"/>
      <c r="N1363" s="47" t="b">
        <v>0</v>
      </c>
      <c r="O1363" s="59"/>
      <c r="Q1363" s="54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</row>
    <row r="1364">
      <c r="A1364" s="59" t="b">
        <v>0</v>
      </c>
      <c r="B1364" s="54"/>
      <c r="C1364" s="55"/>
      <c r="D1364" s="56"/>
      <c r="E1364" s="40"/>
      <c r="F1364" s="57"/>
      <c r="G1364" s="114"/>
      <c r="H1364" s="59"/>
      <c r="I1364" s="165"/>
      <c r="J1364" s="59"/>
      <c r="K1364" s="53"/>
      <c r="L1364" s="59"/>
      <c r="M1364" s="59"/>
      <c r="N1364" s="47" t="b">
        <v>0</v>
      </c>
      <c r="O1364" s="59"/>
      <c r="Q1364" s="54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</row>
    <row r="1365">
      <c r="A1365" s="59" t="b">
        <v>0</v>
      </c>
      <c r="B1365" s="54"/>
      <c r="C1365" s="55"/>
      <c r="D1365" s="56"/>
      <c r="E1365" s="40"/>
      <c r="F1365" s="57"/>
      <c r="G1365" s="114"/>
      <c r="H1365" s="59"/>
      <c r="I1365" s="165"/>
      <c r="J1365" s="59"/>
      <c r="K1365" s="53"/>
      <c r="L1365" s="59"/>
      <c r="M1365" s="59"/>
      <c r="N1365" s="47" t="b">
        <v>0</v>
      </c>
      <c r="O1365" s="59"/>
      <c r="Q1365" s="54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</row>
    <row r="1366">
      <c r="A1366" s="59" t="b">
        <v>0</v>
      </c>
      <c r="B1366" s="54"/>
      <c r="C1366" s="55"/>
      <c r="D1366" s="56"/>
      <c r="E1366" s="40"/>
      <c r="F1366" s="57"/>
      <c r="G1366" s="114"/>
      <c r="H1366" s="59"/>
      <c r="I1366" s="165"/>
      <c r="J1366" s="59"/>
      <c r="K1366" s="53"/>
      <c r="L1366" s="59"/>
      <c r="M1366" s="59"/>
      <c r="N1366" s="47" t="b">
        <v>0</v>
      </c>
      <c r="O1366" s="59"/>
      <c r="Q1366" s="54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</row>
    <row r="1367">
      <c r="A1367" s="59" t="b">
        <v>0</v>
      </c>
      <c r="B1367" s="54"/>
      <c r="C1367" s="55"/>
      <c r="D1367" s="56"/>
      <c r="E1367" s="40"/>
      <c r="F1367" s="57"/>
      <c r="G1367" s="114"/>
      <c r="H1367" s="59"/>
      <c r="I1367" s="165"/>
      <c r="J1367" s="59"/>
      <c r="K1367" s="53"/>
      <c r="L1367" s="59"/>
      <c r="M1367" s="59"/>
      <c r="N1367" s="47" t="b">
        <v>0</v>
      </c>
      <c r="O1367" s="59"/>
      <c r="Q1367" s="54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</row>
    <row r="1368">
      <c r="A1368" s="59" t="b">
        <v>0</v>
      </c>
      <c r="B1368" s="54"/>
      <c r="C1368" s="55"/>
      <c r="D1368" s="56"/>
      <c r="E1368" s="40"/>
      <c r="F1368" s="57"/>
      <c r="G1368" s="114"/>
      <c r="H1368" s="59"/>
      <c r="I1368" s="165"/>
      <c r="J1368" s="59"/>
      <c r="K1368" s="53"/>
      <c r="L1368" s="59"/>
      <c r="M1368" s="59"/>
      <c r="N1368" s="47" t="b">
        <v>0</v>
      </c>
      <c r="O1368" s="59"/>
      <c r="Q1368" s="54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</row>
    <row r="1369">
      <c r="A1369" s="59" t="b">
        <v>0</v>
      </c>
      <c r="B1369" s="54"/>
      <c r="C1369" s="55"/>
      <c r="D1369" s="56"/>
      <c r="E1369" s="40"/>
      <c r="F1369" s="57"/>
      <c r="G1369" s="114"/>
      <c r="H1369" s="59"/>
      <c r="I1369" s="165"/>
      <c r="J1369" s="59"/>
      <c r="K1369" s="53"/>
      <c r="L1369" s="59"/>
      <c r="M1369" s="59"/>
      <c r="N1369" s="47" t="b">
        <v>0</v>
      </c>
      <c r="O1369" s="59"/>
      <c r="Q1369" s="54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</row>
    <row r="1370">
      <c r="A1370" s="59" t="b">
        <v>0</v>
      </c>
      <c r="B1370" s="54"/>
      <c r="C1370" s="55"/>
      <c r="D1370" s="56"/>
      <c r="E1370" s="40"/>
      <c r="F1370" s="57"/>
      <c r="G1370" s="114"/>
      <c r="H1370" s="59"/>
      <c r="I1370" s="165"/>
      <c r="J1370" s="59"/>
      <c r="K1370" s="53"/>
      <c r="L1370" s="59"/>
      <c r="M1370" s="59"/>
      <c r="N1370" s="47" t="b">
        <v>0</v>
      </c>
      <c r="O1370" s="59"/>
      <c r="Q1370" s="54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</row>
    <row r="1371">
      <c r="A1371" s="59" t="b">
        <v>0</v>
      </c>
      <c r="B1371" s="54"/>
      <c r="C1371" s="55"/>
      <c r="D1371" s="56"/>
      <c r="E1371" s="40"/>
      <c r="F1371" s="57"/>
      <c r="G1371" s="114"/>
      <c r="H1371" s="59"/>
      <c r="I1371" s="165"/>
      <c r="J1371" s="59"/>
      <c r="K1371" s="53"/>
      <c r="L1371" s="59"/>
      <c r="M1371" s="59"/>
      <c r="N1371" s="47" t="b">
        <v>0</v>
      </c>
      <c r="O1371" s="59"/>
      <c r="Q1371" s="54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</row>
    <row r="1372">
      <c r="A1372" s="59" t="b">
        <v>0</v>
      </c>
      <c r="B1372" s="54"/>
      <c r="C1372" s="55"/>
      <c r="D1372" s="56"/>
      <c r="E1372" s="40"/>
      <c r="F1372" s="57"/>
      <c r="G1372" s="114"/>
      <c r="H1372" s="59"/>
      <c r="I1372" s="165"/>
      <c r="J1372" s="59"/>
      <c r="K1372" s="53"/>
      <c r="L1372" s="59"/>
      <c r="M1372" s="59"/>
      <c r="N1372" s="47" t="b">
        <v>0</v>
      </c>
      <c r="O1372" s="59"/>
      <c r="Q1372" s="54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</row>
    <row r="1373">
      <c r="A1373" s="59" t="b">
        <v>0</v>
      </c>
      <c r="B1373" s="54"/>
      <c r="C1373" s="55"/>
      <c r="D1373" s="56"/>
      <c r="E1373" s="40"/>
      <c r="F1373" s="57"/>
      <c r="G1373" s="114"/>
      <c r="H1373" s="59"/>
      <c r="I1373" s="165"/>
      <c r="J1373" s="59"/>
      <c r="K1373" s="53"/>
      <c r="L1373" s="59"/>
      <c r="M1373" s="59"/>
      <c r="N1373" s="47" t="b">
        <v>0</v>
      </c>
      <c r="O1373" s="59"/>
      <c r="Q1373" s="54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</row>
    <row r="1374">
      <c r="A1374" s="59" t="b">
        <v>0</v>
      </c>
      <c r="B1374" s="54"/>
      <c r="C1374" s="55"/>
      <c r="D1374" s="56"/>
      <c r="E1374" s="40"/>
      <c r="F1374" s="57"/>
      <c r="G1374" s="114"/>
      <c r="H1374" s="59"/>
      <c r="I1374" s="165"/>
      <c r="J1374" s="59"/>
      <c r="K1374" s="53"/>
      <c r="L1374" s="59"/>
      <c r="M1374" s="59"/>
      <c r="N1374" s="47" t="b">
        <v>0</v>
      </c>
      <c r="O1374" s="59"/>
      <c r="Q1374" s="54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</row>
    <row r="1375">
      <c r="A1375" s="59" t="b">
        <v>0</v>
      </c>
      <c r="B1375" s="54"/>
      <c r="C1375" s="55"/>
      <c r="D1375" s="56"/>
      <c r="E1375" s="40"/>
      <c r="F1375" s="57"/>
      <c r="G1375" s="114"/>
      <c r="H1375" s="59"/>
      <c r="I1375" s="165"/>
      <c r="J1375" s="59"/>
      <c r="K1375" s="53"/>
      <c r="L1375" s="59"/>
      <c r="M1375" s="59"/>
      <c r="N1375" s="47" t="b">
        <v>0</v>
      </c>
      <c r="O1375" s="59"/>
      <c r="Q1375" s="54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</row>
    <row r="1376">
      <c r="A1376" s="59" t="b">
        <v>0</v>
      </c>
      <c r="B1376" s="54"/>
      <c r="C1376" s="55"/>
      <c r="D1376" s="56"/>
      <c r="E1376" s="40"/>
      <c r="F1376" s="57"/>
      <c r="G1376" s="114"/>
      <c r="H1376" s="59"/>
      <c r="I1376" s="165"/>
      <c r="J1376" s="59"/>
      <c r="K1376" s="53"/>
      <c r="L1376" s="59"/>
      <c r="M1376" s="59"/>
      <c r="N1376" s="47" t="b">
        <v>0</v>
      </c>
      <c r="O1376" s="59"/>
      <c r="Q1376" s="54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</row>
    <row r="1377">
      <c r="A1377" s="59" t="b">
        <v>0</v>
      </c>
      <c r="B1377" s="54"/>
      <c r="C1377" s="55"/>
      <c r="D1377" s="56"/>
      <c r="E1377" s="40"/>
      <c r="F1377" s="57"/>
      <c r="G1377" s="114"/>
      <c r="H1377" s="59"/>
      <c r="I1377" s="165"/>
      <c r="J1377" s="59"/>
      <c r="K1377" s="53"/>
      <c r="L1377" s="59"/>
      <c r="M1377" s="59"/>
      <c r="N1377" s="47" t="b">
        <v>0</v>
      </c>
      <c r="O1377" s="59"/>
      <c r="Q1377" s="54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</row>
    <row r="1378">
      <c r="A1378" s="59" t="b">
        <v>0</v>
      </c>
      <c r="B1378" s="54"/>
      <c r="C1378" s="55"/>
      <c r="D1378" s="56"/>
      <c r="E1378" s="40"/>
      <c r="F1378" s="57"/>
      <c r="G1378" s="114"/>
      <c r="H1378" s="59"/>
      <c r="I1378" s="165"/>
      <c r="J1378" s="59"/>
      <c r="K1378" s="53"/>
      <c r="L1378" s="59"/>
      <c r="M1378" s="59"/>
      <c r="N1378" s="47" t="b">
        <v>0</v>
      </c>
      <c r="O1378" s="59"/>
      <c r="Q1378" s="54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</row>
    <row r="1379">
      <c r="A1379" s="59" t="b">
        <v>0</v>
      </c>
      <c r="B1379" s="54"/>
      <c r="C1379" s="55"/>
      <c r="D1379" s="56"/>
      <c r="E1379" s="40"/>
      <c r="F1379" s="57"/>
      <c r="G1379" s="114"/>
      <c r="H1379" s="59"/>
      <c r="I1379" s="165"/>
      <c r="J1379" s="59"/>
      <c r="K1379" s="53"/>
      <c r="L1379" s="59"/>
      <c r="M1379" s="59"/>
      <c r="N1379" s="47" t="b">
        <v>0</v>
      </c>
      <c r="O1379" s="59"/>
      <c r="Q1379" s="54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</row>
    <row r="1380">
      <c r="A1380" s="59" t="b">
        <v>0</v>
      </c>
      <c r="B1380" s="54"/>
      <c r="C1380" s="55"/>
      <c r="D1380" s="56"/>
      <c r="E1380" s="40"/>
      <c r="F1380" s="57"/>
      <c r="G1380" s="114"/>
      <c r="H1380" s="59"/>
      <c r="I1380" s="165"/>
      <c r="J1380" s="59"/>
      <c r="K1380" s="53"/>
      <c r="L1380" s="59"/>
      <c r="M1380" s="59"/>
      <c r="N1380" s="47" t="b">
        <v>0</v>
      </c>
      <c r="O1380" s="59"/>
      <c r="Q1380" s="54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</row>
    <row r="1381">
      <c r="A1381" s="59" t="b">
        <v>0</v>
      </c>
      <c r="B1381" s="54"/>
      <c r="C1381" s="55"/>
      <c r="D1381" s="56"/>
      <c r="E1381" s="40"/>
      <c r="F1381" s="57"/>
      <c r="G1381" s="114"/>
      <c r="H1381" s="59"/>
      <c r="I1381" s="165"/>
      <c r="J1381" s="59"/>
      <c r="K1381" s="53"/>
      <c r="L1381" s="59"/>
      <c r="M1381" s="59"/>
      <c r="N1381" s="47" t="b">
        <v>0</v>
      </c>
      <c r="O1381" s="59"/>
      <c r="Q1381" s="54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</row>
    <row r="1382">
      <c r="A1382" s="59" t="b">
        <v>0</v>
      </c>
      <c r="B1382" s="54"/>
      <c r="C1382" s="55"/>
      <c r="D1382" s="56"/>
      <c r="E1382" s="40"/>
      <c r="F1382" s="57"/>
      <c r="G1382" s="114"/>
      <c r="H1382" s="59"/>
      <c r="I1382" s="165"/>
      <c r="J1382" s="59"/>
      <c r="K1382" s="53"/>
      <c r="L1382" s="59"/>
      <c r="M1382" s="59"/>
      <c r="N1382" s="47" t="b">
        <v>0</v>
      </c>
      <c r="O1382" s="59"/>
      <c r="Q1382" s="54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</row>
    <row r="1383">
      <c r="A1383" s="59" t="b">
        <v>0</v>
      </c>
      <c r="B1383" s="54"/>
      <c r="C1383" s="55"/>
      <c r="D1383" s="56"/>
      <c r="E1383" s="40"/>
      <c r="F1383" s="57"/>
      <c r="G1383" s="114"/>
      <c r="H1383" s="59"/>
      <c r="I1383" s="165"/>
      <c r="J1383" s="59"/>
      <c r="K1383" s="53"/>
      <c r="L1383" s="59"/>
      <c r="M1383" s="59"/>
      <c r="N1383" s="47" t="b">
        <v>0</v>
      </c>
      <c r="O1383" s="59"/>
      <c r="Q1383" s="54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</row>
    <row r="1384">
      <c r="A1384" s="59" t="b">
        <v>0</v>
      </c>
      <c r="B1384" s="54"/>
      <c r="C1384" s="55"/>
      <c r="D1384" s="56"/>
      <c r="E1384" s="40"/>
      <c r="F1384" s="57"/>
      <c r="G1384" s="114"/>
      <c r="H1384" s="59"/>
      <c r="I1384" s="165"/>
      <c r="J1384" s="59"/>
      <c r="K1384" s="53"/>
      <c r="L1384" s="59"/>
      <c r="M1384" s="59"/>
      <c r="N1384" s="47" t="b">
        <v>0</v>
      </c>
      <c r="O1384" s="59"/>
      <c r="Q1384" s="54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</row>
    <row r="1385">
      <c r="A1385" s="59" t="b">
        <v>0</v>
      </c>
      <c r="B1385" s="54"/>
      <c r="C1385" s="55"/>
      <c r="D1385" s="56"/>
      <c r="E1385" s="40"/>
      <c r="F1385" s="57"/>
      <c r="G1385" s="114"/>
      <c r="H1385" s="59"/>
      <c r="I1385" s="165"/>
      <c r="J1385" s="59"/>
      <c r="K1385" s="53"/>
      <c r="L1385" s="59"/>
      <c r="M1385" s="59"/>
      <c r="N1385" s="47" t="b">
        <v>0</v>
      </c>
      <c r="O1385" s="59"/>
      <c r="Q1385" s="54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</row>
    <row r="1386">
      <c r="A1386" s="59" t="b">
        <v>0</v>
      </c>
      <c r="B1386" s="54"/>
      <c r="C1386" s="55"/>
      <c r="D1386" s="56"/>
      <c r="E1386" s="40"/>
      <c r="F1386" s="57"/>
      <c r="G1386" s="114"/>
      <c r="H1386" s="59"/>
      <c r="I1386" s="165"/>
      <c r="J1386" s="59"/>
      <c r="K1386" s="53"/>
      <c r="L1386" s="59"/>
      <c r="M1386" s="59"/>
      <c r="N1386" s="47" t="b">
        <v>0</v>
      </c>
      <c r="O1386" s="59"/>
      <c r="Q1386" s="54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</row>
    <row r="1387">
      <c r="A1387" s="59" t="b">
        <v>0</v>
      </c>
      <c r="B1387" s="54"/>
      <c r="C1387" s="55"/>
      <c r="D1387" s="56"/>
      <c r="E1387" s="40"/>
      <c r="F1387" s="57"/>
      <c r="G1387" s="114"/>
      <c r="H1387" s="59"/>
      <c r="I1387" s="165"/>
      <c r="J1387" s="59"/>
      <c r="K1387" s="53"/>
      <c r="L1387" s="59"/>
      <c r="M1387" s="59"/>
      <c r="N1387" s="47" t="b">
        <v>0</v>
      </c>
      <c r="O1387" s="59"/>
      <c r="Q1387" s="54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</row>
    <row r="1388">
      <c r="A1388" s="59" t="b">
        <v>0</v>
      </c>
      <c r="B1388" s="54"/>
      <c r="C1388" s="55"/>
      <c r="D1388" s="56"/>
      <c r="E1388" s="40"/>
      <c r="F1388" s="57"/>
      <c r="G1388" s="114"/>
      <c r="H1388" s="59"/>
      <c r="I1388" s="165"/>
      <c r="J1388" s="59"/>
      <c r="K1388" s="53"/>
      <c r="L1388" s="59"/>
      <c r="M1388" s="59"/>
      <c r="N1388" s="47" t="b">
        <v>0</v>
      </c>
      <c r="O1388" s="59"/>
      <c r="Q1388" s="54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</row>
    <row r="1389">
      <c r="A1389" s="59" t="b">
        <v>0</v>
      </c>
      <c r="B1389" s="54"/>
      <c r="C1389" s="55"/>
      <c r="D1389" s="56"/>
      <c r="E1389" s="40"/>
      <c r="F1389" s="57"/>
      <c r="G1389" s="114"/>
      <c r="H1389" s="59"/>
      <c r="I1389" s="165"/>
      <c r="J1389" s="59"/>
      <c r="K1389" s="53"/>
      <c r="L1389" s="59"/>
      <c r="M1389" s="59"/>
      <c r="N1389" s="47" t="b">
        <v>0</v>
      </c>
      <c r="O1389" s="59"/>
      <c r="Q1389" s="54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</row>
    <row r="1390">
      <c r="A1390" s="59" t="b">
        <v>0</v>
      </c>
      <c r="B1390" s="54"/>
      <c r="C1390" s="55"/>
      <c r="D1390" s="56"/>
      <c r="E1390" s="40"/>
      <c r="F1390" s="57"/>
      <c r="G1390" s="114"/>
      <c r="H1390" s="59"/>
      <c r="I1390" s="165"/>
      <c r="J1390" s="59"/>
      <c r="K1390" s="53"/>
      <c r="L1390" s="59"/>
      <c r="M1390" s="59"/>
      <c r="N1390" s="47" t="b">
        <v>0</v>
      </c>
      <c r="O1390" s="59"/>
      <c r="Q1390" s="54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</row>
    <row r="1391">
      <c r="A1391" s="59" t="b">
        <v>0</v>
      </c>
      <c r="B1391" s="54"/>
      <c r="C1391" s="55"/>
      <c r="D1391" s="56"/>
      <c r="E1391" s="40"/>
      <c r="F1391" s="57"/>
      <c r="G1391" s="114"/>
      <c r="H1391" s="59"/>
      <c r="I1391" s="165"/>
      <c r="J1391" s="59"/>
      <c r="K1391" s="53"/>
      <c r="L1391" s="59"/>
      <c r="M1391" s="59"/>
      <c r="N1391" s="47" t="b">
        <v>0</v>
      </c>
      <c r="O1391" s="59"/>
      <c r="Q1391" s="54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</row>
    <row r="1392">
      <c r="A1392" s="59" t="b">
        <v>0</v>
      </c>
      <c r="B1392" s="54"/>
      <c r="C1392" s="55"/>
      <c r="D1392" s="56"/>
      <c r="E1392" s="40"/>
      <c r="F1392" s="57"/>
      <c r="G1392" s="114"/>
      <c r="H1392" s="59"/>
      <c r="I1392" s="165"/>
      <c r="J1392" s="59"/>
      <c r="K1392" s="53"/>
      <c r="L1392" s="59"/>
      <c r="M1392" s="59"/>
      <c r="N1392" s="47" t="b">
        <v>0</v>
      </c>
      <c r="O1392" s="59"/>
      <c r="Q1392" s="54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</row>
    <row r="1393">
      <c r="A1393" s="59" t="b">
        <v>0</v>
      </c>
      <c r="B1393" s="54"/>
      <c r="C1393" s="55"/>
      <c r="D1393" s="56"/>
      <c r="E1393" s="40"/>
      <c r="F1393" s="57"/>
      <c r="G1393" s="114"/>
      <c r="H1393" s="59"/>
      <c r="I1393" s="165"/>
      <c r="J1393" s="59"/>
      <c r="K1393" s="53"/>
      <c r="L1393" s="59"/>
      <c r="M1393" s="59"/>
      <c r="N1393" s="47" t="b">
        <v>0</v>
      </c>
      <c r="O1393" s="59"/>
      <c r="Q1393" s="54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</row>
    <row r="1394">
      <c r="A1394" s="59" t="b">
        <v>0</v>
      </c>
      <c r="B1394" s="54"/>
      <c r="C1394" s="55"/>
      <c r="D1394" s="56"/>
      <c r="E1394" s="40"/>
      <c r="F1394" s="57"/>
      <c r="G1394" s="114"/>
      <c r="H1394" s="59"/>
      <c r="I1394" s="165"/>
      <c r="J1394" s="59"/>
      <c r="K1394" s="53"/>
      <c r="L1394" s="59"/>
      <c r="M1394" s="59"/>
      <c r="N1394" s="47" t="b">
        <v>0</v>
      </c>
      <c r="O1394" s="59"/>
      <c r="Q1394" s="54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</row>
    <row r="1395">
      <c r="A1395" s="59" t="b">
        <v>0</v>
      </c>
      <c r="B1395" s="54"/>
      <c r="C1395" s="55"/>
      <c r="D1395" s="56"/>
      <c r="E1395" s="40"/>
      <c r="F1395" s="57"/>
      <c r="G1395" s="114"/>
      <c r="H1395" s="59"/>
      <c r="I1395" s="165"/>
      <c r="J1395" s="59"/>
      <c r="K1395" s="53"/>
      <c r="L1395" s="59"/>
      <c r="M1395" s="59"/>
      <c r="N1395" s="47" t="b">
        <v>0</v>
      </c>
      <c r="O1395" s="59"/>
      <c r="Q1395" s="54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</row>
    <row r="1396">
      <c r="A1396" s="59" t="b">
        <v>0</v>
      </c>
      <c r="B1396" s="54"/>
      <c r="C1396" s="55"/>
      <c r="D1396" s="56"/>
      <c r="E1396" s="40"/>
      <c r="F1396" s="57"/>
      <c r="G1396" s="114"/>
      <c r="H1396" s="59"/>
      <c r="I1396" s="165"/>
      <c r="J1396" s="59"/>
      <c r="K1396" s="53"/>
      <c r="L1396" s="59"/>
      <c r="M1396" s="59"/>
      <c r="N1396" s="47" t="b">
        <v>0</v>
      </c>
      <c r="O1396" s="59"/>
      <c r="Q1396" s="54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</row>
    <row r="1397">
      <c r="A1397" s="59" t="b">
        <v>0</v>
      </c>
      <c r="B1397" s="54"/>
      <c r="C1397" s="55"/>
      <c r="D1397" s="56"/>
      <c r="E1397" s="40"/>
      <c r="F1397" s="57"/>
      <c r="G1397" s="114"/>
      <c r="H1397" s="59"/>
      <c r="I1397" s="165"/>
      <c r="J1397" s="59"/>
      <c r="K1397" s="53"/>
      <c r="L1397" s="59"/>
      <c r="M1397" s="59"/>
      <c r="N1397" s="47" t="b">
        <v>0</v>
      </c>
      <c r="O1397" s="59"/>
      <c r="Q1397" s="54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</row>
    <row r="1398">
      <c r="A1398" s="59" t="b">
        <v>0</v>
      </c>
      <c r="B1398" s="54"/>
      <c r="C1398" s="55"/>
      <c r="D1398" s="56"/>
      <c r="E1398" s="40"/>
      <c r="F1398" s="57"/>
      <c r="G1398" s="114"/>
      <c r="H1398" s="59"/>
      <c r="I1398" s="165"/>
      <c r="J1398" s="59"/>
      <c r="K1398" s="53"/>
      <c r="L1398" s="59"/>
      <c r="M1398" s="59"/>
      <c r="N1398" s="47" t="b">
        <v>0</v>
      </c>
      <c r="O1398" s="59"/>
      <c r="Q1398" s="54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</row>
    <row r="1399">
      <c r="A1399" s="59" t="b">
        <v>0</v>
      </c>
      <c r="B1399" s="54"/>
      <c r="C1399" s="55"/>
      <c r="D1399" s="56"/>
      <c r="E1399" s="40"/>
      <c r="F1399" s="57"/>
      <c r="G1399" s="114"/>
      <c r="H1399" s="59"/>
      <c r="I1399" s="165"/>
      <c r="J1399" s="59"/>
      <c r="K1399" s="53"/>
      <c r="L1399" s="59"/>
      <c r="M1399" s="59"/>
      <c r="N1399" s="47" t="b">
        <v>0</v>
      </c>
      <c r="O1399" s="59"/>
      <c r="Q1399" s="54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</row>
    <row r="1400">
      <c r="A1400" s="59" t="b">
        <v>0</v>
      </c>
      <c r="B1400" s="54"/>
      <c r="C1400" s="55"/>
      <c r="D1400" s="56"/>
      <c r="E1400" s="40"/>
      <c r="F1400" s="57"/>
      <c r="G1400" s="114"/>
      <c r="H1400" s="59"/>
      <c r="I1400" s="165"/>
      <c r="J1400" s="59"/>
      <c r="K1400" s="53"/>
      <c r="L1400" s="59"/>
      <c r="M1400" s="59"/>
      <c r="N1400" s="47" t="b">
        <v>0</v>
      </c>
      <c r="O1400" s="59"/>
      <c r="Q1400" s="54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</row>
    <row r="1401">
      <c r="A1401" s="59" t="b">
        <v>0</v>
      </c>
      <c r="B1401" s="54"/>
      <c r="C1401" s="55"/>
      <c r="D1401" s="56"/>
      <c r="E1401" s="40"/>
      <c r="F1401" s="57"/>
      <c r="G1401" s="114"/>
      <c r="H1401" s="59"/>
      <c r="I1401" s="165"/>
      <c r="J1401" s="59"/>
      <c r="K1401" s="53"/>
      <c r="L1401" s="59"/>
      <c r="M1401" s="59"/>
      <c r="N1401" s="47" t="b">
        <v>0</v>
      </c>
      <c r="O1401" s="59"/>
      <c r="Q1401" s="54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</row>
    <row r="1402">
      <c r="A1402" s="59" t="b">
        <v>0</v>
      </c>
      <c r="B1402" s="54"/>
      <c r="C1402" s="55"/>
      <c r="D1402" s="56"/>
      <c r="E1402" s="40"/>
      <c r="F1402" s="57"/>
      <c r="G1402" s="114"/>
      <c r="H1402" s="59"/>
      <c r="I1402" s="165"/>
      <c r="J1402" s="59"/>
      <c r="K1402" s="53"/>
      <c r="L1402" s="59"/>
      <c r="M1402" s="59"/>
      <c r="N1402" s="47" t="b">
        <v>0</v>
      </c>
      <c r="O1402" s="59"/>
      <c r="Q1402" s="54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</row>
    <row r="1403">
      <c r="A1403" s="59" t="b">
        <v>0</v>
      </c>
      <c r="B1403" s="54"/>
      <c r="C1403" s="55"/>
      <c r="D1403" s="56"/>
      <c r="E1403" s="40"/>
      <c r="F1403" s="57"/>
      <c r="G1403" s="114"/>
      <c r="H1403" s="59"/>
      <c r="I1403" s="165"/>
      <c r="J1403" s="59"/>
      <c r="K1403" s="53"/>
      <c r="L1403" s="59"/>
      <c r="M1403" s="59"/>
      <c r="N1403" s="47" t="b">
        <v>0</v>
      </c>
      <c r="O1403" s="59"/>
      <c r="Q1403" s="54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</row>
    <row r="1404">
      <c r="A1404" s="59" t="b">
        <v>0</v>
      </c>
      <c r="B1404" s="54"/>
      <c r="C1404" s="55"/>
      <c r="D1404" s="56"/>
      <c r="E1404" s="40"/>
      <c r="F1404" s="57"/>
      <c r="G1404" s="114"/>
      <c r="H1404" s="59"/>
      <c r="I1404" s="165"/>
      <c r="J1404" s="59"/>
      <c r="K1404" s="53"/>
      <c r="L1404" s="59"/>
      <c r="M1404" s="59"/>
      <c r="N1404" s="47" t="b">
        <v>0</v>
      </c>
      <c r="O1404" s="59"/>
      <c r="Q1404" s="54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</row>
    <row r="1405">
      <c r="A1405" s="59" t="b">
        <v>0</v>
      </c>
      <c r="B1405" s="54"/>
      <c r="C1405" s="55"/>
      <c r="D1405" s="56"/>
      <c r="E1405" s="40"/>
      <c r="F1405" s="57"/>
      <c r="G1405" s="114"/>
      <c r="H1405" s="59"/>
      <c r="I1405" s="165"/>
      <c r="J1405" s="59"/>
      <c r="K1405" s="53"/>
      <c r="L1405" s="59"/>
      <c r="M1405" s="59"/>
      <c r="N1405" s="47" t="b">
        <v>0</v>
      </c>
      <c r="O1405" s="59"/>
      <c r="Q1405" s="54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</row>
    <row r="1406">
      <c r="A1406" s="59" t="b">
        <v>0</v>
      </c>
      <c r="B1406" s="54"/>
      <c r="C1406" s="55"/>
      <c r="D1406" s="56"/>
      <c r="E1406" s="40"/>
      <c r="F1406" s="57"/>
      <c r="G1406" s="114"/>
      <c r="H1406" s="59"/>
      <c r="I1406" s="165"/>
      <c r="J1406" s="59"/>
      <c r="K1406" s="53"/>
      <c r="L1406" s="59"/>
      <c r="M1406" s="59"/>
      <c r="N1406" s="47" t="b">
        <v>0</v>
      </c>
      <c r="O1406" s="59"/>
      <c r="Q1406" s="54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</row>
    <row r="1407">
      <c r="A1407" s="59" t="b">
        <v>0</v>
      </c>
      <c r="B1407" s="54"/>
      <c r="C1407" s="55"/>
      <c r="D1407" s="56"/>
      <c r="E1407" s="40"/>
      <c r="F1407" s="57"/>
      <c r="G1407" s="114"/>
      <c r="H1407" s="59"/>
      <c r="I1407" s="165"/>
      <c r="J1407" s="59"/>
      <c r="K1407" s="53"/>
      <c r="L1407" s="59"/>
      <c r="M1407" s="59"/>
      <c r="N1407" s="47" t="b">
        <v>0</v>
      </c>
      <c r="O1407" s="59"/>
      <c r="Q1407" s="54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</row>
    <row r="1408">
      <c r="A1408" s="59" t="b">
        <v>0</v>
      </c>
      <c r="B1408" s="54"/>
      <c r="C1408" s="55"/>
      <c r="D1408" s="56"/>
      <c r="E1408" s="40"/>
      <c r="F1408" s="57"/>
      <c r="G1408" s="114"/>
      <c r="H1408" s="59"/>
      <c r="I1408" s="165"/>
      <c r="J1408" s="59"/>
      <c r="K1408" s="53"/>
      <c r="L1408" s="59"/>
      <c r="M1408" s="59"/>
      <c r="N1408" s="47" t="b">
        <v>0</v>
      </c>
      <c r="O1408" s="59"/>
      <c r="Q1408" s="54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</row>
    <row r="1409">
      <c r="A1409" s="59" t="b">
        <v>0</v>
      </c>
      <c r="B1409" s="54"/>
      <c r="C1409" s="55"/>
      <c r="D1409" s="56"/>
      <c r="E1409" s="40"/>
      <c r="F1409" s="57"/>
      <c r="G1409" s="114"/>
      <c r="H1409" s="59"/>
      <c r="I1409" s="165"/>
      <c r="J1409" s="59"/>
      <c r="K1409" s="53"/>
      <c r="L1409" s="59"/>
      <c r="M1409" s="59"/>
      <c r="N1409" s="47" t="b">
        <v>0</v>
      </c>
      <c r="O1409" s="59"/>
      <c r="Q1409" s="54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</row>
    <row r="1410">
      <c r="A1410" s="59" t="b">
        <v>0</v>
      </c>
      <c r="B1410" s="54"/>
      <c r="C1410" s="55"/>
      <c r="D1410" s="56"/>
      <c r="E1410" s="40"/>
      <c r="F1410" s="57"/>
      <c r="G1410" s="114"/>
      <c r="H1410" s="59"/>
      <c r="I1410" s="165"/>
      <c r="J1410" s="59"/>
      <c r="K1410" s="53"/>
      <c r="L1410" s="59"/>
      <c r="M1410" s="59"/>
      <c r="N1410" s="47" t="b">
        <v>0</v>
      </c>
      <c r="O1410" s="59"/>
      <c r="Q1410" s="54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</row>
    <row r="1411">
      <c r="A1411" s="59" t="b">
        <v>0</v>
      </c>
      <c r="B1411" s="54"/>
      <c r="C1411" s="55"/>
      <c r="D1411" s="56"/>
      <c r="E1411" s="40"/>
      <c r="F1411" s="57"/>
      <c r="G1411" s="114"/>
      <c r="H1411" s="59"/>
      <c r="I1411" s="165"/>
      <c r="J1411" s="59"/>
      <c r="K1411" s="53"/>
      <c r="L1411" s="59"/>
      <c r="M1411" s="59"/>
      <c r="N1411" s="47" t="b">
        <v>0</v>
      </c>
      <c r="O1411" s="59"/>
      <c r="Q1411" s="54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</row>
    <row r="1412">
      <c r="A1412" s="59" t="b">
        <v>0</v>
      </c>
      <c r="B1412" s="54"/>
      <c r="C1412" s="55"/>
      <c r="D1412" s="56"/>
      <c r="E1412" s="40"/>
      <c r="F1412" s="57"/>
      <c r="G1412" s="114"/>
      <c r="H1412" s="59"/>
      <c r="I1412" s="165"/>
      <c r="J1412" s="59"/>
      <c r="K1412" s="53"/>
      <c r="L1412" s="59"/>
      <c r="M1412" s="59"/>
      <c r="N1412" s="47" t="b">
        <v>0</v>
      </c>
      <c r="O1412" s="59"/>
      <c r="Q1412" s="54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</row>
    <row r="1413">
      <c r="A1413" s="59" t="b">
        <v>0</v>
      </c>
      <c r="B1413" s="54"/>
      <c r="C1413" s="55"/>
      <c r="D1413" s="56"/>
      <c r="E1413" s="40"/>
      <c r="F1413" s="57"/>
      <c r="G1413" s="114"/>
      <c r="H1413" s="59"/>
      <c r="I1413" s="165"/>
      <c r="J1413" s="59"/>
      <c r="K1413" s="53"/>
      <c r="L1413" s="59"/>
      <c r="M1413" s="59"/>
      <c r="N1413" s="47" t="b">
        <v>0</v>
      </c>
      <c r="O1413" s="59"/>
      <c r="Q1413" s="54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</row>
    <row r="1414">
      <c r="A1414" s="59" t="b">
        <v>0</v>
      </c>
      <c r="B1414" s="54"/>
      <c r="C1414" s="55"/>
      <c r="D1414" s="56"/>
      <c r="E1414" s="40"/>
      <c r="F1414" s="57"/>
      <c r="G1414" s="114"/>
      <c r="H1414" s="59"/>
      <c r="I1414" s="165"/>
      <c r="J1414" s="59"/>
      <c r="K1414" s="53"/>
      <c r="L1414" s="59"/>
      <c r="M1414" s="59"/>
      <c r="N1414" s="47" t="b">
        <v>0</v>
      </c>
      <c r="O1414" s="59"/>
      <c r="Q1414" s="54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</row>
    <row r="1415">
      <c r="A1415" s="59" t="b">
        <v>0</v>
      </c>
      <c r="B1415" s="54"/>
      <c r="C1415" s="55"/>
      <c r="D1415" s="56"/>
      <c r="E1415" s="40"/>
      <c r="F1415" s="57"/>
      <c r="G1415" s="114"/>
      <c r="H1415" s="59"/>
      <c r="I1415" s="165"/>
      <c r="J1415" s="59"/>
      <c r="K1415" s="53"/>
      <c r="L1415" s="59"/>
      <c r="M1415" s="59"/>
      <c r="N1415" s="47" t="b">
        <v>0</v>
      </c>
      <c r="O1415" s="59"/>
      <c r="Q1415" s="54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</row>
    <row r="1416">
      <c r="A1416" s="59" t="b">
        <v>0</v>
      </c>
      <c r="B1416" s="54"/>
      <c r="C1416" s="55"/>
      <c r="D1416" s="56"/>
      <c r="E1416" s="40"/>
      <c r="F1416" s="57"/>
      <c r="G1416" s="114"/>
      <c r="H1416" s="59"/>
      <c r="I1416" s="165"/>
      <c r="J1416" s="59"/>
      <c r="K1416" s="53"/>
      <c r="L1416" s="59"/>
      <c r="M1416" s="59"/>
      <c r="N1416" s="47" t="b">
        <v>0</v>
      </c>
      <c r="O1416" s="59"/>
      <c r="Q1416" s="54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</row>
    <row r="1417">
      <c r="A1417" s="59" t="b">
        <v>0</v>
      </c>
      <c r="B1417" s="54"/>
      <c r="C1417" s="55"/>
      <c r="D1417" s="56"/>
      <c r="E1417" s="40"/>
      <c r="F1417" s="57"/>
      <c r="G1417" s="114"/>
      <c r="H1417" s="59"/>
      <c r="I1417" s="165"/>
      <c r="J1417" s="59"/>
      <c r="K1417" s="53"/>
      <c r="L1417" s="59"/>
      <c r="M1417" s="59"/>
      <c r="N1417" s="47" t="b">
        <v>0</v>
      </c>
      <c r="O1417" s="59"/>
      <c r="Q1417" s="54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</row>
    <row r="1418">
      <c r="A1418" s="59" t="b">
        <v>0</v>
      </c>
      <c r="B1418" s="54"/>
      <c r="C1418" s="55"/>
      <c r="D1418" s="56"/>
      <c r="E1418" s="40"/>
      <c r="F1418" s="57"/>
      <c r="G1418" s="114"/>
      <c r="H1418" s="59"/>
      <c r="I1418" s="165"/>
      <c r="J1418" s="59"/>
      <c r="K1418" s="53"/>
      <c r="L1418" s="59"/>
      <c r="M1418" s="59"/>
      <c r="N1418" s="47" t="b">
        <v>0</v>
      </c>
      <c r="O1418" s="59"/>
      <c r="Q1418" s="54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</row>
    <row r="1419">
      <c r="A1419" s="59" t="b">
        <v>0</v>
      </c>
      <c r="B1419" s="54"/>
      <c r="C1419" s="55"/>
      <c r="D1419" s="56"/>
      <c r="E1419" s="40"/>
      <c r="F1419" s="57"/>
      <c r="G1419" s="114"/>
      <c r="H1419" s="59"/>
      <c r="I1419" s="165"/>
      <c r="J1419" s="59"/>
      <c r="K1419" s="53"/>
      <c r="L1419" s="59"/>
      <c r="M1419" s="59"/>
      <c r="N1419" s="47" t="b">
        <v>0</v>
      </c>
      <c r="O1419" s="59"/>
      <c r="Q1419" s="54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</row>
    <row r="1420">
      <c r="A1420" s="59" t="b">
        <v>0</v>
      </c>
      <c r="B1420" s="54"/>
      <c r="C1420" s="55"/>
      <c r="D1420" s="56"/>
      <c r="E1420" s="40"/>
      <c r="F1420" s="57"/>
      <c r="G1420" s="114"/>
      <c r="H1420" s="59"/>
      <c r="I1420" s="165"/>
      <c r="J1420" s="59"/>
      <c r="K1420" s="53"/>
      <c r="L1420" s="59"/>
      <c r="M1420" s="59"/>
      <c r="N1420" s="47" t="b">
        <v>0</v>
      </c>
      <c r="O1420" s="59"/>
      <c r="Q1420" s="54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</row>
    <row r="1421">
      <c r="A1421" s="59" t="b">
        <v>0</v>
      </c>
      <c r="B1421" s="54"/>
      <c r="C1421" s="55"/>
      <c r="D1421" s="56"/>
      <c r="E1421" s="40"/>
      <c r="F1421" s="57"/>
      <c r="G1421" s="114"/>
      <c r="H1421" s="59"/>
      <c r="I1421" s="165"/>
      <c r="J1421" s="59"/>
      <c r="K1421" s="53"/>
      <c r="L1421" s="59"/>
      <c r="M1421" s="59"/>
      <c r="N1421" s="47" t="b">
        <v>0</v>
      </c>
      <c r="O1421" s="59"/>
      <c r="Q1421" s="54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</row>
    <row r="1422">
      <c r="A1422" s="59" t="b">
        <v>0</v>
      </c>
      <c r="B1422" s="54"/>
      <c r="C1422" s="55"/>
      <c r="D1422" s="56"/>
      <c r="E1422" s="40"/>
      <c r="F1422" s="57"/>
      <c r="G1422" s="114"/>
      <c r="H1422" s="59"/>
      <c r="I1422" s="165"/>
      <c r="J1422" s="59"/>
      <c r="K1422" s="53"/>
      <c r="L1422" s="59"/>
      <c r="M1422" s="59"/>
      <c r="N1422" s="47" t="b">
        <v>0</v>
      </c>
      <c r="O1422" s="59"/>
      <c r="Q1422" s="54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</row>
    <row r="1423">
      <c r="A1423" s="59" t="b">
        <v>0</v>
      </c>
      <c r="B1423" s="54"/>
      <c r="C1423" s="55"/>
      <c r="D1423" s="56"/>
      <c r="E1423" s="40"/>
      <c r="F1423" s="57"/>
      <c r="G1423" s="114"/>
      <c r="H1423" s="59"/>
      <c r="I1423" s="165"/>
      <c r="J1423" s="59"/>
      <c r="K1423" s="53"/>
      <c r="L1423" s="59"/>
      <c r="M1423" s="59"/>
      <c r="N1423" s="47" t="b">
        <v>0</v>
      </c>
      <c r="O1423" s="59"/>
      <c r="Q1423" s="54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</row>
    <row r="1424">
      <c r="A1424" s="59" t="b">
        <v>0</v>
      </c>
      <c r="B1424" s="54"/>
      <c r="C1424" s="55"/>
      <c r="D1424" s="56"/>
      <c r="E1424" s="40"/>
      <c r="F1424" s="57"/>
      <c r="G1424" s="114"/>
      <c r="H1424" s="59"/>
      <c r="I1424" s="165"/>
      <c r="J1424" s="59"/>
      <c r="K1424" s="53"/>
      <c r="L1424" s="59"/>
      <c r="M1424" s="59"/>
      <c r="N1424" s="47" t="b">
        <v>0</v>
      </c>
      <c r="O1424" s="59"/>
      <c r="Q1424" s="54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</row>
    <row r="1425">
      <c r="A1425" s="59" t="b">
        <v>0</v>
      </c>
      <c r="B1425" s="54"/>
      <c r="C1425" s="55"/>
      <c r="D1425" s="56"/>
      <c r="E1425" s="40"/>
      <c r="F1425" s="57"/>
      <c r="G1425" s="114"/>
      <c r="H1425" s="59"/>
      <c r="I1425" s="165"/>
      <c r="J1425" s="59"/>
      <c r="K1425" s="53"/>
      <c r="L1425" s="59"/>
      <c r="M1425" s="59"/>
      <c r="N1425" s="47" t="b">
        <v>0</v>
      </c>
      <c r="O1425" s="59"/>
      <c r="Q1425" s="54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</row>
    <row r="1426">
      <c r="A1426" s="59" t="b">
        <v>0</v>
      </c>
      <c r="B1426" s="54"/>
      <c r="C1426" s="55"/>
      <c r="D1426" s="56"/>
      <c r="E1426" s="40"/>
      <c r="F1426" s="57"/>
      <c r="G1426" s="114"/>
      <c r="H1426" s="59"/>
      <c r="I1426" s="165"/>
      <c r="J1426" s="59"/>
      <c r="K1426" s="53"/>
      <c r="L1426" s="59"/>
      <c r="M1426" s="59"/>
      <c r="N1426" s="47" t="b">
        <v>0</v>
      </c>
      <c r="O1426" s="59"/>
      <c r="Q1426" s="54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</row>
    <row r="1427">
      <c r="A1427" s="59" t="b">
        <v>0</v>
      </c>
      <c r="B1427" s="54"/>
      <c r="C1427" s="55"/>
      <c r="D1427" s="56"/>
      <c r="E1427" s="40"/>
      <c r="F1427" s="57"/>
      <c r="G1427" s="114"/>
      <c r="H1427" s="59"/>
      <c r="I1427" s="165"/>
      <c r="J1427" s="59"/>
      <c r="K1427" s="53"/>
      <c r="L1427" s="59"/>
      <c r="M1427" s="59"/>
      <c r="N1427" s="47" t="b">
        <v>0</v>
      </c>
      <c r="O1427" s="59"/>
      <c r="Q1427" s="54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</row>
    <row r="1428">
      <c r="A1428" s="59" t="b">
        <v>0</v>
      </c>
      <c r="B1428" s="54"/>
      <c r="C1428" s="55"/>
      <c r="D1428" s="56"/>
      <c r="E1428" s="40"/>
      <c r="F1428" s="57"/>
      <c r="G1428" s="114"/>
      <c r="H1428" s="59"/>
      <c r="I1428" s="165"/>
      <c r="J1428" s="59"/>
      <c r="K1428" s="53"/>
      <c r="L1428" s="59"/>
      <c r="M1428" s="59"/>
      <c r="N1428" s="47" t="b">
        <v>0</v>
      </c>
      <c r="O1428" s="59"/>
      <c r="Q1428" s="54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</row>
    <row r="1429">
      <c r="A1429" s="59" t="b">
        <v>0</v>
      </c>
      <c r="B1429" s="54"/>
      <c r="C1429" s="55"/>
      <c r="D1429" s="56"/>
      <c r="E1429" s="40"/>
      <c r="F1429" s="57"/>
      <c r="G1429" s="114"/>
      <c r="H1429" s="59"/>
      <c r="I1429" s="165"/>
      <c r="J1429" s="59"/>
      <c r="K1429" s="53"/>
      <c r="L1429" s="59"/>
      <c r="M1429" s="59"/>
      <c r="N1429" s="47" t="b">
        <v>0</v>
      </c>
      <c r="O1429" s="59"/>
      <c r="Q1429" s="54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</row>
    <row r="1430">
      <c r="A1430" s="59" t="b">
        <v>0</v>
      </c>
      <c r="B1430" s="54"/>
      <c r="C1430" s="55"/>
      <c r="D1430" s="56"/>
      <c r="E1430" s="40"/>
      <c r="F1430" s="57"/>
      <c r="G1430" s="114"/>
      <c r="H1430" s="59"/>
      <c r="I1430" s="165"/>
      <c r="J1430" s="59"/>
      <c r="K1430" s="53"/>
      <c r="L1430" s="59"/>
      <c r="M1430" s="59"/>
      <c r="N1430" s="47" t="b">
        <v>0</v>
      </c>
      <c r="O1430" s="59"/>
      <c r="Q1430" s="54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</row>
    <row r="1431">
      <c r="A1431" s="59" t="b">
        <v>0</v>
      </c>
      <c r="B1431" s="54"/>
      <c r="C1431" s="55"/>
      <c r="D1431" s="56"/>
      <c r="E1431" s="40"/>
      <c r="F1431" s="57"/>
      <c r="G1431" s="114"/>
      <c r="H1431" s="59"/>
      <c r="I1431" s="165"/>
      <c r="J1431" s="59"/>
      <c r="K1431" s="53"/>
      <c r="L1431" s="59"/>
      <c r="M1431" s="59"/>
      <c r="N1431" s="47" t="b">
        <v>0</v>
      </c>
      <c r="O1431" s="59"/>
      <c r="Q1431" s="54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</row>
    <row r="1432">
      <c r="A1432" s="59" t="b">
        <v>0</v>
      </c>
      <c r="B1432" s="54"/>
      <c r="C1432" s="55"/>
      <c r="D1432" s="56"/>
      <c r="E1432" s="40"/>
      <c r="F1432" s="57"/>
      <c r="G1432" s="114"/>
      <c r="H1432" s="59"/>
      <c r="I1432" s="165"/>
      <c r="J1432" s="59"/>
      <c r="K1432" s="53"/>
      <c r="L1432" s="59"/>
      <c r="M1432" s="59"/>
      <c r="N1432" s="47" t="b">
        <v>0</v>
      </c>
      <c r="O1432" s="59"/>
      <c r="Q1432" s="54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</row>
    <row r="1433">
      <c r="A1433" s="59" t="b">
        <v>0</v>
      </c>
      <c r="B1433" s="54"/>
      <c r="C1433" s="55"/>
      <c r="D1433" s="56"/>
      <c r="E1433" s="40"/>
      <c r="F1433" s="57"/>
      <c r="G1433" s="114"/>
      <c r="H1433" s="59"/>
      <c r="I1433" s="165"/>
      <c r="J1433" s="59"/>
      <c r="K1433" s="53"/>
      <c r="L1433" s="59"/>
      <c r="M1433" s="59"/>
      <c r="N1433" s="47" t="b">
        <v>0</v>
      </c>
      <c r="O1433" s="59"/>
      <c r="Q1433" s="54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</row>
    <row r="1434">
      <c r="A1434" s="59" t="b">
        <v>0</v>
      </c>
      <c r="B1434" s="54"/>
      <c r="C1434" s="55"/>
      <c r="D1434" s="56"/>
      <c r="E1434" s="40"/>
      <c r="F1434" s="57"/>
      <c r="G1434" s="114"/>
      <c r="H1434" s="59"/>
      <c r="I1434" s="165"/>
      <c r="J1434" s="59"/>
      <c r="K1434" s="53"/>
      <c r="L1434" s="59"/>
      <c r="M1434" s="59"/>
      <c r="N1434" s="47" t="b">
        <v>0</v>
      </c>
      <c r="O1434" s="59"/>
      <c r="Q1434" s="54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</row>
    <row r="1435">
      <c r="A1435" s="59" t="b">
        <v>0</v>
      </c>
      <c r="B1435" s="54"/>
      <c r="C1435" s="55"/>
      <c r="D1435" s="56"/>
      <c r="E1435" s="40"/>
      <c r="F1435" s="57"/>
      <c r="G1435" s="114"/>
      <c r="H1435" s="59"/>
      <c r="I1435" s="165"/>
      <c r="J1435" s="59"/>
      <c r="K1435" s="53"/>
      <c r="L1435" s="59"/>
      <c r="M1435" s="59"/>
      <c r="N1435" s="47" t="b">
        <v>0</v>
      </c>
      <c r="O1435" s="59"/>
      <c r="Q1435" s="54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</row>
    <row r="1436">
      <c r="A1436" s="59" t="b">
        <v>0</v>
      </c>
      <c r="B1436" s="54"/>
      <c r="C1436" s="55"/>
      <c r="D1436" s="56"/>
      <c r="E1436" s="40"/>
      <c r="F1436" s="57"/>
      <c r="G1436" s="114"/>
      <c r="H1436" s="59"/>
      <c r="I1436" s="165"/>
      <c r="J1436" s="59"/>
      <c r="K1436" s="53"/>
      <c r="L1436" s="59"/>
      <c r="M1436" s="59"/>
      <c r="N1436" s="47" t="b">
        <v>0</v>
      </c>
      <c r="O1436" s="59"/>
      <c r="Q1436" s="54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</row>
    <row r="1437">
      <c r="A1437" s="59" t="b">
        <v>0</v>
      </c>
      <c r="B1437" s="54"/>
      <c r="C1437" s="55"/>
      <c r="D1437" s="56"/>
      <c r="E1437" s="40"/>
      <c r="F1437" s="57"/>
      <c r="G1437" s="114"/>
      <c r="H1437" s="59"/>
      <c r="I1437" s="165"/>
      <c r="J1437" s="59"/>
      <c r="K1437" s="53"/>
      <c r="L1437" s="59"/>
      <c r="M1437" s="59"/>
      <c r="N1437" s="47" t="b">
        <v>0</v>
      </c>
      <c r="O1437" s="59"/>
      <c r="Q1437" s="54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</row>
    <row r="1438">
      <c r="A1438" s="59" t="b">
        <v>0</v>
      </c>
      <c r="B1438" s="54"/>
      <c r="C1438" s="55"/>
      <c r="D1438" s="56"/>
      <c r="E1438" s="40"/>
      <c r="F1438" s="57"/>
      <c r="G1438" s="114"/>
      <c r="H1438" s="59"/>
      <c r="I1438" s="165"/>
      <c r="J1438" s="59"/>
      <c r="K1438" s="53"/>
      <c r="L1438" s="59"/>
      <c r="M1438" s="59"/>
      <c r="N1438" s="47" t="b">
        <v>0</v>
      </c>
      <c r="O1438" s="59"/>
      <c r="Q1438" s="54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</row>
    <row r="1439">
      <c r="A1439" s="59" t="b">
        <v>0</v>
      </c>
      <c r="B1439" s="54"/>
      <c r="C1439" s="55"/>
      <c r="D1439" s="56"/>
      <c r="E1439" s="40"/>
      <c r="F1439" s="57"/>
      <c r="G1439" s="114"/>
      <c r="H1439" s="59"/>
      <c r="I1439" s="165"/>
      <c r="J1439" s="59"/>
      <c r="K1439" s="53"/>
      <c r="L1439" s="59"/>
      <c r="M1439" s="59"/>
      <c r="N1439" s="47" t="b">
        <v>0</v>
      </c>
      <c r="O1439" s="59"/>
      <c r="Q1439" s="54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</row>
    <row r="1440">
      <c r="A1440" s="59" t="b">
        <v>0</v>
      </c>
      <c r="B1440" s="54"/>
      <c r="C1440" s="55"/>
      <c r="D1440" s="56"/>
      <c r="E1440" s="40"/>
      <c r="F1440" s="57"/>
      <c r="G1440" s="114"/>
      <c r="H1440" s="59"/>
      <c r="I1440" s="165"/>
      <c r="J1440" s="59"/>
      <c r="K1440" s="53"/>
      <c r="L1440" s="59"/>
      <c r="M1440" s="59"/>
      <c r="N1440" s="47" t="b">
        <v>0</v>
      </c>
      <c r="O1440" s="59"/>
      <c r="Q1440" s="54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</row>
    <row r="1441">
      <c r="A1441" s="59" t="b">
        <v>0</v>
      </c>
      <c r="B1441" s="54"/>
      <c r="C1441" s="55"/>
      <c r="D1441" s="56"/>
      <c r="E1441" s="40"/>
      <c r="F1441" s="57"/>
      <c r="G1441" s="114"/>
      <c r="H1441" s="59"/>
      <c r="I1441" s="165"/>
      <c r="J1441" s="59"/>
      <c r="K1441" s="53"/>
      <c r="L1441" s="59"/>
      <c r="M1441" s="59"/>
      <c r="N1441" s="47" t="b">
        <v>0</v>
      </c>
      <c r="O1441" s="59"/>
      <c r="Q1441" s="54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</row>
    <row r="1442">
      <c r="A1442" s="59" t="b">
        <v>0</v>
      </c>
      <c r="B1442" s="54"/>
      <c r="C1442" s="55"/>
      <c r="D1442" s="56"/>
      <c r="E1442" s="40"/>
      <c r="F1442" s="57"/>
      <c r="G1442" s="114"/>
      <c r="H1442" s="59"/>
      <c r="I1442" s="165"/>
      <c r="J1442" s="59"/>
      <c r="K1442" s="53"/>
      <c r="L1442" s="59"/>
      <c r="M1442" s="59"/>
      <c r="N1442" s="47" t="b">
        <v>0</v>
      </c>
      <c r="O1442" s="59"/>
      <c r="Q1442" s="54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</row>
    <row r="1443">
      <c r="A1443" s="59" t="b">
        <v>0</v>
      </c>
      <c r="B1443" s="54"/>
      <c r="C1443" s="55"/>
      <c r="D1443" s="56"/>
      <c r="E1443" s="40"/>
      <c r="F1443" s="57"/>
      <c r="G1443" s="114"/>
      <c r="H1443" s="59"/>
      <c r="I1443" s="165"/>
      <c r="J1443" s="59"/>
      <c r="K1443" s="53"/>
      <c r="L1443" s="59"/>
      <c r="M1443" s="59"/>
      <c r="N1443" s="47" t="b">
        <v>0</v>
      </c>
      <c r="O1443" s="59"/>
      <c r="Q1443" s="54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</row>
    <row r="1444">
      <c r="A1444" s="59" t="b">
        <v>0</v>
      </c>
      <c r="B1444" s="54"/>
      <c r="C1444" s="55"/>
      <c r="D1444" s="56"/>
      <c r="E1444" s="40"/>
      <c r="F1444" s="57"/>
      <c r="G1444" s="114"/>
      <c r="H1444" s="59"/>
      <c r="I1444" s="165"/>
      <c r="J1444" s="59"/>
      <c r="K1444" s="53"/>
      <c r="L1444" s="59"/>
      <c r="M1444" s="59"/>
      <c r="N1444" s="47" t="b">
        <v>0</v>
      </c>
      <c r="O1444" s="59"/>
      <c r="Q1444" s="54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</row>
    <row r="1445">
      <c r="A1445" s="59" t="b">
        <v>0</v>
      </c>
      <c r="B1445" s="54"/>
      <c r="C1445" s="55"/>
      <c r="D1445" s="56"/>
      <c r="E1445" s="40"/>
      <c r="F1445" s="57"/>
      <c r="G1445" s="114"/>
      <c r="H1445" s="59"/>
      <c r="I1445" s="165"/>
      <c r="J1445" s="59"/>
      <c r="K1445" s="53"/>
      <c r="L1445" s="59"/>
      <c r="M1445" s="59"/>
      <c r="N1445" s="47" t="b">
        <v>0</v>
      </c>
      <c r="O1445" s="59"/>
      <c r="Q1445" s="54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</row>
    <row r="1446">
      <c r="A1446" s="59" t="b">
        <v>0</v>
      </c>
      <c r="B1446" s="54"/>
      <c r="C1446" s="55"/>
      <c r="D1446" s="56"/>
      <c r="E1446" s="40"/>
      <c r="F1446" s="57"/>
      <c r="G1446" s="114"/>
      <c r="H1446" s="59"/>
      <c r="I1446" s="165"/>
      <c r="J1446" s="59"/>
      <c r="K1446" s="53"/>
      <c r="L1446" s="59"/>
      <c r="M1446" s="59"/>
      <c r="N1446" s="47" t="b">
        <v>0</v>
      </c>
      <c r="O1446" s="59"/>
      <c r="Q1446" s="54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</row>
    <row r="1447">
      <c r="A1447" s="59" t="b">
        <v>0</v>
      </c>
      <c r="B1447" s="54"/>
      <c r="C1447" s="55"/>
      <c r="D1447" s="56"/>
      <c r="E1447" s="40"/>
      <c r="F1447" s="57"/>
      <c r="G1447" s="114"/>
      <c r="H1447" s="59"/>
      <c r="I1447" s="165"/>
      <c r="J1447" s="59"/>
      <c r="K1447" s="53"/>
      <c r="L1447" s="59"/>
      <c r="M1447" s="59"/>
      <c r="N1447" s="47" t="b">
        <v>0</v>
      </c>
      <c r="O1447" s="59"/>
      <c r="Q1447" s="54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</row>
    <row r="1448">
      <c r="A1448" s="59" t="b">
        <v>0</v>
      </c>
      <c r="B1448" s="54"/>
      <c r="C1448" s="55"/>
      <c r="D1448" s="56"/>
      <c r="E1448" s="40"/>
      <c r="F1448" s="57"/>
      <c r="G1448" s="114"/>
      <c r="H1448" s="59"/>
      <c r="I1448" s="165"/>
      <c r="J1448" s="59"/>
      <c r="K1448" s="53"/>
      <c r="L1448" s="59"/>
      <c r="M1448" s="59"/>
      <c r="N1448" s="47" t="b">
        <v>0</v>
      </c>
      <c r="O1448" s="59"/>
      <c r="Q1448" s="54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</row>
    <row r="1449">
      <c r="A1449" s="59" t="b">
        <v>0</v>
      </c>
      <c r="B1449" s="54"/>
      <c r="C1449" s="55"/>
      <c r="D1449" s="56"/>
      <c r="E1449" s="40"/>
      <c r="F1449" s="57"/>
      <c r="G1449" s="114"/>
      <c r="H1449" s="59"/>
      <c r="I1449" s="165"/>
      <c r="J1449" s="59"/>
      <c r="K1449" s="53"/>
      <c r="L1449" s="59"/>
      <c r="M1449" s="59"/>
      <c r="N1449" s="47" t="b">
        <v>0</v>
      </c>
      <c r="O1449" s="59"/>
      <c r="Q1449" s="54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</row>
    <row r="1450">
      <c r="A1450" s="59" t="b">
        <v>0</v>
      </c>
      <c r="B1450" s="54"/>
      <c r="C1450" s="55"/>
      <c r="D1450" s="56"/>
      <c r="E1450" s="40"/>
      <c r="F1450" s="57"/>
      <c r="G1450" s="114"/>
      <c r="H1450" s="59"/>
      <c r="I1450" s="165"/>
      <c r="J1450" s="59"/>
      <c r="K1450" s="53"/>
      <c r="L1450" s="59"/>
      <c r="M1450" s="59"/>
      <c r="N1450" s="47" t="b">
        <v>0</v>
      </c>
      <c r="O1450" s="59"/>
      <c r="Q1450" s="54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</row>
    <row r="1451">
      <c r="A1451" s="59" t="b">
        <v>0</v>
      </c>
      <c r="B1451" s="54"/>
      <c r="C1451" s="55"/>
      <c r="D1451" s="56"/>
      <c r="E1451" s="40"/>
      <c r="F1451" s="57"/>
      <c r="G1451" s="114"/>
      <c r="H1451" s="59"/>
      <c r="I1451" s="165"/>
      <c r="J1451" s="59"/>
      <c r="K1451" s="53"/>
      <c r="L1451" s="59"/>
      <c r="M1451" s="59"/>
      <c r="N1451" s="47" t="b">
        <v>0</v>
      </c>
      <c r="O1451" s="59"/>
      <c r="Q1451" s="54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</row>
    <row r="1452">
      <c r="A1452" s="59" t="b">
        <v>0</v>
      </c>
      <c r="B1452" s="54"/>
      <c r="C1452" s="55"/>
      <c r="D1452" s="56"/>
      <c r="E1452" s="40"/>
      <c r="F1452" s="57"/>
      <c r="G1452" s="114"/>
      <c r="H1452" s="59"/>
      <c r="I1452" s="165"/>
      <c r="J1452" s="59"/>
      <c r="K1452" s="53"/>
      <c r="L1452" s="59"/>
      <c r="M1452" s="59"/>
      <c r="N1452" s="47" t="b">
        <v>0</v>
      </c>
      <c r="O1452" s="59"/>
      <c r="Q1452" s="54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</row>
    <row r="1453">
      <c r="A1453" s="59" t="b">
        <v>0</v>
      </c>
      <c r="B1453" s="54"/>
      <c r="C1453" s="55"/>
      <c r="D1453" s="56"/>
      <c r="E1453" s="40"/>
      <c r="F1453" s="57"/>
      <c r="G1453" s="114"/>
      <c r="H1453" s="59"/>
      <c r="I1453" s="165"/>
      <c r="J1453" s="59"/>
      <c r="K1453" s="53"/>
      <c r="L1453" s="59"/>
      <c r="M1453" s="59"/>
      <c r="N1453" s="47" t="b">
        <v>0</v>
      </c>
      <c r="O1453" s="59"/>
      <c r="Q1453" s="54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</row>
    <row r="1454">
      <c r="A1454" s="59" t="b">
        <v>0</v>
      </c>
      <c r="B1454" s="54"/>
      <c r="C1454" s="55"/>
      <c r="D1454" s="56"/>
      <c r="E1454" s="40"/>
      <c r="F1454" s="57"/>
      <c r="G1454" s="114"/>
      <c r="H1454" s="59"/>
      <c r="I1454" s="165"/>
      <c r="J1454" s="59"/>
      <c r="K1454" s="53"/>
      <c r="L1454" s="59"/>
      <c r="M1454" s="59"/>
      <c r="N1454" s="47" t="b">
        <v>0</v>
      </c>
      <c r="O1454" s="59"/>
      <c r="Q1454" s="54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</row>
    <row r="1455">
      <c r="A1455" s="59" t="b">
        <v>0</v>
      </c>
      <c r="B1455" s="54"/>
      <c r="C1455" s="55"/>
      <c r="D1455" s="56"/>
      <c r="E1455" s="40"/>
      <c r="F1455" s="57"/>
      <c r="G1455" s="114"/>
      <c r="H1455" s="59"/>
      <c r="I1455" s="165"/>
      <c r="J1455" s="59"/>
      <c r="K1455" s="53"/>
      <c r="L1455" s="59"/>
      <c r="M1455" s="59"/>
      <c r="N1455" s="47" t="b">
        <v>0</v>
      </c>
      <c r="O1455" s="59"/>
      <c r="Q1455" s="54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</row>
    <row r="1456">
      <c r="A1456" s="59" t="b">
        <v>0</v>
      </c>
      <c r="B1456" s="54"/>
      <c r="C1456" s="55"/>
      <c r="D1456" s="56"/>
      <c r="E1456" s="40"/>
      <c r="F1456" s="57"/>
      <c r="G1456" s="114"/>
      <c r="H1456" s="59"/>
      <c r="I1456" s="165"/>
      <c r="J1456" s="59"/>
      <c r="K1456" s="53"/>
      <c r="L1456" s="59"/>
      <c r="M1456" s="59"/>
      <c r="N1456" s="47" t="b">
        <v>0</v>
      </c>
      <c r="O1456" s="59"/>
      <c r="Q1456" s="54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</row>
    <row r="1457">
      <c r="A1457" s="59" t="b">
        <v>0</v>
      </c>
      <c r="B1457" s="54"/>
      <c r="C1457" s="55"/>
      <c r="D1457" s="56"/>
      <c r="E1457" s="40"/>
      <c r="F1457" s="57"/>
      <c r="G1457" s="114"/>
      <c r="H1457" s="59"/>
      <c r="I1457" s="165"/>
      <c r="J1457" s="59"/>
      <c r="K1457" s="53"/>
      <c r="L1457" s="59"/>
      <c r="M1457" s="59"/>
      <c r="N1457" s="47" t="b">
        <v>0</v>
      </c>
      <c r="O1457" s="59"/>
      <c r="Q1457" s="54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</row>
    <row r="1458">
      <c r="A1458" s="59" t="b">
        <v>0</v>
      </c>
      <c r="B1458" s="54"/>
      <c r="C1458" s="55"/>
      <c r="D1458" s="56"/>
      <c r="E1458" s="40"/>
      <c r="F1458" s="57"/>
      <c r="G1458" s="114"/>
      <c r="H1458" s="59"/>
      <c r="I1458" s="165"/>
      <c r="J1458" s="59"/>
      <c r="K1458" s="53"/>
      <c r="L1458" s="59"/>
      <c r="M1458" s="59"/>
      <c r="N1458" s="47" t="b">
        <v>0</v>
      </c>
      <c r="O1458" s="59"/>
      <c r="Q1458" s="54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</row>
    <row r="1459">
      <c r="A1459" s="59" t="b">
        <v>0</v>
      </c>
      <c r="B1459" s="54"/>
      <c r="C1459" s="55"/>
      <c r="D1459" s="56"/>
      <c r="E1459" s="40"/>
      <c r="F1459" s="57"/>
      <c r="G1459" s="114"/>
      <c r="H1459" s="59"/>
      <c r="I1459" s="165"/>
      <c r="J1459" s="59"/>
      <c r="K1459" s="53"/>
      <c r="L1459" s="59"/>
      <c r="M1459" s="59"/>
      <c r="N1459" s="47" t="b">
        <v>0</v>
      </c>
      <c r="O1459" s="59"/>
      <c r="Q1459" s="54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</row>
    <row r="1460">
      <c r="A1460" s="59" t="b">
        <v>0</v>
      </c>
      <c r="B1460" s="54"/>
      <c r="C1460" s="55"/>
      <c r="D1460" s="56"/>
      <c r="E1460" s="40"/>
      <c r="F1460" s="57"/>
      <c r="G1460" s="114"/>
      <c r="H1460" s="59"/>
      <c r="I1460" s="165"/>
      <c r="J1460" s="59"/>
      <c r="K1460" s="53"/>
      <c r="L1460" s="59"/>
      <c r="M1460" s="59"/>
      <c r="N1460" s="47" t="b">
        <v>0</v>
      </c>
      <c r="O1460" s="59"/>
      <c r="Q1460" s="54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</row>
    <row r="1461">
      <c r="A1461" s="59" t="b">
        <v>0</v>
      </c>
      <c r="B1461" s="54"/>
      <c r="C1461" s="55"/>
      <c r="D1461" s="56"/>
      <c r="E1461" s="40"/>
      <c r="F1461" s="57"/>
      <c r="G1461" s="114"/>
      <c r="H1461" s="59"/>
      <c r="I1461" s="165"/>
      <c r="J1461" s="59"/>
      <c r="K1461" s="53"/>
      <c r="L1461" s="59"/>
      <c r="M1461" s="59"/>
      <c r="N1461" s="47" t="b">
        <v>0</v>
      </c>
      <c r="O1461" s="59"/>
      <c r="Q1461" s="54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</row>
    <row r="1462">
      <c r="A1462" s="59" t="b">
        <v>0</v>
      </c>
      <c r="B1462" s="54"/>
      <c r="C1462" s="55"/>
      <c r="D1462" s="56"/>
      <c r="E1462" s="40"/>
      <c r="F1462" s="57"/>
      <c r="G1462" s="114"/>
      <c r="H1462" s="59"/>
      <c r="I1462" s="165"/>
      <c r="J1462" s="59"/>
      <c r="K1462" s="53"/>
      <c r="L1462" s="59"/>
      <c r="M1462" s="59"/>
      <c r="N1462" s="47" t="b">
        <v>0</v>
      </c>
      <c r="O1462" s="59"/>
      <c r="Q1462" s="54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</row>
    <row r="1463">
      <c r="A1463" s="59" t="b">
        <v>0</v>
      </c>
      <c r="B1463" s="54"/>
      <c r="C1463" s="55"/>
      <c r="D1463" s="56"/>
      <c r="E1463" s="40"/>
      <c r="F1463" s="57"/>
      <c r="G1463" s="114"/>
      <c r="H1463" s="59"/>
      <c r="I1463" s="165"/>
      <c r="J1463" s="59"/>
      <c r="K1463" s="53"/>
      <c r="L1463" s="59"/>
      <c r="M1463" s="59"/>
      <c r="N1463" s="47" t="b">
        <v>0</v>
      </c>
      <c r="O1463" s="59"/>
      <c r="Q1463" s="54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</row>
    <row r="1464">
      <c r="A1464" s="59" t="b">
        <v>0</v>
      </c>
      <c r="B1464" s="54"/>
      <c r="C1464" s="55"/>
      <c r="D1464" s="56"/>
      <c r="E1464" s="40"/>
      <c r="F1464" s="57"/>
      <c r="G1464" s="114"/>
      <c r="H1464" s="59"/>
      <c r="I1464" s="165"/>
      <c r="J1464" s="59"/>
      <c r="K1464" s="53"/>
      <c r="L1464" s="59"/>
      <c r="M1464" s="59"/>
      <c r="N1464" s="47" t="b">
        <v>0</v>
      </c>
      <c r="O1464" s="59"/>
      <c r="Q1464" s="54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</row>
    <row r="1465">
      <c r="A1465" s="59" t="b">
        <v>0</v>
      </c>
      <c r="B1465" s="54"/>
      <c r="C1465" s="55"/>
      <c r="D1465" s="56"/>
      <c r="E1465" s="40"/>
      <c r="F1465" s="57"/>
      <c r="G1465" s="114"/>
      <c r="H1465" s="59"/>
      <c r="I1465" s="165"/>
      <c r="J1465" s="59"/>
      <c r="K1465" s="53"/>
      <c r="L1465" s="59"/>
      <c r="M1465" s="59"/>
      <c r="N1465" s="47" t="b">
        <v>0</v>
      </c>
      <c r="O1465" s="59"/>
      <c r="Q1465" s="54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</row>
    <row r="1466">
      <c r="A1466" s="59" t="b">
        <v>0</v>
      </c>
      <c r="B1466" s="54"/>
      <c r="C1466" s="55"/>
      <c r="D1466" s="56"/>
      <c r="E1466" s="40"/>
      <c r="F1466" s="57"/>
      <c r="G1466" s="114"/>
      <c r="H1466" s="59"/>
      <c r="I1466" s="165"/>
      <c r="J1466" s="59"/>
      <c r="K1466" s="53"/>
      <c r="L1466" s="59"/>
      <c r="M1466" s="59"/>
      <c r="N1466" s="47" t="b">
        <v>0</v>
      </c>
      <c r="O1466" s="59"/>
      <c r="Q1466" s="54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</row>
    <row r="1467">
      <c r="A1467" s="59" t="b">
        <v>0</v>
      </c>
      <c r="B1467" s="54"/>
      <c r="C1467" s="55"/>
      <c r="D1467" s="56"/>
      <c r="E1467" s="40"/>
      <c r="F1467" s="57"/>
      <c r="G1467" s="114"/>
      <c r="H1467" s="59"/>
      <c r="I1467" s="165"/>
      <c r="J1467" s="59"/>
      <c r="K1467" s="53"/>
      <c r="L1467" s="59"/>
      <c r="M1467" s="59"/>
      <c r="N1467" s="47" t="b">
        <v>0</v>
      </c>
      <c r="O1467" s="59"/>
      <c r="Q1467" s="54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</row>
    <row r="1468">
      <c r="A1468" s="59" t="b">
        <v>0</v>
      </c>
      <c r="B1468" s="54"/>
      <c r="C1468" s="55"/>
      <c r="D1468" s="56"/>
      <c r="E1468" s="40"/>
      <c r="F1468" s="57"/>
      <c r="G1468" s="114"/>
      <c r="H1468" s="59"/>
      <c r="I1468" s="165"/>
      <c r="J1468" s="59"/>
      <c r="K1468" s="53"/>
      <c r="L1468" s="59"/>
      <c r="M1468" s="59"/>
      <c r="N1468" s="47" t="b">
        <v>0</v>
      </c>
      <c r="O1468" s="59"/>
      <c r="Q1468" s="54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</row>
    <row r="1469">
      <c r="A1469" s="59" t="b">
        <v>0</v>
      </c>
      <c r="B1469" s="54"/>
      <c r="C1469" s="55"/>
      <c r="D1469" s="56"/>
      <c r="E1469" s="40"/>
      <c r="F1469" s="57"/>
      <c r="G1469" s="114"/>
      <c r="H1469" s="59"/>
      <c r="I1469" s="165"/>
      <c r="J1469" s="59"/>
      <c r="K1469" s="53"/>
      <c r="L1469" s="59"/>
      <c r="M1469" s="59"/>
      <c r="N1469" s="47" t="b">
        <v>0</v>
      </c>
      <c r="O1469" s="59"/>
      <c r="Q1469" s="54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</row>
    <row r="1470">
      <c r="A1470" s="59" t="b">
        <v>0</v>
      </c>
      <c r="B1470" s="54"/>
      <c r="C1470" s="55"/>
      <c r="D1470" s="56"/>
      <c r="E1470" s="40"/>
      <c r="F1470" s="57"/>
      <c r="G1470" s="114"/>
      <c r="H1470" s="59"/>
      <c r="I1470" s="165"/>
      <c r="J1470" s="59"/>
      <c r="K1470" s="53"/>
      <c r="L1470" s="59"/>
      <c r="M1470" s="59"/>
      <c r="N1470" s="47" t="b">
        <v>0</v>
      </c>
      <c r="O1470" s="59"/>
      <c r="Q1470" s="54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</row>
    <row r="1471">
      <c r="A1471" s="59" t="b">
        <v>0</v>
      </c>
      <c r="B1471" s="54"/>
      <c r="C1471" s="55"/>
      <c r="D1471" s="56"/>
      <c r="E1471" s="40"/>
      <c r="F1471" s="57"/>
      <c r="G1471" s="114"/>
      <c r="H1471" s="59"/>
      <c r="I1471" s="165"/>
      <c r="J1471" s="59"/>
      <c r="K1471" s="53"/>
      <c r="L1471" s="59"/>
      <c r="M1471" s="59"/>
      <c r="N1471" s="47" t="b">
        <v>0</v>
      </c>
      <c r="O1471" s="59"/>
      <c r="Q1471" s="54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</row>
    <row r="1472">
      <c r="A1472" s="59" t="b">
        <v>0</v>
      </c>
      <c r="B1472" s="54"/>
      <c r="C1472" s="55"/>
      <c r="D1472" s="56"/>
      <c r="E1472" s="40"/>
      <c r="F1472" s="57"/>
      <c r="G1472" s="114"/>
      <c r="H1472" s="59"/>
      <c r="I1472" s="165"/>
      <c r="J1472" s="59"/>
      <c r="K1472" s="53"/>
      <c r="L1472" s="59"/>
      <c r="M1472" s="59"/>
      <c r="N1472" s="47" t="b">
        <v>0</v>
      </c>
      <c r="O1472" s="59"/>
      <c r="Q1472" s="54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</row>
    <row r="1473">
      <c r="A1473" s="59" t="b">
        <v>0</v>
      </c>
      <c r="B1473" s="54"/>
      <c r="C1473" s="55"/>
      <c r="D1473" s="56"/>
      <c r="E1473" s="40"/>
      <c r="F1473" s="57"/>
      <c r="G1473" s="114"/>
      <c r="H1473" s="59"/>
      <c r="I1473" s="165"/>
      <c r="J1473" s="59"/>
      <c r="K1473" s="53"/>
      <c r="L1473" s="59"/>
      <c r="M1473" s="59"/>
      <c r="N1473" s="47" t="b">
        <v>0</v>
      </c>
      <c r="O1473" s="59"/>
      <c r="Q1473" s="54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</row>
    <row r="1474">
      <c r="A1474" s="59" t="b">
        <v>0</v>
      </c>
      <c r="B1474" s="54"/>
      <c r="C1474" s="55"/>
      <c r="D1474" s="56"/>
      <c r="E1474" s="40"/>
      <c r="F1474" s="57"/>
      <c r="G1474" s="114"/>
      <c r="H1474" s="59"/>
      <c r="I1474" s="165"/>
      <c r="J1474" s="59"/>
      <c r="K1474" s="53"/>
      <c r="L1474" s="59"/>
      <c r="M1474" s="59"/>
      <c r="N1474" s="47" t="b">
        <v>0</v>
      </c>
      <c r="O1474" s="59"/>
      <c r="Q1474" s="54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</row>
    <row r="1475">
      <c r="A1475" s="59" t="b">
        <v>0</v>
      </c>
      <c r="B1475" s="54"/>
      <c r="C1475" s="55"/>
      <c r="D1475" s="56"/>
      <c r="E1475" s="40"/>
      <c r="F1475" s="57"/>
      <c r="G1475" s="114"/>
      <c r="H1475" s="59"/>
      <c r="I1475" s="165"/>
      <c r="J1475" s="59"/>
      <c r="K1475" s="53"/>
      <c r="L1475" s="59"/>
      <c r="M1475" s="59"/>
      <c r="N1475" s="47" t="b">
        <v>0</v>
      </c>
      <c r="O1475" s="59"/>
      <c r="Q1475" s="54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</row>
    <row r="1476">
      <c r="A1476" s="59" t="b">
        <v>0</v>
      </c>
      <c r="B1476" s="54"/>
      <c r="C1476" s="55"/>
      <c r="D1476" s="56"/>
      <c r="E1476" s="40"/>
      <c r="F1476" s="57"/>
      <c r="G1476" s="114"/>
      <c r="H1476" s="59"/>
      <c r="I1476" s="165"/>
      <c r="J1476" s="59"/>
      <c r="K1476" s="53"/>
      <c r="L1476" s="59"/>
      <c r="M1476" s="59"/>
      <c r="N1476" s="47" t="b">
        <v>0</v>
      </c>
      <c r="O1476" s="59"/>
      <c r="Q1476" s="54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</row>
    <row r="1477">
      <c r="A1477" s="59" t="b">
        <v>0</v>
      </c>
      <c r="B1477" s="54"/>
      <c r="C1477" s="55"/>
      <c r="D1477" s="56"/>
      <c r="E1477" s="40"/>
      <c r="F1477" s="57"/>
      <c r="G1477" s="114"/>
      <c r="H1477" s="59"/>
      <c r="I1477" s="165"/>
      <c r="J1477" s="59"/>
      <c r="K1477" s="53"/>
      <c r="L1477" s="59"/>
      <c r="M1477" s="59"/>
      <c r="N1477" s="47" t="b">
        <v>0</v>
      </c>
      <c r="O1477" s="59"/>
      <c r="Q1477" s="54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</row>
    <row r="1478">
      <c r="A1478" s="59" t="b">
        <v>0</v>
      </c>
      <c r="B1478" s="54"/>
      <c r="C1478" s="55"/>
      <c r="D1478" s="56"/>
      <c r="E1478" s="40"/>
      <c r="F1478" s="57"/>
      <c r="G1478" s="114"/>
      <c r="H1478" s="59"/>
      <c r="I1478" s="165"/>
      <c r="J1478" s="59"/>
      <c r="K1478" s="53"/>
      <c r="L1478" s="59"/>
      <c r="M1478" s="59"/>
      <c r="N1478" s="47" t="b">
        <v>0</v>
      </c>
      <c r="O1478" s="59"/>
      <c r="Q1478" s="54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</row>
    <row r="1479">
      <c r="A1479" s="59" t="b">
        <v>0</v>
      </c>
      <c r="B1479" s="54"/>
      <c r="C1479" s="55"/>
      <c r="D1479" s="56"/>
      <c r="E1479" s="40"/>
      <c r="F1479" s="57"/>
      <c r="G1479" s="114"/>
      <c r="H1479" s="59"/>
      <c r="I1479" s="165"/>
      <c r="J1479" s="59"/>
      <c r="K1479" s="53"/>
      <c r="L1479" s="59"/>
      <c r="M1479" s="59"/>
      <c r="N1479" s="47" t="b">
        <v>0</v>
      </c>
      <c r="O1479" s="59"/>
      <c r="Q1479" s="54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</row>
    <row r="1480">
      <c r="A1480" s="59" t="b">
        <v>0</v>
      </c>
      <c r="B1480" s="54"/>
      <c r="C1480" s="55"/>
      <c r="D1480" s="56"/>
      <c r="E1480" s="40"/>
      <c r="F1480" s="57"/>
      <c r="G1480" s="114"/>
      <c r="H1480" s="59"/>
      <c r="I1480" s="165"/>
      <c r="J1480" s="59"/>
      <c r="K1480" s="53"/>
      <c r="L1480" s="59"/>
      <c r="M1480" s="59"/>
      <c r="N1480" s="47" t="b">
        <v>0</v>
      </c>
      <c r="O1480" s="59"/>
      <c r="Q1480" s="54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</row>
    <row r="1481">
      <c r="A1481" s="59" t="b">
        <v>0</v>
      </c>
      <c r="B1481" s="54"/>
      <c r="C1481" s="55"/>
      <c r="D1481" s="56"/>
      <c r="E1481" s="40"/>
      <c r="F1481" s="57"/>
      <c r="G1481" s="114"/>
      <c r="H1481" s="59"/>
      <c r="I1481" s="165"/>
      <c r="J1481" s="59"/>
      <c r="K1481" s="53"/>
      <c r="L1481" s="59"/>
      <c r="M1481" s="59"/>
      <c r="N1481" s="47" t="b">
        <v>0</v>
      </c>
      <c r="O1481" s="59"/>
      <c r="Q1481" s="54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</row>
    <row r="1482">
      <c r="A1482" s="59" t="b">
        <v>0</v>
      </c>
      <c r="B1482" s="54"/>
      <c r="C1482" s="55"/>
      <c r="D1482" s="56"/>
      <c r="E1482" s="40"/>
      <c r="F1482" s="57"/>
      <c r="G1482" s="114"/>
      <c r="H1482" s="59"/>
      <c r="I1482" s="165"/>
      <c r="J1482" s="59"/>
      <c r="K1482" s="53"/>
      <c r="L1482" s="59"/>
      <c r="M1482" s="59"/>
      <c r="N1482" s="47" t="b">
        <v>0</v>
      </c>
      <c r="O1482" s="59"/>
      <c r="Q1482" s="54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</row>
    <row r="1483">
      <c r="A1483" s="59" t="b">
        <v>0</v>
      </c>
      <c r="B1483" s="54"/>
      <c r="C1483" s="55"/>
      <c r="D1483" s="56"/>
      <c r="E1483" s="40"/>
      <c r="F1483" s="57"/>
      <c r="G1483" s="114"/>
      <c r="H1483" s="59"/>
      <c r="I1483" s="165"/>
      <c r="J1483" s="59"/>
      <c r="K1483" s="53"/>
      <c r="L1483" s="59"/>
      <c r="M1483" s="59"/>
      <c r="N1483" s="47" t="b">
        <v>0</v>
      </c>
      <c r="O1483" s="59"/>
      <c r="Q1483" s="54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</row>
    <row r="1484">
      <c r="A1484" s="59" t="b">
        <v>0</v>
      </c>
      <c r="B1484" s="54"/>
      <c r="C1484" s="55"/>
      <c r="D1484" s="56"/>
      <c r="E1484" s="40"/>
      <c r="F1484" s="57"/>
      <c r="G1484" s="114"/>
      <c r="H1484" s="59"/>
      <c r="I1484" s="165"/>
      <c r="J1484" s="59"/>
      <c r="K1484" s="53"/>
      <c r="L1484" s="59"/>
      <c r="M1484" s="59"/>
      <c r="N1484" s="47" t="b">
        <v>0</v>
      </c>
      <c r="O1484" s="59"/>
      <c r="Q1484" s="54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</row>
    <row r="1485">
      <c r="A1485" s="59" t="b">
        <v>0</v>
      </c>
      <c r="B1485" s="54"/>
      <c r="C1485" s="55"/>
      <c r="D1485" s="56"/>
      <c r="E1485" s="40"/>
      <c r="F1485" s="57"/>
      <c r="G1485" s="114"/>
      <c r="H1485" s="59"/>
      <c r="I1485" s="165"/>
      <c r="J1485" s="59"/>
      <c r="K1485" s="53"/>
      <c r="L1485" s="59"/>
      <c r="M1485" s="59"/>
      <c r="N1485" s="47" t="b">
        <v>0</v>
      </c>
      <c r="O1485" s="59"/>
      <c r="Q1485" s="54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</row>
    <row r="1486">
      <c r="A1486" s="59" t="b">
        <v>0</v>
      </c>
      <c r="B1486" s="54"/>
      <c r="C1486" s="55"/>
      <c r="D1486" s="56"/>
      <c r="E1486" s="40"/>
      <c r="F1486" s="57"/>
      <c r="G1486" s="114"/>
      <c r="H1486" s="59"/>
      <c r="I1486" s="165"/>
      <c r="J1486" s="59"/>
      <c r="K1486" s="53"/>
      <c r="L1486" s="59"/>
      <c r="M1486" s="59"/>
      <c r="N1486" s="47" t="b">
        <v>0</v>
      </c>
      <c r="O1486" s="59"/>
      <c r="Q1486" s="54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</row>
    <row r="1487">
      <c r="A1487" s="59" t="b">
        <v>0</v>
      </c>
      <c r="B1487" s="54"/>
      <c r="C1487" s="55"/>
      <c r="D1487" s="56"/>
      <c r="E1487" s="40"/>
      <c r="F1487" s="57"/>
      <c r="G1487" s="114"/>
      <c r="H1487" s="59"/>
      <c r="I1487" s="165"/>
      <c r="J1487" s="59"/>
      <c r="K1487" s="53"/>
      <c r="L1487" s="59"/>
      <c r="M1487" s="59"/>
      <c r="N1487" s="47" t="b">
        <v>0</v>
      </c>
      <c r="O1487" s="59"/>
      <c r="Q1487" s="54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</row>
    <row r="1488">
      <c r="A1488" s="59" t="b">
        <v>0</v>
      </c>
      <c r="B1488" s="54"/>
      <c r="C1488" s="55"/>
      <c r="D1488" s="56"/>
      <c r="E1488" s="40"/>
      <c r="F1488" s="57"/>
      <c r="G1488" s="114"/>
      <c r="H1488" s="59"/>
      <c r="I1488" s="165"/>
      <c r="J1488" s="59"/>
      <c r="K1488" s="53"/>
      <c r="L1488" s="59"/>
      <c r="M1488" s="59"/>
      <c r="N1488" s="47" t="b">
        <v>0</v>
      </c>
      <c r="O1488" s="59"/>
      <c r="Q1488" s="54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</row>
    <row r="1489">
      <c r="A1489" s="59" t="b">
        <v>0</v>
      </c>
      <c r="B1489" s="54"/>
      <c r="C1489" s="55"/>
      <c r="D1489" s="56"/>
      <c r="E1489" s="40"/>
      <c r="F1489" s="57"/>
      <c r="G1489" s="114"/>
      <c r="H1489" s="59"/>
      <c r="I1489" s="165"/>
      <c r="J1489" s="59"/>
      <c r="K1489" s="53"/>
      <c r="L1489" s="59"/>
      <c r="M1489" s="59"/>
      <c r="N1489" s="47" t="b">
        <v>0</v>
      </c>
      <c r="O1489" s="59"/>
      <c r="Q1489" s="54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</row>
    <row r="1490">
      <c r="A1490" s="59" t="b">
        <v>0</v>
      </c>
      <c r="B1490" s="54"/>
      <c r="C1490" s="55"/>
      <c r="D1490" s="56"/>
      <c r="E1490" s="40"/>
      <c r="F1490" s="57"/>
      <c r="G1490" s="114"/>
      <c r="H1490" s="59"/>
      <c r="I1490" s="165"/>
      <c r="J1490" s="59"/>
      <c r="K1490" s="53"/>
      <c r="L1490" s="59"/>
      <c r="M1490" s="59"/>
      <c r="N1490" s="47" t="b">
        <v>0</v>
      </c>
      <c r="O1490" s="59"/>
      <c r="Q1490" s="54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</row>
    <row r="1491">
      <c r="A1491" s="59" t="b">
        <v>0</v>
      </c>
      <c r="B1491" s="54"/>
      <c r="C1491" s="55"/>
      <c r="D1491" s="56"/>
      <c r="E1491" s="40"/>
      <c r="F1491" s="57"/>
      <c r="G1491" s="114"/>
      <c r="H1491" s="59"/>
      <c r="I1491" s="165"/>
      <c r="J1491" s="59"/>
      <c r="K1491" s="53"/>
      <c r="L1491" s="59"/>
      <c r="M1491" s="59"/>
      <c r="N1491" s="47" t="b">
        <v>0</v>
      </c>
      <c r="O1491" s="59"/>
      <c r="Q1491" s="54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</row>
    <row r="1492">
      <c r="A1492" s="59" t="b">
        <v>0</v>
      </c>
      <c r="B1492" s="54"/>
      <c r="C1492" s="55"/>
      <c r="D1492" s="56"/>
      <c r="E1492" s="40"/>
      <c r="F1492" s="57"/>
      <c r="G1492" s="114"/>
      <c r="H1492" s="59"/>
      <c r="I1492" s="165"/>
      <c r="J1492" s="59"/>
      <c r="K1492" s="53"/>
      <c r="L1492" s="59"/>
      <c r="M1492" s="59"/>
      <c r="N1492" s="47" t="b">
        <v>0</v>
      </c>
      <c r="O1492" s="59"/>
      <c r="Q1492" s="54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</row>
    <row r="1493">
      <c r="A1493" s="59" t="b">
        <v>0</v>
      </c>
      <c r="B1493" s="54"/>
      <c r="C1493" s="55"/>
      <c r="D1493" s="56"/>
      <c r="E1493" s="40"/>
      <c r="F1493" s="57"/>
      <c r="G1493" s="114"/>
      <c r="H1493" s="59"/>
      <c r="I1493" s="165"/>
      <c r="J1493" s="59"/>
      <c r="K1493" s="53"/>
      <c r="L1493" s="59"/>
      <c r="M1493" s="59"/>
      <c r="N1493" s="47" t="b">
        <v>0</v>
      </c>
      <c r="O1493" s="59"/>
      <c r="Q1493" s="54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</row>
    <row r="1494">
      <c r="A1494" s="59" t="b">
        <v>0</v>
      </c>
      <c r="B1494" s="54"/>
      <c r="C1494" s="55"/>
      <c r="D1494" s="56"/>
      <c r="E1494" s="40"/>
      <c r="F1494" s="57"/>
      <c r="G1494" s="114"/>
      <c r="H1494" s="59"/>
      <c r="I1494" s="165"/>
      <c r="J1494" s="59"/>
      <c r="K1494" s="53"/>
      <c r="L1494" s="59"/>
      <c r="M1494" s="59"/>
      <c r="N1494" s="47" t="b">
        <v>0</v>
      </c>
      <c r="O1494" s="59"/>
      <c r="Q1494" s="54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</row>
    <row r="1495">
      <c r="A1495" s="59" t="b">
        <v>0</v>
      </c>
      <c r="B1495" s="54"/>
      <c r="C1495" s="55"/>
      <c r="D1495" s="56"/>
      <c r="E1495" s="40"/>
      <c r="F1495" s="57"/>
      <c r="G1495" s="114"/>
      <c r="H1495" s="59"/>
      <c r="I1495" s="165"/>
      <c r="J1495" s="59"/>
      <c r="K1495" s="53"/>
      <c r="L1495" s="59"/>
      <c r="M1495" s="59"/>
      <c r="N1495" s="47" t="b">
        <v>0</v>
      </c>
      <c r="O1495" s="59"/>
      <c r="Q1495" s="54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</row>
    <row r="1496">
      <c r="A1496" s="59" t="b">
        <v>0</v>
      </c>
      <c r="B1496" s="54"/>
      <c r="C1496" s="55"/>
      <c r="D1496" s="56"/>
      <c r="E1496" s="40"/>
      <c r="F1496" s="57"/>
      <c r="G1496" s="114"/>
      <c r="H1496" s="59"/>
      <c r="I1496" s="165"/>
      <c r="J1496" s="59"/>
      <c r="K1496" s="53"/>
      <c r="L1496" s="59"/>
      <c r="M1496" s="59"/>
      <c r="N1496" s="47" t="b">
        <v>0</v>
      </c>
      <c r="O1496" s="59"/>
      <c r="Q1496" s="54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</row>
    <row r="1497">
      <c r="A1497" s="59" t="b">
        <v>0</v>
      </c>
      <c r="B1497" s="54"/>
      <c r="C1497" s="55"/>
      <c r="D1497" s="56"/>
      <c r="E1497" s="40"/>
      <c r="F1497" s="57"/>
      <c r="G1497" s="114"/>
      <c r="H1497" s="59"/>
      <c r="I1497" s="165"/>
      <c r="J1497" s="59"/>
      <c r="K1497" s="53"/>
      <c r="L1497" s="59"/>
      <c r="M1497" s="59"/>
      <c r="N1497" s="47" t="b">
        <v>0</v>
      </c>
      <c r="O1497" s="59"/>
      <c r="Q1497" s="54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</row>
    <row r="1498">
      <c r="A1498" s="59" t="b">
        <v>0</v>
      </c>
      <c r="B1498" s="54"/>
      <c r="C1498" s="55"/>
      <c r="D1498" s="56"/>
      <c r="E1498" s="40"/>
      <c r="F1498" s="57"/>
      <c r="G1498" s="114"/>
      <c r="H1498" s="59"/>
      <c r="I1498" s="165"/>
      <c r="J1498" s="59"/>
      <c r="K1498" s="53"/>
      <c r="L1498" s="59"/>
      <c r="M1498" s="59"/>
      <c r="N1498" s="47" t="b">
        <v>0</v>
      </c>
      <c r="O1498" s="59"/>
      <c r="Q1498" s="54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</row>
    <row r="1499">
      <c r="A1499" s="59" t="b">
        <v>0</v>
      </c>
      <c r="B1499" s="54"/>
      <c r="C1499" s="55"/>
      <c r="D1499" s="56"/>
      <c r="E1499" s="40"/>
      <c r="F1499" s="57"/>
      <c r="G1499" s="114"/>
      <c r="H1499" s="59"/>
      <c r="I1499" s="165"/>
      <c r="J1499" s="59"/>
      <c r="K1499" s="53"/>
      <c r="L1499" s="59"/>
      <c r="M1499" s="59"/>
      <c r="N1499" s="47" t="b">
        <v>0</v>
      </c>
      <c r="O1499" s="59"/>
      <c r="Q1499" s="54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</row>
    <row r="1500">
      <c r="A1500" s="59" t="b">
        <v>0</v>
      </c>
      <c r="B1500" s="54"/>
      <c r="C1500" s="55"/>
      <c r="D1500" s="56"/>
      <c r="E1500" s="40"/>
      <c r="F1500" s="57"/>
      <c r="G1500" s="114"/>
      <c r="H1500" s="59"/>
      <c r="I1500" s="165"/>
      <c r="J1500" s="59"/>
      <c r="K1500" s="53"/>
      <c r="L1500" s="59"/>
      <c r="M1500" s="59"/>
      <c r="N1500" s="47" t="b">
        <v>0</v>
      </c>
      <c r="O1500" s="59"/>
      <c r="Q1500" s="54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</row>
    <row r="1501">
      <c r="A1501" s="59" t="b">
        <v>0</v>
      </c>
      <c r="B1501" s="54"/>
      <c r="C1501" s="55"/>
      <c r="D1501" s="56"/>
      <c r="E1501" s="40"/>
      <c r="F1501" s="57"/>
      <c r="G1501" s="114"/>
      <c r="H1501" s="59"/>
      <c r="I1501" s="165"/>
      <c r="J1501" s="59"/>
      <c r="K1501" s="53"/>
      <c r="L1501" s="59"/>
      <c r="M1501" s="59"/>
      <c r="N1501" s="47" t="b">
        <v>0</v>
      </c>
      <c r="O1501" s="59"/>
      <c r="Q1501" s="54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</row>
    <row r="1502">
      <c r="A1502" s="59" t="b">
        <v>0</v>
      </c>
      <c r="B1502" s="54"/>
      <c r="C1502" s="55"/>
      <c r="D1502" s="56"/>
      <c r="E1502" s="40"/>
      <c r="F1502" s="57"/>
      <c r="G1502" s="114"/>
      <c r="H1502" s="59"/>
      <c r="I1502" s="165"/>
      <c r="J1502" s="59"/>
      <c r="K1502" s="53"/>
      <c r="L1502" s="59"/>
      <c r="M1502" s="59"/>
      <c r="N1502" s="47" t="b">
        <v>0</v>
      </c>
      <c r="O1502" s="59"/>
      <c r="Q1502" s="54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</row>
    <row r="1503">
      <c r="A1503" s="59" t="b">
        <v>0</v>
      </c>
      <c r="B1503" s="54"/>
      <c r="C1503" s="55"/>
      <c r="D1503" s="56"/>
      <c r="E1503" s="40"/>
      <c r="F1503" s="57"/>
      <c r="G1503" s="114"/>
      <c r="H1503" s="59"/>
      <c r="I1503" s="165"/>
      <c r="J1503" s="59"/>
      <c r="K1503" s="53"/>
      <c r="L1503" s="59"/>
      <c r="M1503" s="59"/>
      <c r="N1503" s="47" t="b">
        <v>0</v>
      </c>
      <c r="O1503" s="59"/>
      <c r="Q1503" s="54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</row>
    <row r="1504">
      <c r="A1504" s="59" t="b">
        <v>0</v>
      </c>
      <c r="B1504" s="54"/>
      <c r="C1504" s="55"/>
      <c r="D1504" s="56"/>
      <c r="E1504" s="40"/>
      <c r="F1504" s="57"/>
      <c r="G1504" s="114"/>
      <c r="H1504" s="59"/>
      <c r="I1504" s="165"/>
      <c r="J1504" s="59"/>
      <c r="K1504" s="53"/>
      <c r="L1504" s="59"/>
      <c r="M1504" s="59"/>
      <c r="N1504" s="47" t="b">
        <v>0</v>
      </c>
      <c r="O1504" s="59"/>
      <c r="Q1504" s="54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</row>
    <row r="1505">
      <c r="A1505" s="59" t="b">
        <v>0</v>
      </c>
      <c r="B1505" s="54"/>
      <c r="C1505" s="55"/>
      <c r="D1505" s="56"/>
      <c r="E1505" s="40"/>
      <c r="F1505" s="57"/>
      <c r="G1505" s="114"/>
      <c r="H1505" s="59"/>
      <c r="I1505" s="165"/>
      <c r="J1505" s="59"/>
      <c r="K1505" s="53"/>
      <c r="L1505" s="59"/>
      <c r="M1505" s="59"/>
      <c r="N1505" s="47" t="b">
        <v>0</v>
      </c>
      <c r="O1505" s="59"/>
      <c r="Q1505" s="54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</row>
    <row r="1506">
      <c r="A1506" s="59" t="b">
        <v>0</v>
      </c>
      <c r="B1506" s="54"/>
      <c r="C1506" s="55"/>
      <c r="D1506" s="56"/>
      <c r="E1506" s="40"/>
      <c r="F1506" s="57"/>
      <c r="G1506" s="114"/>
      <c r="H1506" s="59"/>
      <c r="I1506" s="165"/>
      <c r="J1506" s="59"/>
      <c r="K1506" s="53"/>
      <c r="L1506" s="59"/>
      <c r="M1506" s="59"/>
      <c r="N1506" s="47" t="b">
        <v>0</v>
      </c>
      <c r="O1506" s="59"/>
      <c r="Q1506" s="54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</row>
    <row r="1507">
      <c r="A1507" s="59" t="b">
        <v>0</v>
      </c>
      <c r="B1507" s="54"/>
      <c r="C1507" s="55"/>
      <c r="D1507" s="56"/>
      <c r="E1507" s="40"/>
      <c r="F1507" s="57"/>
      <c r="G1507" s="114"/>
      <c r="H1507" s="59"/>
      <c r="I1507" s="165"/>
      <c r="J1507" s="59"/>
      <c r="K1507" s="53"/>
      <c r="L1507" s="59"/>
      <c r="M1507" s="59"/>
      <c r="N1507" s="47" t="b">
        <v>0</v>
      </c>
      <c r="O1507" s="59"/>
      <c r="Q1507" s="54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</row>
    <row r="1508">
      <c r="A1508" s="59" t="b">
        <v>0</v>
      </c>
      <c r="B1508" s="54"/>
      <c r="C1508" s="55"/>
      <c r="D1508" s="56"/>
      <c r="E1508" s="40"/>
      <c r="F1508" s="57"/>
      <c r="G1508" s="114"/>
      <c r="H1508" s="59"/>
      <c r="I1508" s="165"/>
      <c r="J1508" s="59"/>
      <c r="K1508" s="53"/>
      <c r="L1508" s="59"/>
      <c r="M1508" s="59"/>
      <c r="N1508" s="47" t="b">
        <v>0</v>
      </c>
      <c r="O1508" s="59"/>
      <c r="Q1508" s="54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</row>
    <row r="1509">
      <c r="A1509" s="59" t="b">
        <v>0</v>
      </c>
      <c r="B1509" s="54"/>
      <c r="C1509" s="55"/>
      <c r="D1509" s="56"/>
      <c r="E1509" s="40"/>
      <c r="F1509" s="57"/>
      <c r="G1509" s="114"/>
      <c r="H1509" s="59"/>
      <c r="I1509" s="165"/>
      <c r="J1509" s="59"/>
      <c r="K1509" s="53"/>
      <c r="L1509" s="59"/>
      <c r="M1509" s="59"/>
      <c r="N1509" s="47" t="b">
        <v>0</v>
      </c>
      <c r="O1509" s="59"/>
      <c r="Q1509" s="54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</row>
    <row r="1510">
      <c r="A1510" s="59" t="b">
        <v>0</v>
      </c>
      <c r="B1510" s="54"/>
      <c r="C1510" s="55"/>
      <c r="D1510" s="56"/>
      <c r="E1510" s="40"/>
      <c r="F1510" s="57"/>
      <c r="G1510" s="114"/>
      <c r="H1510" s="59"/>
      <c r="I1510" s="165"/>
      <c r="J1510" s="59"/>
      <c r="K1510" s="53"/>
      <c r="L1510" s="59"/>
      <c r="M1510" s="59"/>
      <c r="N1510" s="47" t="b">
        <v>0</v>
      </c>
      <c r="O1510" s="59"/>
      <c r="Q1510" s="54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</row>
    <row r="1511">
      <c r="A1511" s="59" t="b">
        <v>0</v>
      </c>
      <c r="B1511" s="54"/>
      <c r="C1511" s="55"/>
      <c r="D1511" s="56"/>
      <c r="E1511" s="40"/>
      <c r="F1511" s="57"/>
      <c r="G1511" s="114"/>
      <c r="H1511" s="59"/>
      <c r="I1511" s="165"/>
      <c r="J1511" s="59"/>
      <c r="K1511" s="53"/>
      <c r="L1511" s="59"/>
      <c r="M1511" s="59"/>
      <c r="N1511" s="47" t="b">
        <v>0</v>
      </c>
      <c r="O1511" s="59"/>
      <c r="Q1511" s="54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</row>
    <row r="1512">
      <c r="A1512" s="59" t="b">
        <v>0</v>
      </c>
      <c r="B1512" s="54"/>
      <c r="C1512" s="55"/>
      <c r="D1512" s="56"/>
      <c r="E1512" s="40"/>
      <c r="F1512" s="57"/>
      <c r="G1512" s="114"/>
      <c r="H1512" s="59"/>
      <c r="I1512" s="165"/>
      <c r="J1512" s="59"/>
      <c r="K1512" s="53"/>
      <c r="L1512" s="59"/>
      <c r="M1512" s="59"/>
      <c r="N1512" s="47" t="b">
        <v>0</v>
      </c>
      <c r="O1512" s="59"/>
      <c r="Q1512" s="54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</row>
    <row r="1513">
      <c r="A1513" s="59" t="b">
        <v>0</v>
      </c>
      <c r="B1513" s="54"/>
      <c r="C1513" s="55"/>
      <c r="D1513" s="56"/>
      <c r="E1513" s="40"/>
      <c r="F1513" s="57"/>
      <c r="G1513" s="114"/>
      <c r="H1513" s="59"/>
      <c r="I1513" s="165"/>
      <c r="J1513" s="59"/>
      <c r="K1513" s="53"/>
      <c r="L1513" s="59"/>
      <c r="M1513" s="59"/>
      <c r="N1513" s="47" t="b">
        <v>0</v>
      </c>
      <c r="O1513" s="59"/>
      <c r="Q1513" s="54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</row>
    <row r="1514">
      <c r="A1514" s="59" t="b">
        <v>0</v>
      </c>
      <c r="B1514" s="54"/>
      <c r="C1514" s="55"/>
      <c r="D1514" s="56"/>
      <c r="E1514" s="40"/>
      <c r="F1514" s="57"/>
      <c r="G1514" s="114"/>
      <c r="H1514" s="59"/>
      <c r="I1514" s="165"/>
      <c r="J1514" s="59"/>
      <c r="K1514" s="53"/>
      <c r="L1514" s="59"/>
      <c r="M1514" s="59"/>
      <c r="N1514" s="47" t="b">
        <v>0</v>
      </c>
      <c r="O1514" s="59"/>
      <c r="Q1514" s="54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</row>
    <row r="1515">
      <c r="A1515" s="59" t="b">
        <v>0</v>
      </c>
      <c r="B1515" s="54"/>
      <c r="C1515" s="55"/>
      <c r="D1515" s="56"/>
      <c r="E1515" s="40"/>
      <c r="F1515" s="57"/>
      <c r="G1515" s="114"/>
      <c r="H1515" s="59"/>
      <c r="I1515" s="165"/>
      <c r="J1515" s="59"/>
      <c r="K1515" s="53"/>
      <c r="L1515" s="59"/>
      <c r="M1515" s="59"/>
      <c r="N1515" s="47" t="b">
        <v>0</v>
      </c>
      <c r="O1515" s="59"/>
      <c r="Q1515" s="54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</row>
    <row r="1516">
      <c r="A1516" s="59" t="b">
        <v>0</v>
      </c>
      <c r="B1516" s="54"/>
      <c r="C1516" s="55"/>
      <c r="D1516" s="56"/>
      <c r="E1516" s="40"/>
      <c r="F1516" s="57"/>
      <c r="G1516" s="114"/>
      <c r="H1516" s="59"/>
      <c r="I1516" s="165"/>
      <c r="J1516" s="59"/>
      <c r="K1516" s="53"/>
      <c r="L1516" s="59"/>
      <c r="M1516" s="59"/>
      <c r="N1516" s="47" t="b">
        <v>0</v>
      </c>
      <c r="O1516" s="59"/>
      <c r="Q1516" s="54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</row>
    <row r="1517">
      <c r="A1517" s="59" t="b">
        <v>0</v>
      </c>
      <c r="B1517" s="54"/>
      <c r="C1517" s="55"/>
      <c r="D1517" s="56"/>
      <c r="E1517" s="40"/>
      <c r="F1517" s="57"/>
      <c r="G1517" s="114"/>
      <c r="H1517" s="59"/>
      <c r="I1517" s="165"/>
      <c r="J1517" s="59"/>
      <c r="K1517" s="53"/>
      <c r="L1517" s="59"/>
      <c r="M1517" s="59"/>
      <c r="N1517" s="47" t="b">
        <v>0</v>
      </c>
      <c r="O1517" s="59"/>
      <c r="Q1517" s="54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</row>
    <row r="1518">
      <c r="A1518" s="59" t="b">
        <v>0</v>
      </c>
      <c r="B1518" s="54"/>
      <c r="C1518" s="55"/>
      <c r="D1518" s="56"/>
      <c r="E1518" s="40"/>
      <c r="F1518" s="57"/>
      <c r="G1518" s="114"/>
      <c r="H1518" s="59"/>
      <c r="I1518" s="165"/>
      <c r="J1518" s="59"/>
      <c r="K1518" s="53"/>
      <c r="L1518" s="59"/>
      <c r="M1518" s="59"/>
      <c r="N1518" s="47" t="b">
        <v>0</v>
      </c>
      <c r="O1518" s="59"/>
      <c r="Q1518" s="54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</row>
    <row r="1519">
      <c r="A1519" s="59" t="b">
        <v>0</v>
      </c>
      <c r="B1519" s="54"/>
      <c r="C1519" s="55"/>
      <c r="D1519" s="56"/>
      <c r="E1519" s="40"/>
      <c r="F1519" s="57"/>
      <c r="G1519" s="114"/>
      <c r="H1519" s="59"/>
      <c r="I1519" s="165"/>
      <c r="J1519" s="59"/>
      <c r="K1519" s="53"/>
      <c r="L1519" s="59"/>
      <c r="M1519" s="59"/>
      <c r="N1519" s="47" t="b">
        <v>0</v>
      </c>
      <c r="O1519" s="59"/>
      <c r="Q1519" s="54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</row>
    <row r="1520">
      <c r="A1520" s="59" t="b">
        <v>0</v>
      </c>
      <c r="B1520" s="54"/>
      <c r="C1520" s="55"/>
      <c r="D1520" s="56"/>
      <c r="E1520" s="40"/>
      <c r="F1520" s="57"/>
      <c r="G1520" s="114"/>
      <c r="H1520" s="59"/>
      <c r="I1520" s="165"/>
      <c r="J1520" s="59"/>
      <c r="K1520" s="53"/>
      <c r="L1520" s="59"/>
      <c r="M1520" s="59"/>
      <c r="N1520" s="47" t="b">
        <v>0</v>
      </c>
      <c r="O1520" s="59"/>
      <c r="Q1520" s="54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</row>
    <row r="1521">
      <c r="A1521" s="59" t="b">
        <v>0</v>
      </c>
      <c r="B1521" s="54"/>
      <c r="C1521" s="55"/>
      <c r="D1521" s="56"/>
      <c r="E1521" s="40"/>
      <c r="F1521" s="57"/>
      <c r="G1521" s="114"/>
      <c r="H1521" s="59"/>
      <c r="I1521" s="165"/>
      <c r="J1521" s="59"/>
      <c r="K1521" s="53"/>
      <c r="L1521" s="59"/>
      <c r="M1521" s="59"/>
      <c r="N1521" s="47" t="b">
        <v>0</v>
      </c>
      <c r="O1521" s="59"/>
      <c r="Q1521" s="54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</row>
    <row r="1522">
      <c r="A1522" s="59" t="b">
        <v>0</v>
      </c>
      <c r="B1522" s="54"/>
      <c r="C1522" s="55"/>
      <c r="D1522" s="56"/>
      <c r="E1522" s="40"/>
      <c r="F1522" s="57"/>
      <c r="G1522" s="114"/>
      <c r="H1522" s="59"/>
      <c r="I1522" s="165"/>
      <c r="J1522" s="59"/>
      <c r="K1522" s="53"/>
      <c r="L1522" s="59"/>
      <c r="M1522" s="59"/>
      <c r="N1522" s="47" t="b">
        <v>0</v>
      </c>
      <c r="O1522" s="59"/>
      <c r="Q1522" s="54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</row>
    <row r="1523">
      <c r="A1523" s="59" t="b">
        <v>0</v>
      </c>
      <c r="B1523" s="54"/>
      <c r="C1523" s="55"/>
      <c r="D1523" s="56"/>
      <c r="E1523" s="40"/>
      <c r="F1523" s="57"/>
      <c r="G1523" s="114"/>
      <c r="H1523" s="59"/>
      <c r="I1523" s="165"/>
      <c r="J1523" s="59"/>
      <c r="K1523" s="53"/>
      <c r="L1523" s="59"/>
      <c r="M1523" s="59"/>
      <c r="N1523" s="47" t="b">
        <v>0</v>
      </c>
      <c r="O1523" s="59"/>
      <c r="Q1523" s="54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</row>
    <row r="1524">
      <c r="A1524" s="59" t="b">
        <v>0</v>
      </c>
      <c r="B1524" s="54"/>
      <c r="C1524" s="55"/>
      <c r="D1524" s="56"/>
      <c r="E1524" s="40"/>
      <c r="F1524" s="57"/>
      <c r="G1524" s="114"/>
      <c r="H1524" s="59"/>
      <c r="I1524" s="165"/>
      <c r="J1524" s="59"/>
      <c r="K1524" s="53"/>
      <c r="L1524" s="59"/>
      <c r="M1524" s="59"/>
      <c r="N1524" s="47" t="b">
        <v>0</v>
      </c>
      <c r="O1524" s="59"/>
      <c r="Q1524" s="54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</row>
    <row r="1525">
      <c r="A1525" s="59" t="b">
        <v>0</v>
      </c>
      <c r="B1525" s="54"/>
      <c r="C1525" s="55"/>
      <c r="D1525" s="56"/>
      <c r="E1525" s="40"/>
      <c r="F1525" s="57"/>
      <c r="G1525" s="114"/>
      <c r="H1525" s="59"/>
      <c r="I1525" s="165"/>
      <c r="J1525" s="59"/>
      <c r="K1525" s="53"/>
      <c r="L1525" s="59"/>
      <c r="M1525" s="59"/>
      <c r="N1525" s="47" t="b">
        <v>0</v>
      </c>
      <c r="O1525" s="59"/>
      <c r="Q1525" s="54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</row>
    <row r="1526">
      <c r="A1526" s="59" t="b">
        <v>0</v>
      </c>
      <c r="B1526" s="54"/>
      <c r="C1526" s="55"/>
      <c r="D1526" s="56"/>
      <c r="E1526" s="40"/>
      <c r="F1526" s="57"/>
      <c r="G1526" s="114"/>
      <c r="H1526" s="59"/>
      <c r="I1526" s="165"/>
      <c r="J1526" s="59"/>
      <c r="K1526" s="53"/>
      <c r="L1526" s="59"/>
      <c r="M1526" s="59"/>
      <c r="N1526" s="47" t="b">
        <v>0</v>
      </c>
      <c r="O1526" s="59"/>
      <c r="Q1526" s="54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</row>
    <row r="1527">
      <c r="A1527" s="59" t="b">
        <v>0</v>
      </c>
      <c r="B1527" s="54"/>
      <c r="C1527" s="55"/>
      <c r="D1527" s="56"/>
      <c r="E1527" s="40"/>
      <c r="F1527" s="57"/>
      <c r="G1527" s="114"/>
      <c r="H1527" s="59"/>
      <c r="I1527" s="165"/>
      <c r="J1527" s="59"/>
      <c r="K1527" s="53"/>
      <c r="L1527" s="59"/>
      <c r="M1527" s="59"/>
      <c r="N1527" s="47" t="b">
        <v>0</v>
      </c>
      <c r="O1527" s="59"/>
      <c r="Q1527" s="54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</row>
    <row r="1528">
      <c r="A1528" s="59" t="b">
        <v>0</v>
      </c>
      <c r="B1528" s="54"/>
      <c r="C1528" s="55"/>
      <c r="D1528" s="56"/>
      <c r="E1528" s="40"/>
      <c r="F1528" s="57"/>
      <c r="G1528" s="114"/>
      <c r="H1528" s="59"/>
      <c r="I1528" s="165"/>
      <c r="J1528" s="59"/>
      <c r="K1528" s="53"/>
      <c r="L1528" s="59"/>
      <c r="M1528" s="59"/>
      <c r="N1528" s="47" t="b">
        <v>0</v>
      </c>
      <c r="O1528" s="59"/>
      <c r="Q1528" s="54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</row>
    <row r="1529">
      <c r="A1529" s="59" t="b">
        <v>0</v>
      </c>
      <c r="B1529" s="54"/>
      <c r="C1529" s="55"/>
      <c r="D1529" s="56"/>
      <c r="E1529" s="40"/>
      <c r="F1529" s="57"/>
      <c r="G1529" s="114"/>
      <c r="H1529" s="59"/>
      <c r="I1529" s="165"/>
      <c r="J1529" s="59"/>
      <c r="K1529" s="53"/>
      <c r="L1529" s="59"/>
      <c r="M1529" s="59"/>
      <c r="N1529" s="47" t="b">
        <v>0</v>
      </c>
      <c r="O1529" s="59"/>
      <c r="Q1529" s="54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</row>
    <row r="1530">
      <c r="A1530" s="59" t="b">
        <v>0</v>
      </c>
      <c r="B1530" s="54"/>
      <c r="C1530" s="55"/>
      <c r="D1530" s="56"/>
      <c r="E1530" s="40"/>
      <c r="F1530" s="57"/>
      <c r="G1530" s="114"/>
      <c r="H1530" s="59"/>
      <c r="I1530" s="165"/>
      <c r="J1530" s="59"/>
      <c r="K1530" s="53"/>
      <c r="L1530" s="59"/>
      <c r="M1530" s="59"/>
      <c r="N1530" s="47" t="b">
        <v>0</v>
      </c>
      <c r="O1530" s="59"/>
      <c r="Q1530" s="54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</row>
    <row r="1531">
      <c r="A1531" s="59" t="b">
        <v>0</v>
      </c>
      <c r="B1531" s="54"/>
      <c r="C1531" s="55"/>
      <c r="D1531" s="56"/>
      <c r="E1531" s="40"/>
      <c r="F1531" s="57"/>
      <c r="G1531" s="114"/>
      <c r="H1531" s="59"/>
      <c r="I1531" s="165"/>
      <c r="J1531" s="59"/>
      <c r="K1531" s="53"/>
      <c r="L1531" s="59"/>
      <c r="M1531" s="59"/>
      <c r="N1531" s="47" t="b">
        <v>0</v>
      </c>
      <c r="O1531" s="59"/>
      <c r="Q1531" s="54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</row>
    <row r="1532">
      <c r="A1532" s="59" t="b">
        <v>0</v>
      </c>
      <c r="B1532" s="54"/>
      <c r="C1532" s="55"/>
      <c r="D1532" s="56"/>
      <c r="E1532" s="40"/>
      <c r="F1532" s="57"/>
      <c r="G1532" s="114"/>
      <c r="H1532" s="59"/>
      <c r="I1532" s="165"/>
      <c r="J1532" s="59"/>
      <c r="K1532" s="53"/>
      <c r="L1532" s="59"/>
      <c r="M1532" s="59"/>
      <c r="N1532" s="47" t="b">
        <v>0</v>
      </c>
      <c r="O1532" s="59"/>
      <c r="Q1532" s="54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</row>
    <row r="1533">
      <c r="A1533" s="59" t="b">
        <v>0</v>
      </c>
      <c r="B1533" s="54"/>
      <c r="C1533" s="55"/>
      <c r="D1533" s="56"/>
      <c r="E1533" s="40"/>
      <c r="F1533" s="57"/>
      <c r="G1533" s="114"/>
      <c r="H1533" s="59"/>
      <c r="I1533" s="165"/>
      <c r="J1533" s="59"/>
      <c r="K1533" s="53"/>
      <c r="L1533" s="59"/>
      <c r="M1533" s="59"/>
      <c r="N1533" s="47" t="b">
        <v>0</v>
      </c>
      <c r="O1533" s="59"/>
      <c r="Q1533" s="54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</row>
    <row r="1534">
      <c r="A1534" s="59" t="b">
        <v>0</v>
      </c>
      <c r="B1534" s="54"/>
      <c r="C1534" s="55"/>
      <c r="D1534" s="56"/>
      <c r="E1534" s="40"/>
      <c r="F1534" s="57"/>
      <c r="G1534" s="114"/>
      <c r="H1534" s="59"/>
      <c r="I1534" s="165"/>
      <c r="J1534" s="59"/>
      <c r="K1534" s="53"/>
      <c r="L1534" s="59"/>
      <c r="M1534" s="59"/>
      <c r="N1534" s="47" t="b">
        <v>0</v>
      </c>
      <c r="O1534" s="59"/>
      <c r="Q1534" s="54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</row>
    <row r="1535">
      <c r="A1535" s="59" t="b">
        <v>0</v>
      </c>
      <c r="B1535" s="54"/>
      <c r="C1535" s="55"/>
      <c r="D1535" s="56"/>
      <c r="E1535" s="40"/>
      <c r="F1535" s="57"/>
      <c r="G1535" s="114"/>
      <c r="H1535" s="59"/>
      <c r="I1535" s="165"/>
      <c r="J1535" s="59"/>
      <c r="K1535" s="53"/>
      <c r="L1535" s="59"/>
      <c r="M1535" s="59"/>
      <c r="N1535" s="47" t="b">
        <v>0</v>
      </c>
      <c r="O1535" s="59"/>
      <c r="Q1535" s="54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</row>
    <row r="1536">
      <c r="A1536" s="59" t="b">
        <v>0</v>
      </c>
      <c r="B1536" s="54"/>
      <c r="C1536" s="55"/>
      <c r="D1536" s="56"/>
      <c r="E1536" s="40"/>
      <c r="F1536" s="57"/>
      <c r="G1536" s="114"/>
      <c r="H1536" s="59"/>
      <c r="I1536" s="165"/>
      <c r="J1536" s="59"/>
      <c r="K1536" s="53"/>
      <c r="L1536" s="59"/>
      <c r="M1536" s="59"/>
      <c r="N1536" s="47" t="b">
        <v>0</v>
      </c>
      <c r="O1536" s="59"/>
      <c r="Q1536" s="54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</row>
    <row r="1537">
      <c r="A1537" s="59" t="b">
        <v>0</v>
      </c>
      <c r="B1537" s="54"/>
      <c r="C1537" s="55"/>
      <c r="D1537" s="56"/>
      <c r="E1537" s="40"/>
      <c r="F1537" s="57"/>
      <c r="G1537" s="114"/>
      <c r="H1537" s="59"/>
      <c r="I1537" s="165"/>
      <c r="J1537" s="59"/>
      <c r="K1537" s="53"/>
      <c r="L1537" s="59"/>
      <c r="M1537" s="59"/>
      <c r="N1537" s="47" t="b">
        <v>0</v>
      </c>
      <c r="O1537" s="59"/>
      <c r="Q1537" s="54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</row>
    <row r="1538">
      <c r="A1538" s="59" t="b">
        <v>0</v>
      </c>
      <c r="B1538" s="54"/>
      <c r="C1538" s="55"/>
      <c r="D1538" s="56"/>
      <c r="E1538" s="40"/>
      <c r="F1538" s="57"/>
      <c r="G1538" s="114"/>
      <c r="H1538" s="59"/>
      <c r="I1538" s="165"/>
      <c r="J1538" s="59"/>
      <c r="K1538" s="53"/>
      <c r="L1538" s="59"/>
      <c r="M1538" s="59"/>
      <c r="N1538" s="47" t="b">
        <v>0</v>
      </c>
      <c r="O1538" s="59"/>
      <c r="Q1538" s="54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</row>
    <row r="1539">
      <c r="A1539" s="59" t="b">
        <v>0</v>
      </c>
      <c r="B1539" s="54"/>
      <c r="C1539" s="55"/>
      <c r="D1539" s="56"/>
      <c r="E1539" s="40"/>
      <c r="F1539" s="57"/>
      <c r="G1539" s="114"/>
      <c r="H1539" s="59"/>
      <c r="I1539" s="165"/>
      <c r="J1539" s="59"/>
      <c r="K1539" s="53"/>
      <c r="L1539" s="59"/>
      <c r="M1539" s="59"/>
      <c r="N1539" s="47" t="b">
        <v>0</v>
      </c>
      <c r="O1539" s="59"/>
      <c r="Q1539" s="54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</row>
    <row r="1540">
      <c r="A1540" s="59" t="b">
        <v>0</v>
      </c>
      <c r="B1540" s="54"/>
      <c r="C1540" s="55"/>
      <c r="D1540" s="56"/>
      <c r="E1540" s="40"/>
      <c r="F1540" s="57"/>
      <c r="G1540" s="114"/>
      <c r="H1540" s="59"/>
      <c r="I1540" s="165"/>
      <c r="J1540" s="59"/>
      <c r="K1540" s="53"/>
      <c r="L1540" s="59"/>
      <c r="M1540" s="59"/>
      <c r="N1540" s="47" t="b">
        <v>0</v>
      </c>
      <c r="O1540" s="59"/>
      <c r="Q1540" s="54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</row>
    <row r="1541">
      <c r="A1541" s="59" t="b">
        <v>0</v>
      </c>
      <c r="B1541" s="54"/>
      <c r="C1541" s="55"/>
      <c r="D1541" s="56"/>
      <c r="E1541" s="40"/>
      <c r="F1541" s="57"/>
      <c r="G1541" s="114"/>
      <c r="H1541" s="59"/>
      <c r="I1541" s="165"/>
      <c r="J1541" s="59"/>
      <c r="K1541" s="53"/>
      <c r="L1541" s="59"/>
      <c r="M1541" s="59"/>
      <c r="N1541" s="47" t="b">
        <v>0</v>
      </c>
      <c r="O1541" s="59"/>
      <c r="Q1541" s="54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</row>
    <row r="1542">
      <c r="A1542" s="59" t="b">
        <v>0</v>
      </c>
      <c r="B1542" s="54"/>
      <c r="C1542" s="55"/>
      <c r="D1542" s="56"/>
      <c r="E1542" s="40"/>
      <c r="F1542" s="57"/>
      <c r="G1542" s="114"/>
      <c r="H1542" s="59"/>
      <c r="I1542" s="165"/>
      <c r="J1542" s="59"/>
      <c r="K1542" s="53"/>
      <c r="L1542" s="59"/>
      <c r="M1542" s="59"/>
      <c r="N1542" s="47" t="b">
        <v>0</v>
      </c>
      <c r="O1542" s="59"/>
      <c r="Q1542" s="54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</row>
    <row r="1543">
      <c r="A1543" s="59" t="b">
        <v>0</v>
      </c>
      <c r="B1543" s="54"/>
      <c r="C1543" s="55"/>
      <c r="D1543" s="56"/>
      <c r="E1543" s="40"/>
      <c r="F1543" s="57"/>
      <c r="G1543" s="114"/>
      <c r="H1543" s="59"/>
      <c r="I1543" s="165"/>
      <c r="J1543" s="59"/>
      <c r="K1543" s="53"/>
      <c r="L1543" s="59"/>
      <c r="M1543" s="59"/>
      <c r="N1543" s="47" t="b">
        <v>0</v>
      </c>
      <c r="O1543" s="59"/>
      <c r="Q1543" s="54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</row>
    <row r="1544">
      <c r="A1544" s="59" t="b">
        <v>0</v>
      </c>
      <c r="B1544" s="54"/>
      <c r="C1544" s="55"/>
      <c r="D1544" s="56"/>
      <c r="E1544" s="40"/>
      <c r="F1544" s="57"/>
      <c r="G1544" s="114"/>
      <c r="H1544" s="59"/>
      <c r="I1544" s="165"/>
      <c r="J1544" s="59"/>
      <c r="K1544" s="53"/>
      <c r="L1544" s="59"/>
      <c r="M1544" s="59"/>
      <c r="N1544" s="47" t="b">
        <v>0</v>
      </c>
      <c r="O1544" s="59"/>
      <c r="Q1544" s="54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</row>
    <row r="1545">
      <c r="A1545" s="59" t="b">
        <v>0</v>
      </c>
      <c r="B1545" s="54"/>
      <c r="C1545" s="55"/>
      <c r="D1545" s="56"/>
      <c r="E1545" s="40"/>
      <c r="F1545" s="57"/>
      <c r="G1545" s="114"/>
      <c r="H1545" s="59"/>
      <c r="I1545" s="165"/>
      <c r="J1545" s="59"/>
      <c r="K1545" s="53"/>
      <c r="L1545" s="59"/>
      <c r="M1545" s="59"/>
      <c r="N1545" s="47" t="b">
        <v>0</v>
      </c>
      <c r="O1545" s="59"/>
      <c r="Q1545" s="54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</row>
    <row r="1546">
      <c r="A1546" s="59" t="b">
        <v>0</v>
      </c>
      <c r="B1546" s="54"/>
      <c r="C1546" s="55"/>
      <c r="D1546" s="56"/>
      <c r="E1546" s="40"/>
      <c r="F1546" s="57"/>
      <c r="G1546" s="114"/>
      <c r="H1546" s="59"/>
      <c r="I1546" s="165"/>
      <c r="J1546" s="59"/>
      <c r="K1546" s="53"/>
      <c r="L1546" s="59"/>
      <c r="M1546" s="59"/>
      <c r="N1546" s="47" t="b">
        <v>0</v>
      </c>
      <c r="O1546" s="59"/>
      <c r="Q1546" s="54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</row>
    <row r="1547">
      <c r="A1547" s="59" t="b">
        <v>0</v>
      </c>
      <c r="B1547" s="54"/>
      <c r="C1547" s="55"/>
      <c r="D1547" s="56"/>
      <c r="E1547" s="40"/>
      <c r="F1547" s="57"/>
      <c r="G1547" s="114"/>
      <c r="H1547" s="59"/>
      <c r="I1547" s="165"/>
      <c r="J1547" s="59"/>
      <c r="K1547" s="53"/>
      <c r="L1547" s="59"/>
      <c r="M1547" s="59"/>
      <c r="N1547" s="47" t="b">
        <v>0</v>
      </c>
      <c r="O1547" s="59"/>
      <c r="Q1547" s="54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</row>
    <row r="1548">
      <c r="A1548" s="59" t="b">
        <v>0</v>
      </c>
      <c r="B1548" s="54"/>
      <c r="C1548" s="55"/>
      <c r="D1548" s="56"/>
      <c r="E1548" s="40"/>
      <c r="F1548" s="57"/>
      <c r="G1548" s="114"/>
      <c r="H1548" s="59"/>
      <c r="I1548" s="165"/>
      <c r="J1548" s="59"/>
      <c r="K1548" s="53"/>
      <c r="L1548" s="59"/>
      <c r="M1548" s="59"/>
      <c r="N1548" s="47" t="b">
        <v>0</v>
      </c>
      <c r="O1548" s="59"/>
      <c r="Q1548" s="54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</row>
    <row r="1549">
      <c r="A1549" s="59" t="b">
        <v>0</v>
      </c>
      <c r="B1549" s="54"/>
      <c r="C1549" s="55"/>
      <c r="D1549" s="56"/>
      <c r="E1549" s="40"/>
      <c r="F1549" s="57"/>
      <c r="G1549" s="114"/>
      <c r="H1549" s="59"/>
      <c r="I1549" s="165"/>
      <c r="J1549" s="59"/>
      <c r="K1549" s="53"/>
      <c r="L1549" s="59"/>
      <c r="M1549" s="59"/>
      <c r="N1549" s="47" t="b">
        <v>0</v>
      </c>
      <c r="O1549" s="59"/>
      <c r="Q1549" s="54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</row>
    <row r="1550">
      <c r="A1550" s="59" t="b">
        <v>0</v>
      </c>
      <c r="B1550" s="54"/>
      <c r="C1550" s="55"/>
      <c r="D1550" s="56"/>
      <c r="E1550" s="40"/>
      <c r="F1550" s="57"/>
      <c r="G1550" s="114"/>
      <c r="H1550" s="59"/>
      <c r="I1550" s="165"/>
      <c r="J1550" s="59"/>
      <c r="K1550" s="53"/>
      <c r="L1550" s="59"/>
      <c r="M1550" s="59"/>
      <c r="N1550" s="47" t="b">
        <v>0</v>
      </c>
      <c r="O1550" s="59"/>
      <c r="Q1550" s="54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</row>
    <row r="1551">
      <c r="A1551" s="59" t="b">
        <v>0</v>
      </c>
      <c r="B1551" s="54"/>
      <c r="C1551" s="55"/>
      <c r="D1551" s="56"/>
      <c r="E1551" s="40"/>
      <c r="F1551" s="57"/>
      <c r="G1551" s="114"/>
      <c r="H1551" s="59"/>
      <c r="I1551" s="165"/>
      <c r="J1551" s="59"/>
      <c r="K1551" s="53"/>
      <c r="L1551" s="59"/>
      <c r="M1551" s="59"/>
      <c r="N1551" s="47" t="b">
        <v>0</v>
      </c>
      <c r="O1551" s="59"/>
      <c r="Q1551" s="54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</row>
    <row r="1552">
      <c r="A1552" s="59" t="b">
        <v>0</v>
      </c>
      <c r="B1552" s="54"/>
      <c r="C1552" s="55"/>
      <c r="D1552" s="56"/>
      <c r="E1552" s="40"/>
      <c r="F1552" s="57"/>
      <c r="G1552" s="114"/>
      <c r="H1552" s="59"/>
      <c r="I1552" s="165"/>
      <c r="J1552" s="59"/>
      <c r="K1552" s="53"/>
      <c r="L1552" s="59"/>
      <c r="M1552" s="59"/>
      <c r="N1552" s="47" t="b">
        <v>0</v>
      </c>
      <c r="O1552" s="59"/>
      <c r="Q1552" s="54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</row>
    <row r="1553">
      <c r="A1553" s="59" t="b">
        <v>0</v>
      </c>
      <c r="B1553" s="54"/>
      <c r="C1553" s="55"/>
      <c r="D1553" s="56"/>
      <c r="E1553" s="40"/>
      <c r="F1553" s="57"/>
      <c r="G1553" s="114"/>
      <c r="H1553" s="59"/>
      <c r="I1553" s="165"/>
      <c r="J1553" s="59"/>
      <c r="K1553" s="53"/>
      <c r="L1553" s="59"/>
      <c r="M1553" s="59"/>
      <c r="N1553" s="47" t="b">
        <v>0</v>
      </c>
      <c r="O1553" s="59"/>
      <c r="Q1553" s="54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</row>
    <row r="1554">
      <c r="A1554" s="59" t="b">
        <v>0</v>
      </c>
      <c r="B1554" s="54"/>
      <c r="C1554" s="55"/>
      <c r="D1554" s="56"/>
      <c r="E1554" s="40"/>
      <c r="F1554" s="57"/>
      <c r="G1554" s="114"/>
      <c r="H1554" s="59"/>
      <c r="I1554" s="165"/>
      <c r="J1554" s="59"/>
      <c r="K1554" s="53"/>
      <c r="L1554" s="59"/>
      <c r="M1554" s="59"/>
      <c r="N1554" s="47" t="b">
        <v>0</v>
      </c>
      <c r="O1554" s="59"/>
      <c r="Q1554" s="54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</row>
    <row r="1555">
      <c r="A1555" s="59" t="b">
        <v>0</v>
      </c>
      <c r="B1555" s="54"/>
      <c r="C1555" s="55"/>
      <c r="D1555" s="56"/>
      <c r="E1555" s="40"/>
      <c r="F1555" s="57"/>
      <c r="G1555" s="114"/>
      <c r="H1555" s="59"/>
      <c r="I1555" s="165"/>
      <c r="J1555" s="59"/>
      <c r="K1555" s="53"/>
      <c r="L1555" s="59"/>
      <c r="M1555" s="59"/>
      <c r="N1555" s="47" t="b">
        <v>0</v>
      </c>
      <c r="O1555" s="59"/>
      <c r="Q1555" s="54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</row>
    <row r="1556">
      <c r="A1556" s="59" t="b">
        <v>0</v>
      </c>
      <c r="B1556" s="54"/>
      <c r="C1556" s="55"/>
      <c r="D1556" s="56"/>
      <c r="E1556" s="40"/>
      <c r="F1556" s="57"/>
      <c r="G1556" s="114"/>
      <c r="H1556" s="59"/>
      <c r="I1556" s="165"/>
      <c r="J1556" s="59"/>
      <c r="K1556" s="53"/>
      <c r="L1556" s="59"/>
      <c r="M1556" s="59"/>
      <c r="N1556" s="47" t="b">
        <v>0</v>
      </c>
      <c r="O1556" s="59"/>
      <c r="Q1556" s="54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</row>
    <row r="1557">
      <c r="A1557" s="59" t="b">
        <v>0</v>
      </c>
      <c r="B1557" s="54"/>
      <c r="C1557" s="55"/>
      <c r="D1557" s="56"/>
      <c r="E1557" s="40"/>
      <c r="F1557" s="57"/>
      <c r="G1557" s="114"/>
      <c r="H1557" s="59"/>
      <c r="I1557" s="165"/>
      <c r="J1557" s="59"/>
      <c r="K1557" s="53"/>
      <c r="L1557" s="59"/>
      <c r="M1557" s="59"/>
      <c r="N1557" s="47" t="b">
        <v>0</v>
      </c>
      <c r="O1557" s="59"/>
      <c r="Q1557" s="54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</row>
    <row r="1558">
      <c r="A1558" s="59" t="b">
        <v>0</v>
      </c>
      <c r="B1558" s="54"/>
      <c r="C1558" s="55"/>
      <c r="D1558" s="56"/>
      <c r="E1558" s="40"/>
      <c r="F1558" s="57"/>
      <c r="G1558" s="114"/>
      <c r="H1558" s="59"/>
      <c r="I1558" s="165"/>
      <c r="J1558" s="59"/>
      <c r="K1558" s="53"/>
      <c r="L1558" s="59"/>
      <c r="M1558" s="59"/>
      <c r="N1558" s="47" t="b">
        <v>0</v>
      </c>
      <c r="O1558" s="59"/>
      <c r="Q1558" s="54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</row>
    <row r="1559">
      <c r="A1559" s="59" t="b">
        <v>0</v>
      </c>
      <c r="B1559" s="54"/>
      <c r="C1559" s="55"/>
      <c r="D1559" s="56"/>
      <c r="E1559" s="40"/>
      <c r="F1559" s="57"/>
      <c r="G1559" s="114"/>
      <c r="H1559" s="59"/>
      <c r="I1559" s="165"/>
      <c r="J1559" s="59"/>
      <c r="K1559" s="53"/>
      <c r="L1559" s="59"/>
      <c r="M1559" s="59"/>
      <c r="N1559" s="47" t="b">
        <v>0</v>
      </c>
      <c r="O1559" s="59"/>
      <c r="Q1559" s="54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</row>
    <row r="1560">
      <c r="A1560" s="59" t="b">
        <v>0</v>
      </c>
      <c r="B1560" s="54"/>
      <c r="C1560" s="55"/>
      <c r="D1560" s="56"/>
      <c r="E1560" s="40"/>
      <c r="F1560" s="57"/>
      <c r="G1560" s="114"/>
      <c r="H1560" s="59"/>
      <c r="I1560" s="165"/>
      <c r="J1560" s="59"/>
      <c r="K1560" s="53"/>
      <c r="L1560" s="59"/>
      <c r="M1560" s="59"/>
      <c r="N1560" s="47" t="b">
        <v>0</v>
      </c>
      <c r="O1560" s="59"/>
      <c r="Q1560" s="54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</row>
    <row r="1561">
      <c r="A1561" s="59" t="b">
        <v>0</v>
      </c>
      <c r="B1561" s="54"/>
      <c r="C1561" s="55"/>
      <c r="D1561" s="56"/>
      <c r="E1561" s="40"/>
      <c r="F1561" s="57"/>
      <c r="G1561" s="114"/>
      <c r="H1561" s="59"/>
      <c r="I1561" s="165"/>
      <c r="J1561" s="59"/>
      <c r="K1561" s="53"/>
      <c r="L1561" s="59"/>
      <c r="M1561" s="59"/>
      <c r="N1561" s="47" t="b">
        <v>0</v>
      </c>
      <c r="O1561" s="59"/>
      <c r="Q1561" s="54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</row>
    <row r="1562">
      <c r="A1562" s="59" t="b">
        <v>0</v>
      </c>
      <c r="B1562" s="54"/>
      <c r="C1562" s="55"/>
      <c r="D1562" s="56"/>
      <c r="E1562" s="40"/>
      <c r="F1562" s="57"/>
      <c r="G1562" s="114"/>
      <c r="H1562" s="59"/>
      <c r="I1562" s="165"/>
      <c r="J1562" s="59"/>
      <c r="K1562" s="53"/>
      <c r="L1562" s="59"/>
      <c r="M1562" s="59"/>
      <c r="N1562" s="47" t="b">
        <v>0</v>
      </c>
      <c r="O1562" s="59"/>
      <c r="Q1562" s="54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</row>
    <row r="1563">
      <c r="A1563" s="59" t="b">
        <v>0</v>
      </c>
      <c r="B1563" s="54"/>
      <c r="C1563" s="55"/>
      <c r="D1563" s="56"/>
      <c r="E1563" s="40"/>
      <c r="F1563" s="57"/>
      <c r="G1563" s="114"/>
      <c r="H1563" s="59"/>
      <c r="I1563" s="165"/>
      <c r="J1563" s="59"/>
      <c r="K1563" s="53"/>
      <c r="L1563" s="59"/>
      <c r="M1563" s="59"/>
      <c r="N1563" s="47" t="b">
        <v>0</v>
      </c>
      <c r="O1563" s="59"/>
      <c r="Q1563" s="54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</row>
    <row r="1564">
      <c r="A1564" s="59" t="b">
        <v>0</v>
      </c>
      <c r="B1564" s="54"/>
      <c r="C1564" s="55"/>
      <c r="D1564" s="56"/>
      <c r="E1564" s="40"/>
      <c r="F1564" s="57"/>
      <c r="G1564" s="114"/>
      <c r="H1564" s="59"/>
      <c r="I1564" s="165"/>
      <c r="J1564" s="59"/>
      <c r="K1564" s="53"/>
      <c r="L1564" s="59"/>
      <c r="M1564" s="59"/>
      <c r="N1564" s="47" t="b">
        <v>0</v>
      </c>
      <c r="O1564" s="59"/>
      <c r="Q1564" s="54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</row>
    <row r="1565">
      <c r="A1565" s="59" t="b">
        <v>0</v>
      </c>
      <c r="B1565" s="54"/>
      <c r="C1565" s="55"/>
      <c r="D1565" s="56"/>
      <c r="E1565" s="40"/>
      <c r="F1565" s="57"/>
      <c r="G1565" s="114"/>
      <c r="H1565" s="59"/>
      <c r="I1565" s="165"/>
      <c r="J1565" s="59"/>
      <c r="K1565" s="53"/>
      <c r="L1565" s="59"/>
      <c r="M1565" s="59"/>
      <c r="N1565" s="47" t="b">
        <v>0</v>
      </c>
      <c r="O1565" s="59"/>
      <c r="Q1565" s="54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</row>
    <row r="1566">
      <c r="A1566" s="59" t="b">
        <v>0</v>
      </c>
      <c r="B1566" s="54"/>
      <c r="C1566" s="55"/>
      <c r="D1566" s="56"/>
      <c r="E1566" s="40"/>
      <c r="F1566" s="57"/>
      <c r="G1566" s="114"/>
      <c r="H1566" s="59"/>
      <c r="I1566" s="165"/>
      <c r="J1566" s="59"/>
      <c r="K1566" s="53"/>
      <c r="L1566" s="59"/>
      <c r="M1566" s="59"/>
      <c r="N1566" s="47" t="b">
        <v>0</v>
      </c>
      <c r="O1566" s="59"/>
      <c r="Q1566" s="54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</row>
    <row r="1567">
      <c r="A1567" s="59" t="b">
        <v>0</v>
      </c>
      <c r="B1567" s="54"/>
      <c r="C1567" s="55"/>
      <c r="D1567" s="56"/>
      <c r="E1567" s="40"/>
      <c r="F1567" s="57"/>
      <c r="G1567" s="114"/>
      <c r="H1567" s="59"/>
      <c r="I1567" s="165"/>
      <c r="J1567" s="59"/>
      <c r="K1567" s="53"/>
      <c r="L1567" s="59"/>
      <c r="M1567" s="59"/>
      <c r="N1567" s="47" t="b">
        <v>0</v>
      </c>
      <c r="O1567" s="59"/>
      <c r="Q1567" s="54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</row>
    <row r="1568">
      <c r="A1568" s="59" t="b">
        <v>0</v>
      </c>
      <c r="B1568" s="54"/>
      <c r="C1568" s="55"/>
      <c r="D1568" s="56"/>
      <c r="E1568" s="40"/>
      <c r="F1568" s="57"/>
      <c r="G1568" s="114"/>
      <c r="H1568" s="59"/>
      <c r="I1568" s="165"/>
      <c r="J1568" s="59"/>
      <c r="K1568" s="53"/>
      <c r="L1568" s="59"/>
      <c r="M1568" s="59"/>
      <c r="N1568" s="47" t="b">
        <v>0</v>
      </c>
      <c r="O1568" s="59"/>
      <c r="Q1568" s="54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</row>
    <row r="1569">
      <c r="A1569" s="59" t="b">
        <v>0</v>
      </c>
      <c r="B1569" s="54"/>
      <c r="C1569" s="55"/>
      <c r="D1569" s="56"/>
      <c r="E1569" s="40"/>
      <c r="F1569" s="57"/>
      <c r="G1569" s="114"/>
      <c r="H1569" s="59"/>
      <c r="I1569" s="165"/>
      <c r="J1569" s="59"/>
      <c r="K1569" s="53"/>
      <c r="L1569" s="59"/>
      <c r="M1569" s="59"/>
      <c r="N1569" s="47" t="b">
        <v>0</v>
      </c>
      <c r="O1569" s="59"/>
      <c r="Q1569" s="54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</row>
    <row r="1570">
      <c r="A1570" s="59" t="b">
        <v>0</v>
      </c>
      <c r="B1570" s="54"/>
      <c r="C1570" s="55"/>
      <c r="D1570" s="56"/>
      <c r="E1570" s="40"/>
      <c r="F1570" s="57"/>
      <c r="G1570" s="114"/>
      <c r="H1570" s="59"/>
      <c r="I1570" s="165"/>
      <c r="J1570" s="59"/>
      <c r="K1570" s="53"/>
      <c r="L1570" s="59"/>
      <c r="M1570" s="59"/>
      <c r="N1570" s="47" t="b">
        <v>0</v>
      </c>
      <c r="O1570" s="59"/>
      <c r="Q1570" s="54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</row>
    <row r="1571">
      <c r="A1571" s="59" t="b">
        <v>0</v>
      </c>
      <c r="B1571" s="54"/>
      <c r="C1571" s="55"/>
      <c r="D1571" s="56"/>
      <c r="E1571" s="40"/>
      <c r="F1571" s="57"/>
      <c r="G1571" s="114"/>
      <c r="H1571" s="59"/>
      <c r="I1571" s="165"/>
      <c r="J1571" s="59"/>
      <c r="K1571" s="53"/>
      <c r="L1571" s="59"/>
      <c r="M1571" s="59"/>
      <c r="N1571" s="47" t="b">
        <v>0</v>
      </c>
      <c r="O1571" s="59"/>
      <c r="Q1571" s="54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</row>
    <row r="1572">
      <c r="A1572" s="59" t="b">
        <v>0</v>
      </c>
      <c r="B1572" s="54"/>
      <c r="C1572" s="55"/>
      <c r="D1572" s="56"/>
      <c r="E1572" s="40"/>
      <c r="F1572" s="57"/>
      <c r="G1572" s="114"/>
      <c r="H1572" s="59"/>
      <c r="I1572" s="165"/>
      <c r="J1572" s="59"/>
      <c r="K1572" s="53"/>
      <c r="L1572" s="59"/>
      <c r="M1572" s="59"/>
      <c r="N1572" s="47" t="b">
        <v>0</v>
      </c>
      <c r="O1572" s="59"/>
      <c r="Q1572" s="54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</row>
    <row r="1573">
      <c r="A1573" s="59" t="b">
        <v>0</v>
      </c>
      <c r="B1573" s="54"/>
      <c r="C1573" s="55"/>
      <c r="D1573" s="56"/>
      <c r="E1573" s="40"/>
      <c r="F1573" s="57"/>
      <c r="G1573" s="114"/>
      <c r="H1573" s="59"/>
      <c r="I1573" s="165"/>
      <c r="J1573" s="59"/>
      <c r="K1573" s="53"/>
      <c r="L1573" s="59"/>
      <c r="M1573" s="59"/>
      <c r="N1573" s="47" t="b">
        <v>0</v>
      </c>
      <c r="O1573" s="59"/>
      <c r="Q1573" s="54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</row>
    <row r="1574">
      <c r="A1574" s="59" t="b">
        <v>0</v>
      </c>
      <c r="B1574" s="54"/>
      <c r="C1574" s="55"/>
      <c r="D1574" s="56"/>
      <c r="E1574" s="40"/>
      <c r="F1574" s="57"/>
      <c r="G1574" s="114"/>
      <c r="H1574" s="59"/>
      <c r="I1574" s="165"/>
      <c r="J1574" s="59"/>
      <c r="K1574" s="53"/>
      <c r="L1574" s="59"/>
      <c r="M1574" s="59"/>
      <c r="N1574" s="47" t="b">
        <v>0</v>
      </c>
      <c r="O1574" s="59"/>
      <c r="Q1574" s="54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</row>
    <row r="1575">
      <c r="A1575" s="59" t="b">
        <v>0</v>
      </c>
      <c r="B1575" s="54"/>
      <c r="C1575" s="55"/>
      <c r="D1575" s="56"/>
      <c r="E1575" s="40"/>
      <c r="F1575" s="57"/>
      <c r="G1575" s="114"/>
      <c r="H1575" s="59"/>
      <c r="I1575" s="165"/>
      <c r="J1575" s="59"/>
      <c r="K1575" s="53"/>
      <c r="L1575" s="59"/>
      <c r="M1575" s="59"/>
      <c r="N1575" s="47" t="b">
        <v>0</v>
      </c>
      <c r="O1575" s="59"/>
      <c r="Q1575" s="54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</row>
    <row r="1576">
      <c r="A1576" s="59" t="b">
        <v>0</v>
      </c>
      <c r="B1576" s="54"/>
      <c r="C1576" s="55"/>
      <c r="D1576" s="56"/>
      <c r="E1576" s="40"/>
      <c r="F1576" s="57"/>
      <c r="G1576" s="114"/>
      <c r="H1576" s="59"/>
      <c r="I1576" s="165"/>
      <c r="J1576" s="59"/>
      <c r="K1576" s="53"/>
      <c r="L1576" s="59"/>
      <c r="M1576" s="59"/>
      <c r="N1576" s="47" t="b">
        <v>0</v>
      </c>
      <c r="O1576" s="59"/>
      <c r="Q1576" s="54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</row>
    <row r="1577">
      <c r="A1577" s="59" t="b">
        <v>0</v>
      </c>
      <c r="B1577" s="54"/>
      <c r="C1577" s="55"/>
      <c r="D1577" s="56"/>
      <c r="E1577" s="40"/>
      <c r="F1577" s="57"/>
      <c r="G1577" s="114"/>
      <c r="H1577" s="59"/>
      <c r="I1577" s="165"/>
      <c r="J1577" s="59"/>
      <c r="K1577" s="53"/>
      <c r="L1577" s="59"/>
      <c r="M1577" s="59"/>
      <c r="N1577" s="47" t="b">
        <v>0</v>
      </c>
      <c r="O1577" s="59"/>
      <c r="Q1577" s="54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</row>
    <row r="1578">
      <c r="A1578" s="59" t="b">
        <v>0</v>
      </c>
      <c r="B1578" s="54"/>
      <c r="C1578" s="55"/>
      <c r="D1578" s="56"/>
      <c r="E1578" s="40"/>
      <c r="F1578" s="57"/>
      <c r="G1578" s="114"/>
      <c r="H1578" s="59"/>
      <c r="I1578" s="165"/>
      <c r="J1578" s="59"/>
      <c r="K1578" s="53"/>
      <c r="L1578" s="59"/>
      <c r="M1578" s="59"/>
      <c r="N1578" s="47" t="b">
        <v>0</v>
      </c>
      <c r="O1578" s="59"/>
      <c r="Q1578" s="54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</row>
    <row r="1579">
      <c r="A1579" s="59" t="b">
        <v>0</v>
      </c>
      <c r="B1579" s="54"/>
      <c r="C1579" s="55"/>
      <c r="D1579" s="56"/>
      <c r="E1579" s="40"/>
      <c r="F1579" s="57"/>
      <c r="G1579" s="114"/>
      <c r="H1579" s="59"/>
      <c r="I1579" s="165"/>
      <c r="J1579" s="59"/>
      <c r="K1579" s="53"/>
      <c r="L1579" s="59"/>
      <c r="M1579" s="59"/>
      <c r="N1579" s="47" t="b">
        <v>0</v>
      </c>
      <c r="O1579" s="59"/>
      <c r="Q1579" s="54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</row>
    <row r="1580">
      <c r="A1580" s="59" t="b">
        <v>0</v>
      </c>
      <c r="B1580" s="54"/>
      <c r="C1580" s="55"/>
      <c r="D1580" s="56"/>
      <c r="E1580" s="40"/>
      <c r="F1580" s="57"/>
      <c r="G1580" s="114"/>
      <c r="H1580" s="59"/>
      <c r="I1580" s="165"/>
      <c r="J1580" s="59"/>
      <c r="K1580" s="53"/>
      <c r="L1580" s="59"/>
      <c r="M1580" s="59"/>
      <c r="N1580" s="47" t="b">
        <v>0</v>
      </c>
      <c r="O1580" s="59"/>
      <c r="Q1580" s="54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</row>
    <row r="1581">
      <c r="A1581" s="59" t="b">
        <v>0</v>
      </c>
      <c r="B1581" s="54"/>
      <c r="C1581" s="55"/>
      <c r="D1581" s="56"/>
      <c r="E1581" s="40"/>
      <c r="F1581" s="57"/>
      <c r="G1581" s="114"/>
      <c r="H1581" s="59"/>
      <c r="I1581" s="165"/>
      <c r="J1581" s="59"/>
      <c r="K1581" s="53"/>
      <c r="L1581" s="59"/>
      <c r="M1581" s="59"/>
      <c r="N1581" s="47" t="b">
        <v>0</v>
      </c>
      <c r="O1581" s="59"/>
      <c r="Q1581" s="54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</row>
    <row r="1582">
      <c r="A1582" s="59" t="b">
        <v>0</v>
      </c>
      <c r="B1582" s="54"/>
      <c r="C1582" s="55"/>
      <c r="D1582" s="56"/>
      <c r="E1582" s="40"/>
      <c r="F1582" s="57"/>
      <c r="G1582" s="114"/>
      <c r="H1582" s="59"/>
      <c r="I1582" s="165"/>
      <c r="J1582" s="59"/>
      <c r="K1582" s="53"/>
      <c r="L1582" s="59"/>
      <c r="M1582" s="59"/>
      <c r="N1582" s="47" t="b">
        <v>0</v>
      </c>
      <c r="O1582" s="59"/>
      <c r="Q1582" s="54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</row>
    <row r="1583">
      <c r="A1583" s="59" t="b">
        <v>0</v>
      </c>
      <c r="B1583" s="54"/>
      <c r="C1583" s="55"/>
      <c r="D1583" s="56"/>
      <c r="E1583" s="40"/>
      <c r="F1583" s="57"/>
      <c r="G1583" s="114"/>
      <c r="H1583" s="59"/>
      <c r="I1583" s="165"/>
      <c r="J1583" s="59"/>
      <c r="K1583" s="53"/>
      <c r="L1583" s="59"/>
      <c r="M1583" s="59"/>
      <c r="N1583" s="47" t="b">
        <v>0</v>
      </c>
      <c r="O1583" s="59"/>
      <c r="Q1583" s="54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</row>
    <row r="1584">
      <c r="A1584" s="59" t="b">
        <v>0</v>
      </c>
      <c r="B1584" s="54"/>
      <c r="C1584" s="55"/>
      <c r="D1584" s="56"/>
      <c r="E1584" s="40"/>
      <c r="F1584" s="57"/>
      <c r="G1584" s="114"/>
      <c r="H1584" s="59"/>
      <c r="I1584" s="165"/>
      <c r="J1584" s="59"/>
      <c r="K1584" s="53"/>
      <c r="L1584" s="59"/>
      <c r="M1584" s="59"/>
      <c r="N1584" s="47" t="b">
        <v>0</v>
      </c>
      <c r="O1584" s="59"/>
      <c r="Q1584" s="54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</row>
    <row r="1585">
      <c r="A1585" s="59" t="b">
        <v>0</v>
      </c>
      <c r="B1585" s="54"/>
      <c r="C1585" s="55"/>
      <c r="D1585" s="56"/>
      <c r="E1585" s="40"/>
      <c r="F1585" s="57"/>
      <c r="G1585" s="114"/>
      <c r="H1585" s="59"/>
      <c r="I1585" s="165"/>
      <c r="J1585" s="59"/>
      <c r="K1585" s="53"/>
      <c r="L1585" s="59"/>
      <c r="M1585" s="59"/>
      <c r="N1585" s="47" t="b">
        <v>0</v>
      </c>
      <c r="O1585" s="59"/>
      <c r="Q1585" s="54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</row>
    <row r="1586">
      <c r="A1586" s="59" t="b">
        <v>0</v>
      </c>
      <c r="B1586" s="54"/>
      <c r="C1586" s="55"/>
      <c r="D1586" s="56"/>
      <c r="E1586" s="40"/>
      <c r="F1586" s="57"/>
      <c r="G1586" s="114"/>
      <c r="H1586" s="59"/>
      <c r="I1586" s="165"/>
      <c r="J1586" s="59"/>
      <c r="K1586" s="53"/>
      <c r="L1586" s="59"/>
      <c r="M1586" s="59"/>
      <c r="N1586" s="47" t="b">
        <v>0</v>
      </c>
      <c r="O1586" s="59"/>
      <c r="Q1586" s="54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</row>
    <row r="1587">
      <c r="A1587" s="59" t="b">
        <v>0</v>
      </c>
      <c r="B1587" s="54"/>
      <c r="C1587" s="55"/>
      <c r="D1587" s="56"/>
      <c r="E1587" s="40"/>
      <c r="F1587" s="57"/>
      <c r="G1587" s="114"/>
      <c r="H1587" s="59"/>
      <c r="I1587" s="165"/>
      <c r="J1587" s="59"/>
      <c r="K1587" s="53"/>
      <c r="L1587" s="59"/>
      <c r="M1587" s="59"/>
      <c r="N1587" s="47" t="b">
        <v>0</v>
      </c>
      <c r="O1587" s="59"/>
      <c r="Q1587" s="54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</row>
    <row r="1588">
      <c r="A1588" s="59" t="b">
        <v>0</v>
      </c>
      <c r="B1588" s="54"/>
      <c r="C1588" s="55"/>
      <c r="D1588" s="56"/>
      <c r="E1588" s="40"/>
      <c r="F1588" s="57"/>
      <c r="G1588" s="114"/>
      <c r="H1588" s="59"/>
      <c r="I1588" s="165"/>
      <c r="J1588" s="59"/>
      <c r="K1588" s="53"/>
      <c r="L1588" s="59"/>
      <c r="M1588" s="59"/>
      <c r="N1588" s="47" t="b">
        <v>0</v>
      </c>
      <c r="O1588" s="59"/>
      <c r="Q1588" s="54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</row>
    <row r="1589">
      <c r="A1589" s="59" t="b">
        <v>0</v>
      </c>
      <c r="B1589" s="54"/>
      <c r="C1589" s="55"/>
      <c r="D1589" s="56"/>
      <c r="E1589" s="40"/>
      <c r="F1589" s="57"/>
      <c r="G1589" s="114"/>
      <c r="H1589" s="59"/>
      <c r="I1589" s="165"/>
      <c r="J1589" s="59"/>
      <c r="K1589" s="53"/>
      <c r="L1589" s="59"/>
      <c r="M1589" s="59"/>
      <c r="N1589" s="47" t="b">
        <v>0</v>
      </c>
      <c r="O1589" s="59"/>
      <c r="Q1589" s="54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</row>
    <row r="1590">
      <c r="A1590" s="59" t="b">
        <v>0</v>
      </c>
      <c r="B1590" s="54"/>
      <c r="C1590" s="55"/>
      <c r="D1590" s="56"/>
      <c r="E1590" s="40"/>
      <c r="F1590" s="57"/>
      <c r="G1590" s="114"/>
      <c r="H1590" s="59"/>
      <c r="I1590" s="165"/>
      <c r="J1590" s="59"/>
      <c r="K1590" s="53"/>
      <c r="L1590" s="59"/>
      <c r="M1590" s="59"/>
      <c r="N1590" s="47" t="b">
        <v>0</v>
      </c>
      <c r="O1590" s="59"/>
      <c r="Q1590" s="54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</row>
    <row r="1591">
      <c r="A1591" s="59" t="b">
        <v>0</v>
      </c>
      <c r="B1591" s="54"/>
      <c r="C1591" s="55"/>
      <c r="D1591" s="56"/>
      <c r="E1591" s="40"/>
      <c r="F1591" s="57"/>
      <c r="G1591" s="114"/>
      <c r="H1591" s="59"/>
      <c r="I1591" s="165"/>
      <c r="J1591" s="59"/>
      <c r="K1591" s="53"/>
      <c r="L1591" s="59"/>
      <c r="M1591" s="59"/>
      <c r="N1591" s="47" t="b">
        <v>0</v>
      </c>
      <c r="O1591" s="59"/>
      <c r="Q1591" s="54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</row>
    <row r="1592">
      <c r="A1592" s="59" t="b">
        <v>0</v>
      </c>
      <c r="B1592" s="54"/>
      <c r="C1592" s="55"/>
      <c r="D1592" s="56"/>
      <c r="E1592" s="40"/>
      <c r="F1592" s="57"/>
      <c r="G1592" s="114"/>
      <c r="H1592" s="59"/>
      <c r="I1592" s="165"/>
      <c r="J1592" s="59"/>
      <c r="K1592" s="53"/>
      <c r="L1592" s="59"/>
      <c r="M1592" s="59"/>
      <c r="N1592" s="47" t="b">
        <v>0</v>
      </c>
      <c r="O1592" s="59"/>
      <c r="Q1592" s="54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</row>
    <row r="1593">
      <c r="A1593" s="59" t="b">
        <v>0</v>
      </c>
      <c r="B1593" s="54"/>
      <c r="C1593" s="55"/>
      <c r="D1593" s="56"/>
      <c r="E1593" s="40"/>
      <c r="F1593" s="57"/>
      <c r="G1593" s="114"/>
      <c r="H1593" s="59"/>
      <c r="I1593" s="165"/>
      <c r="J1593" s="59"/>
      <c r="K1593" s="53"/>
      <c r="L1593" s="59"/>
      <c r="M1593" s="59"/>
      <c r="N1593" s="47" t="b">
        <v>0</v>
      </c>
      <c r="O1593" s="59"/>
      <c r="Q1593" s="54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</row>
    <row r="1594">
      <c r="A1594" s="59" t="b">
        <v>0</v>
      </c>
      <c r="B1594" s="54"/>
      <c r="C1594" s="55"/>
      <c r="D1594" s="56"/>
      <c r="E1594" s="40"/>
      <c r="F1594" s="57"/>
      <c r="G1594" s="114"/>
      <c r="H1594" s="59"/>
      <c r="I1594" s="165"/>
      <c r="J1594" s="59"/>
      <c r="K1594" s="53"/>
      <c r="L1594" s="59"/>
      <c r="M1594" s="59"/>
      <c r="N1594" s="47" t="b">
        <v>0</v>
      </c>
      <c r="O1594" s="59"/>
      <c r="Q1594" s="54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</row>
  </sheetData>
  <autoFilter ref="$A$18:$R$571">
    <sortState ref="A18:R571">
      <sortCondition ref="C18:C571"/>
    </sortState>
  </autoFilter>
  <mergeCells count="1">
    <mergeCell ref="A17:R17"/>
  </mergeCells>
  <conditionalFormatting sqref="C124">
    <cfRule type="expression" dxfId="0" priority="1" operator="containsText">
      <formula>NOT(ISERROR(SEARCH(($C125="IMPRESSÃO"),(C124))))</formula>
    </cfRule>
  </conditionalFormatting>
  <conditionalFormatting sqref="C124">
    <cfRule type="expression" dxfId="1" priority="2" operator="containsText">
      <formula>NOT(ISERROR(SEARCH(($C125="IMPRESSÃO"),(C124))))</formula>
    </cfRule>
  </conditionalFormatting>
  <conditionalFormatting sqref="K19:K201">
    <cfRule type="notContainsBlanks" dxfId="0" priority="3">
      <formula>LEN(TRIM(K19))&gt;0</formula>
    </cfRule>
  </conditionalFormatting>
  <dataValidations>
    <dataValidation type="list" allowBlank="1" showErrorMessage="1" sqref="K19:K366 J367:K367 K368:K589">
      <formula1>"Sem álbum,AGUARDANDO FOTO,EM DIAGRAMAÇÃO,DIAGRAMADO,Aguardando Aprovação,Com Modificações,Aprovado,IMPRESSÃO,Finalizado"</formula1>
    </dataValidation>
    <dataValidation type="list" allowBlank="1" showErrorMessage="1" sqref="M19:M1594">
      <formula1>"EM DIAGRAMAÇÃO,EM PRODUÇÃO,ESTOJO ENTREGUE,DIAGRAMADO"</formula1>
    </dataValidation>
    <dataValidation type="list" allowBlank="1" showErrorMessage="1" sqref="F19:F571">
      <formula1>"Studio Day Moscou 30x20,Studio Day Berlim 24x34,Essencial Book 20x20,Bali 20X20,Prime Book 30X20,Diamond Book 24X34,Moscou 30X20,Pacote Berlim 24x34 "</formula1>
    </dataValidation>
    <dataValidation type="list" allowBlank="1" showErrorMessage="1" sqref="L19:L309 L311:L1594">
      <formula1>"Lote 1,Lote 2,Lote 3,Lote 4,Lote 5,Lote 6,Lote 7,Lote 8,Lote 9,Lote 10,Lote 11,Lote 12,Lote 13,Lote 14,Lote 15,Lote 16,Lote 17,Lote 18,Lote 19,Lote 20"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</cols>
  <sheetData>
    <row r="1">
      <c r="A1" s="166" t="s">
        <v>35</v>
      </c>
      <c r="B1" s="166">
        <v>964.0</v>
      </c>
      <c r="C1" s="167">
        <v>84013.0</v>
      </c>
      <c r="D1" s="166" t="s">
        <v>36</v>
      </c>
      <c r="E1" s="166" t="s">
        <v>37</v>
      </c>
      <c r="F1" s="166">
        <v>6.3637228E7</v>
      </c>
      <c r="G1" s="166" t="s">
        <v>38</v>
      </c>
      <c r="I1" s="166" t="s">
        <v>6</v>
      </c>
    </row>
    <row r="2">
      <c r="A2" s="168" t="s">
        <v>55</v>
      </c>
      <c r="B2" s="166">
        <v>970.0</v>
      </c>
      <c r="C2" s="167">
        <v>92164.0</v>
      </c>
      <c r="D2" s="166" t="s">
        <v>56</v>
      </c>
      <c r="E2" s="166" t="s">
        <v>57</v>
      </c>
      <c r="F2" s="166"/>
      <c r="G2" s="166" t="s">
        <v>58</v>
      </c>
      <c r="I2" s="166" t="s">
        <v>6</v>
      </c>
    </row>
    <row r="3">
      <c r="A3" s="166" t="s">
        <v>59</v>
      </c>
      <c r="B3" s="166">
        <v>1099.0</v>
      </c>
      <c r="C3" s="167">
        <v>95260.0</v>
      </c>
      <c r="D3" s="166" t="s">
        <v>44</v>
      </c>
      <c r="E3" s="166" t="s">
        <v>60</v>
      </c>
      <c r="F3" s="166"/>
      <c r="G3" s="166" t="s">
        <v>61</v>
      </c>
      <c r="I3" s="166" t="s">
        <v>6</v>
      </c>
    </row>
    <row r="4">
      <c r="A4" s="168" t="s">
        <v>70</v>
      </c>
      <c r="B4" s="166">
        <v>970.0</v>
      </c>
      <c r="C4" s="167">
        <v>94451.0</v>
      </c>
      <c r="D4" s="166" t="s">
        <v>40</v>
      </c>
      <c r="E4" s="166" t="s">
        <v>71</v>
      </c>
      <c r="F4" s="166"/>
      <c r="G4" s="166" t="s">
        <v>72</v>
      </c>
      <c r="I4" s="166" t="s">
        <v>6</v>
      </c>
    </row>
    <row r="5">
      <c r="A5" s="166" t="s">
        <v>82</v>
      </c>
      <c r="B5" s="166">
        <v>1084.0</v>
      </c>
      <c r="C5" s="167">
        <v>85926.0</v>
      </c>
      <c r="D5" s="166" t="s">
        <v>66</v>
      </c>
      <c r="E5" s="166" t="s">
        <v>37</v>
      </c>
      <c r="F5" s="166"/>
      <c r="G5" s="166" t="s">
        <v>83</v>
      </c>
      <c r="I5" s="166" t="s">
        <v>6</v>
      </c>
    </row>
    <row r="6">
      <c r="A6" s="168" t="s">
        <v>104</v>
      </c>
      <c r="B6" s="166">
        <v>896.0</v>
      </c>
      <c r="C6" s="167">
        <v>87367.0</v>
      </c>
      <c r="D6" s="166" t="s">
        <v>40</v>
      </c>
      <c r="E6" s="166" t="s">
        <v>52</v>
      </c>
      <c r="F6" s="166"/>
      <c r="G6" s="166" t="s">
        <v>105</v>
      </c>
      <c r="I6" s="166" t="s">
        <v>6</v>
      </c>
    </row>
    <row r="7">
      <c r="A7" s="168" t="s">
        <v>116</v>
      </c>
      <c r="B7" s="166">
        <v>972.0</v>
      </c>
      <c r="C7" s="167">
        <v>95114.0</v>
      </c>
      <c r="D7" s="166" t="s">
        <v>40</v>
      </c>
      <c r="E7" s="166" t="s">
        <v>117</v>
      </c>
      <c r="F7" s="166"/>
      <c r="G7" s="166" t="s">
        <v>118</v>
      </c>
      <c r="I7" s="166" t="s">
        <v>6</v>
      </c>
    </row>
    <row r="8">
      <c r="A8" s="168" t="s">
        <v>122</v>
      </c>
      <c r="B8" s="166">
        <v>1172.0</v>
      </c>
      <c r="C8" s="167">
        <v>85250.0</v>
      </c>
      <c r="D8" s="166" t="s">
        <v>36</v>
      </c>
      <c r="E8" s="166" t="s">
        <v>123</v>
      </c>
      <c r="F8" s="166"/>
      <c r="G8" s="166" t="s">
        <v>124</v>
      </c>
      <c r="I8" s="166" t="s">
        <v>6</v>
      </c>
    </row>
    <row r="9">
      <c r="A9" s="168" t="s">
        <v>133</v>
      </c>
      <c r="B9" s="166">
        <v>968.0</v>
      </c>
      <c r="C9" s="167">
        <v>86778.0</v>
      </c>
      <c r="D9" s="166" t="s">
        <v>36</v>
      </c>
      <c r="E9" s="166" t="s">
        <v>134</v>
      </c>
      <c r="F9" s="166"/>
      <c r="G9" s="166" t="s">
        <v>135</v>
      </c>
      <c r="I9" s="166" t="s">
        <v>6</v>
      </c>
    </row>
    <row r="10">
      <c r="A10" s="168" t="s">
        <v>138</v>
      </c>
      <c r="B10" s="166">
        <v>996.0</v>
      </c>
      <c r="C10" s="167">
        <v>86123.0</v>
      </c>
      <c r="D10" s="166" t="s">
        <v>56</v>
      </c>
      <c r="E10" s="166" t="s">
        <v>45</v>
      </c>
      <c r="F10" s="166"/>
      <c r="G10" s="166" t="s">
        <v>139</v>
      </c>
      <c r="I10" s="166" t="s">
        <v>6</v>
      </c>
    </row>
    <row r="11">
      <c r="A11" s="168" t="s">
        <v>140</v>
      </c>
      <c r="B11" s="166">
        <v>1066.0</v>
      </c>
      <c r="C11" s="167">
        <v>70391.0</v>
      </c>
      <c r="D11" s="166" t="s">
        <v>40</v>
      </c>
      <c r="E11" s="166" t="s">
        <v>45</v>
      </c>
      <c r="F11" s="166"/>
      <c r="G11" s="166" t="s">
        <v>141</v>
      </c>
      <c r="I11" s="166" t="s">
        <v>6</v>
      </c>
    </row>
    <row r="12">
      <c r="A12" s="168" t="s">
        <v>147</v>
      </c>
      <c r="B12" s="166">
        <v>1172.0</v>
      </c>
      <c r="C12" s="167">
        <v>86106.0</v>
      </c>
      <c r="D12" s="166" t="s">
        <v>66</v>
      </c>
      <c r="E12" s="166" t="s">
        <v>63</v>
      </c>
      <c r="F12" s="166"/>
      <c r="G12" s="166" t="s">
        <v>148</v>
      </c>
      <c r="I12" s="166" t="s">
        <v>6</v>
      </c>
    </row>
    <row r="13">
      <c r="A13" s="168" t="s">
        <v>185</v>
      </c>
      <c r="B13" s="166">
        <v>1179.0</v>
      </c>
      <c r="C13" s="167">
        <v>94498.0</v>
      </c>
      <c r="D13" s="166" t="s">
        <v>56</v>
      </c>
      <c r="E13" s="166" t="s">
        <v>67</v>
      </c>
      <c r="F13" s="166"/>
      <c r="G13" s="166" t="s">
        <v>186</v>
      </c>
      <c r="I13" s="166" t="s">
        <v>6</v>
      </c>
    </row>
    <row r="14">
      <c r="A14" s="168" t="s">
        <v>200</v>
      </c>
      <c r="B14" s="166">
        <v>968.0</v>
      </c>
      <c r="C14" s="167">
        <v>87996.0</v>
      </c>
      <c r="D14" s="166" t="s">
        <v>40</v>
      </c>
      <c r="E14" s="166" t="s">
        <v>52</v>
      </c>
      <c r="F14" s="166"/>
      <c r="G14" s="166" t="s">
        <v>201</v>
      </c>
      <c r="I14" s="166" t="s">
        <v>6</v>
      </c>
    </row>
    <row r="15">
      <c r="A15" s="168" t="s">
        <v>209</v>
      </c>
      <c r="B15" s="166">
        <v>1177.0</v>
      </c>
      <c r="C15" s="167">
        <v>88247.0</v>
      </c>
      <c r="D15" s="166" t="s">
        <v>74</v>
      </c>
      <c r="E15" s="166" t="s">
        <v>37</v>
      </c>
      <c r="F15" s="166"/>
      <c r="G15" s="166" t="s">
        <v>210</v>
      </c>
      <c r="I15" s="166" t="s">
        <v>6</v>
      </c>
    </row>
    <row r="16">
      <c r="A16" s="166" t="s">
        <v>213</v>
      </c>
      <c r="B16" s="166">
        <v>994.0</v>
      </c>
      <c r="C16" s="167">
        <v>87901.0</v>
      </c>
      <c r="D16" s="166" t="s">
        <v>36</v>
      </c>
      <c r="E16" s="166" t="s">
        <v>214</v>
      </c>
      <c r="F16" s="166"/>
      <c r="G16" s="166" t="s">
        <v>215</v>
      </c>
      <c r="I16" s="166" t="s">
        <v>6</v>
      </c>
    </row>
    <row r="17">
      <c r="A17" s="168" t="s">
        <v>241</v>
      </c>
      <c r="B17" s="166">
        <v>953.0</v>
      </c>
      <c r="C17" s="167">
        <v>82758.0</v>
      </c>
      <c r="D17" s="166" t="s">
        <v>56</v>
      </c>
      <c r="E17" s="166" t="s">
        <v>57</v>
      </c>
      <c r="F17" s="166"/>
      <c r="G17" s="166" t="s">
        <v>242</v>
      </c>
      <c r="I17" s="166" t="s">
        <v>6</v>
      </c>
    </row>
    <row r="18">
      <c r="A18" s="168" t="s">
        <v>254</v>
      </c>
      <c r="B18" s="166">
        <v>957.0</v>
      </c>
      <c r="C18" s="167">
        <v>59555.0</v>
      </c>
      <c r="D18" s="166" t="s">
        <v>36</v>
      </c>
      <c r="E18" s="166" t="s">
        <v>255</v>
      </c>
      <c r="F18" s="166"/>
      <c r="G18" s="166" t="s">
        <v>256</v>
      </c>
      <c r="I18" s="166" t="s">
        <v>6</v>
      </c>
    </row>
    <row r="19">
      <c r="A19" s="168" t="s">
        <v>259</v>
      </c>
      <c r="B19" s="166">
        <v>752.0</v>
      </c>
      <c r="C19" s="167">
        <v>91805.0</v>
      </c>
      <c r="D19" s="166" t="s">
        <v>40</v>
      </c>
      <c r="E19" s="166" t="s">
        <v>57</v>
      </c>
      <c r="F19" s="166"/>
      <c r="G19" s="166" t="s">
        <v>260</v>
      </c>
      <c r="I19" s="166" t="s">
        <v>6</v>
      </c>
    </row>
    <row r="20">
      <c r="A20" s="166" t="s">
        <v>263</v>
      </c>
      <c r="B20" s="166">
        <v>957.0</v>
      </c>
      <c r="C20" s="167">
        <v>87222.0</v>
      </c>
      <c r="D20" s="169" t="s">
        <v>36</v>
      </c>
      <c r="E20" s="166" t="s">
        <v>45</v>
      </c>
      <c r="F20" s="166"/>
      <c r="G20" s="166" t="s">
        <v>264</v>
      </c>
      <c r="I20" s="166" t="s">
        <v>6</v>
      </c>
    </row>
    <row r="21">
      <c r="A21" s="170" t="s">
        <v>271</v>
      </c>
      <c r="B21" s="171">
        <v>1172.0</v>
      </c>
      <c r="C21" s="167">
        <v>89932.0</v>
      </c>
      <c r="D21" s="171" t="s">
        <v>44</v>
      </c>
      <c r="E21" s="166" t="s">
        <v>154</v>
      </c>
      <c r="F21" s="166"/>
      <c r="G21" s="166" t="s">
        <v>272</v>
      </c>
      <c r="I21" s="166" t="s">
        <v>6</v>
      </c>
    </row>
    <row r="22">
      <c r="A22" s="166" t="s">
        <v>278</v>
      </c>
      <c r="B22" s="166">
        <v>953.0</v>
      </c>
      <c r="C22" s="167">
        <v>88642.0</v>
      </c>
      <c r="D22" s="166" t="s">
        <v>36</v>
      </c>
      <c r="E22" s="166" t="s">
        <v>71</v>
      </c>
      <c r="F22" s="166"/>
      <c r="G22" s="166" t="s">
        <v>279</v>
      </c>
      <c r="I22" s="166" t="s">
        <v>6</v>
      </c>
    </row>
    <row r="23">
      <c r="A23" s="166" t="s">
        <v>280</v>
      </c>
      <c r="B23" s="166">
        <v>957.0</v>
      </c>
      <c r="C23" s="167">
        <v>88691.0</v>
      </c>
      <c r="D23" s="166" t="s">
        <v>36</v>
      </c>
      <c r="E23" s="166" t="s">
        <v>57</v>
      </c>
      <c r="F23" s="166"/>
      <c r="G23" s="166" t="s">
        <v>281</v>
      </c>
      <c r="I23" s="166" t="s">
        <v>6</v>
      </c>
    </row>
    <row r="24">
      <c r="A24" s="166" t="s">
        <v>310</v>
      </c>
      <c r="B24" s="166">
        <v>1172.0</v>
      </c>
      <c r="C24" s="167">
        <v>87086.0</v>
      </c>
      <c r="D24" s="166" t="s">
        <v>66</v>
      </c>
      <c r="E24" s="166" t="s">
        <v>37</v>
      </c>
      <c r="F24" s="166"/>
      <c r="G24" s="166" t="s">
        <v>311</v>
      </c>
      <c r="I24" s="166" t="s">
        <v>6</v>
      </c>
    </row>
    <row r="25">
      <c r="A25" s="166" t="s">
        <v>321</v>
      </c>
      <c r="B25" s="166">
        <v>1084.0</v>
      </c>
      <c r="C25" s="167">
        <v>85972.0</v>
      </c>
      <c r="D25" s="166" t="s">
        <v>36</v>
      </c>
      <c r="E25" s="166" t="s">
        <v>37</v>
      </c>
      <c r="F25" s="166"/>
      <c r="G25" s="166" t="s">
        <v>322</v>
      </c>
      <c r="I25" s="166" t="s">
        <v>6</v>
      </c>
    </row>
    <row r="26">
      <c r="A26" s="168" t="s">
        <v>323</v>
      </c>
      <c r="B26" s="166">
        <v>1172.0</v>
      </c>
      <c r="C26" s="167">
        <v>86030.0</v>
      </c>
      <c r="D26" s="171" t="s">
        <v>36</v>
      </c>
      <c r="E26" s="166" t="s">
        <v>57</v>
      </c>
      <c r="F26" s="166"/>
      <c r="G26" s="166" t="s">
        <v>324</v>
      </c>
      <c r="I26" s="166" t="s">
        <v>6</v>
      </c>
    </row>
    <row r="27">
      <c r="A27" s="166" t="s">
        <v>335</v>
      </c>
      <c r="B27" s="166">
        <v>957.0</v>
      </c>
      <c r="C27" s="167">
        <v>86855.0</v>
      </c>
      <c r="D27" s="166" t="s">
        <v>66</v>
      </c>
      <c r="E27" s="166" t="s">
        <v>45</v>
      </c>
      <c r="F27" s="166"/>
      <c r="G27" s="166" t="s">
        <v>336</v>
      </c>
      <c r="I27" s="166" t="s">
        <v>6</v>
      </c>
    </row>
    <row r="28">
      <c r="A28" s="166" t="s">
        <v>356</v>
      </c>
      <c r="B28" s="166">
        <v>1084.0</v>
      </c>
      <c r="C28" s="167">
        <v>88919.0</v>
      </c>
      <c r="D28" s="169" t="s">
        <v>36</v>
      </c>
      <c r="E28" s="166" t="s">
        <v>41</v>
      </c>
      <c r="F28" s="166"/>
      <c r="G28" s="166" t="s">
        <v>357</v>
      </c>
      <c r="I28" s="166" t="s">
        <v>6</v>
      </c>
    </row>
    <row r="29">
      <c r="A29" s="166" t="s">
        <v>378</v>
      </c>
      <c r="B29" s="166">
        <v>971.0</v>
      </c>
      <c r="C29" s="167">
        <v>85088.0</v>
      </c>
      <c r="D29" s="166" t="s">
        <v>44</v>
      </c>
      <c r="E29" s="166" t="s">
        <v>52</v>
      </c>
      <c r="F29" s="166"/>
      <c r="G29" s="166" t="s">
        <v>379</v>
      </c>
      <c r="I29" s="166" t="s">
        <v>6</v>
      </c>
    </row>
    <row r="30">
      <c r="A30" s="168" t="s">
        <v>388</v>
      </c>
      <c r="B30" s="166">
        <v>1172.0</v>
      </c>
      <c r="C30" s="167">
        <v>89014.0</v>
      </c>
      <c r="D30" s="166" t="s">
        <v>66</v>
      </c>
      <c r="E30" s="166" t="s">
        <v>87</v>
      </c>
      <c r="F30" s="166"/>
      <c r="G30" s="166" t="s">
        <v>389</v>
      </c>
      <c r="I30" s="166" t="s">
        <v>6</v>
      </c>
    </row>
    <row r="31">
      <c r="A31" s="166" t="s">
        <v>407</v>
      </c>
      <c r="B31" s="166">
        <v>971.0</v>
      </c>
      <c r="C31" s="167">
        <v>87068.0</v>
      </c>
      <c r="D31" s="166" t="s">
        <v>74</v>
      </c>
      <c r="E31" s="166" t="s">
        <v>110</v>
      </c>
      <c r="F31" s="166"/>
      <c r="G31" s="166" t="s">
        <v>408</v>
      </c>
      <c r="I31" s="166" t="s">
        <v>6</v>
      </c>
    </row>
    <row r="32">
      <c r="A32" s="166" t="s">
        <v>411</v>
      </c>
      <c r="B32" s="166">
        <v>1177.0</v>
      </c>
      <c r="C32" s="167">
        <v>87341.0</v>
      </c>
      <c r="D32" s="169" t="s">
        <v>36</v>
      </c>
      <c r="E32" s="166" t="s">
        <v>52</v>
      </c>
      <c r="F32" s="166"/>
      <c r="G32" s="166" t="s">
        <v>412</v>
      </c>
      <c r="I32" s="166" t="s">
        <v>6</v>
      </c>
    </row>
    <row r="33">
      <c r="A33" s="168" t="s">
        <v>435</v>
      </c>
      <c r="B33" s="166">
        <v>968.0</v>
      </c>
      <c r="C33" s="167">
        <v>84984.0</v>
      </c>
      <c r="D33" s="166" t="s">
        <v>36</v>
      </c>
      <c r="E33" s="166" t="s">
        <v>57</v>
      </c>
      <c r="F33" s="166"/>
      <c r="G33" s="166" t="s">
        <v>436</v>
      </c>
      <c r="I33" s="166" t="s">
        <v>6</v>
      </c>
    </row>
    <row r="34">
      <c r="A34" s="166" t="s">
        <v>453</v>
      </c>
      <c r="B34" s="166">
        <v>1172.0</v>
      </c>
      <c r="C34" s="167">
        <v>88179.0</v>
      </c>
      <c r="D34" s="166" t="s">
        <v>66</v>
      </c>
      <c r="E34" s="166" t="s">
        <v>207</v>
      </c>
      <c r="F34" s="166"/>
      <c r="G34" s="166" t="s">
        <v>454</v>
      </c>
      <c r="I34" s="166" t="s">
        <v>6</v>
      </c>
    </row>
    <row r="35">
      <c r="A35" s="168" t="s">
        <v>455</v>
      </c>
      <c r="B35" s="166">
        <v>968.0</v>
      </c>
      <c r="C35" s="167">
        <v>86700.0</v>
      </c>
      <c r="D35" s="166" t="s">
        <v>36</v>
      </c>
      <c r="E35" s="166" t="s">
        <v>456</v>
      </c>
      <c r="F35" s="166"/>
      <c r="G35" s="166" t="s">
        <v>457</v>
      </c>
      <c r="I35" s="166" t="s">
        <v>6</v>
      </c>
    </row>
    <row r="36">
      <c r="A36" s="168" t="s">
        <v>470</v>
      </c>
      <c r="B36" s="166">
        <v>970.0</v>
      </c>
      <c r="C36" s="167">
        <v>93931.0</v>
      </c>
      <c r="D36" s="166" t="s">
        <v>44</v>
      </c>
      <c r="E36" s="166" t="s">
        <v>168</v>
      </c>
      <c r="F36" s="166"/>
      <c r="G36" s="166" t="s">
        <v>471</v>
      </c>
      <c r="I36" s="166" t="s">
        <v>6</v>
      </c>
    </row>
    <row r="37">
      <c r="A37" s="168" t="s">
        <v>496</v>
      </c>
      <c r="B37" s="166">
        <v>1172.0</v>
      </c>
      <c r="C37" s="167">
        <v>87675.0</v>
      </c>
      <c r="D37" s="166" t="s">
        <v>66</v>
      </c>
      <c r="E37" s="166" t="s">
        <v>207</v>
      </c>
      <c r="F37" s="166"/>
      <c r="G37" s="166" t="s">
        <v>497</v>
      </c>
      <c r="I37" s="166" t="s">
        <v>6</v>
      </c>
    </row>
    <row r="38">
      <c r="A38" s="166" t="s">
        <v>498</v>
      </c>
      <c r="B38" s="166">
        <v>972.0</v>
      </c>
      <c r="C38" s="167">
        <v>93710.0</v>
      </c>
      <c r="D38" s="166" t="s">
        <v>56</v>
      </c>
      <c r="E38" s="166" t="s">
        <v>95</v>
      </c>
      <c r="F38" s="166"/>
      <c r="G38" s="166" t="s">
        <v>499</v>
      </c>
      <c r="I38" s="166" t="s">
        <v>6</v>
      </c>
    </row>
    <row r="39">
      <c r="A39" s="168" t="s">
        <v>506</v>
      </c>
      <c r="B39" s="166">
        <v>953.0</v>
      </c>
      <c r="C39" s="167">
        <v>88184.0</v>
      </c>
      <c r="D39" s="166" t="s">
        <v>66</v>
      </c>
      <c r="E39" s="166" t="s">
        <v>71</v>
      </c>
      <c r="F39" s="166"/>
      <c r="G39" s="166" t="s">
        <v>507</v>
      </c>
      <c r="I39" s="166" t="s">
        <v>6</v>
      </c>
    </row>
    <row r="40">
      <c r="A40" s="168" t="s">
        <v>528</v>
      </c>
      <c r="B40" s="166">
        <v>961.0</v>
      </c>
      <c r="C40" s="167">
        <v>74429.0</v>
      </c>
      <c r="D40" s="166" t="s">
        <v>44</v>
      </c>
      <c r="E40" s="166" t="s">
        <v>45</v>
      </c>
      <c r="F40" s="166"/>
      <c r="G40" s="166" t="s">
        <v>529</v>
      </c>
      <c r="I40" s="166" t="s">
        <v>6</v>
      </c>
    </row>
    <row r="41">
      <c r="A41" s="168" t="s">
        <v>546</v>
      </c>
      <c r="B41" s="166">
        <v>1203.0</v>
      </c>
      <c r="C41" s="166">
        <v>92153.0</v>
      </c>
      <c r="D41" s="166" t="s">
        <v>40</v>
      </c>
      <c r="E41" s="166" t="s">
        <v>91</v>
      </c>
      <c r="F41" s="166"/>
      <c r="G41" s="166" t="s">
        <v>547</v>
      </c>
      <c r="I41" s="166" t="s">
        <v>6</v>
      </c>
    </row>
    <row r="42">
      <c r="A42" s="168" t="s">
        <v>562</v>
      </c>
      <c r="B42" s="166">
        <v>961.0</v>
      </c>
      <c r="C42" s="167">
        <v>60819.0</v>
      </c>
      <c r="D42" s="166" t="s">
        <v>56</v>
      </c>
      <c r="E42" s="166" t="s">
        <v>45</v>
      </c>
      <c r="F42" s="166"/>
      <c r="G42" s="166" t="s">
        <v>563</v>
      </c>
      <c r="I42" s="166" t="s">
        <v>6</v>
      </c>
    </row>
    <row r="43">
      <c r="A43" s="168" t="s">
        <v>566</v>
      </c>
      <c r="B43" s="166">
        <v>971.0</v>
      </c>
      <c r="C43" s="167">
        <v>85041.0</v>
      </c>
      <c r="D43" s="166" t="s">
        <v>40</v>
      </c>
      <c r="E43" s="166" t="s">
        <v>52</v>
      </c>
      <c r="F43" s="166"/>
      <c r="G43" s="166" t="s">
        <v>567</v>
      </c>
      <c r="I43" s="166" t="s">
        <v>6</v>
      </c>
    </row>
    <row r="44">
      <c r="A44" s="166" t="s">
        <v>588</v>
      </c>
      <c r="B44" s="166">
        <v>977.0</v>
      </c>
      <c r="C44" s="167">
        <v>88916.0</v>
      </c>
      <c r="D44" s="166" t="s">
        <v>36</v>
      </c>
      <c r="E44" s="166" t="s">
        <v>274</v>
      </c>
      <c r="F44" s="166"/>
      <c r="G44" s="166" t="s">
        <v>589</v>
      </c>
      <c r="I44" s="166" t="s">
        <v>6</v>
      </c>
    </row>
    <row r="45">
      <c r="A45" s="166" t="s">
        <v>610</v>
      </c>
      <c r="B45" s="166">
        <v>962.0</v>
      </c>
      <c r="C45" s="167">
        <v>94399.0</v>
      </c>
      <c r="D45" s="166" t="s">
        <v>44</v>
      </c>
      <c r="E45" s="166" t="s">
        <v>45</v>
      </c>
      <c r="F45" s="166"/>
      <c r="G45" s="166" t="s">
        <v>611</v>
      </c>
      <c r="I45" s="166" t="s">
        <v>6</v>
      </c>
    </row>
    <row r="46">
      <c r="A46" s="166" t="s">
        <v>620</v>
      </c>
      <c r="B46" s="166">
        <v>957.0</v>
      </c>
      <c r="C46" s="167">
        <v>77270.0</v>
      </c>
      <c r="D46" s="166" t="s">
        <v>66</v>
      </c>
      <c r="E46" s="166" t="s">
        <v>91</v>
      </c>
      <c r="F46" s="166"/>
      <c r="G46" s="166" t="s">
        <v>621</v>
      </c>
      <c r="I46" s="166" t="s">
        <v>6</v>
      </c>
    </row>
    <row r="47">
      <c r="A47" s="166" t="s">
        <v>634</v>
      </c>
      <c r="B47" s="166">
        <v>1173.0</v>
      </c>
      <c r="C47" s="167">
        <v>85634.0</v>
      </c>
      <c r="D47" s="166" t="s">
        <v>66</v>
      </c>
      <c r="E47" s="166" t="s">
        <v>45</v>
      </c>
      <c r="F47" s="166"/>
      <c r="G47" s="166" t="s">
        <v>635</v>
      </c>
      <c r="I47" s="166" t="s">
        <v>6</v>
      </c>
    </row>
    <row r="48">
      <c r="A48" s="168" t="s">
        <v>644</v>
      </c>
      <c r="B48" s="166">
        <v>1172.0</v>
      </c>
      <c r="C48" s="167">
        <v>86960.0</v>
      </c>
      <c r="D48" s="166" t="s">
        <v>36</v>
      </c>
      <c r="E48" s="166" t="s">
        <v>250</v>
      </c>
      <c r="F48" s="166"/>
      <c r="G48" s="166" t="s">
        <v>645</v>
      </c>
      <c r="I48" s="166" t="s">
        <v>6</v>
      </c>
    </row>
    <row r="49">
      <c r="A49" s="166" t="s">
        <v>662</v>
      </c>
      <c r="B49" s="166">
        <v>1084.0</v>
      </c>
      <c r="C49" s="167">
        <v>88810.0</v>
      </c>
      <c r="D49" s="166" t="s">
        <v>74</v>
      </c>
      <c r="E49" s="166" t="s">
        <v>45</v>
      </c>
      <c r="F49" s="166"/>
      <c r="G49" s="166" t="s">
        <v>663</v>
      </c>
      <c r="I49" s="166" t="s">
        <v>6</v>
      </c>
    </row>
    <row r="50">
      <c r="A50" s="166" t="s">
        <v>664</v>
      </c>
      <c r="B50" s="166">
        <v>1019.0</v>
      </c>
      <c r="C50" s="167">
        <v>89532.0</v>
      </c>
      <c r="D50" s="166" t="s">
        <v>289</v>
      </c>
      <c r="E50" s="166" t="s">
        <v>665</v>
      </c>
      <c r="F50" s="166"/>
      <c r="G50" s="166" t="s">
        <v>666</v>
      </c>
      <c r="I50" s="166" t="s">
        <v>6</v>
      </c>
    </row>
    <row r="51">
      <c r="A51" s="168" t="s">
        <v>671</v>
      </c>
      <c r="B51" s="166">
        <v>970.0</v>
      </c>
      <c r="C51" s="167">
        <v>94500.0</v>
      </c>
      <c r="D51" s="166" t="s">
        <v>40</v>
      </c>
      <c r="E51" s="166" t="s">
        <v>154</v>
      </c>
      <c r="F51" s="166"/>
      <c r="G51" s="166" t="s">
        <v>672</v>
      </c>
      <c r="I51" s="166" t="s">
        <v>6</v>
      </c>
    </row>
    <row r="52">
      <c r="A52" s="166" t="s">
        <v>673</v>
      </c>
      <c r="B52" s="166">
        <v>706.0</v>
      </c>
      <c r="C52" s="167">
        <v>86435.0</v>
      </c>
      <c r="D52" s="169" t="s">
        <v>36</v>
      </c>
      <c r="E52" s="166" t="s">
        <v>37</v>
      </c>
      <c r="F52" s="166"/>
      <c r="G52" s="166" t="s">
        <v>674</v>
      </c>
      <c r="I52" s="166" t="s">
        <v>6</v>
      </c>
    </row>
    <row r="53">
      <c r="A53" s="168" t="s">
        <v>687</v>
      </c>
      <c r="B53" s="166">
        <v>964.0</v>
      </c>
      <c r="C53" s="167">
        <v>87987.0</v>
      </c>
      <c r="D53" s="166" t="s">
        <v>36</v>
      </c>
      <c r="E53" s="166" t="s">
        <v>52</v>
      </c>
      <c r="F53" s="166"/>
      <c r="G53" s="166" t="s">
        <v>688</v>
      </c>
      <c r="I53" s="166" t="s">
        <v>6</v>
      </c>
    </row>
    <row r="54">
      <c r="A54" s="166" t="s">
        <v>689</v>
      </c>
      <c r="B54" s="166">
        <v>895.0</v>
      </c>
      <c r="C54" s="167">
        <v>84874.0</v>
      </c>
      <c r="D54" s="166" t="s">
        <v>36</v>
      </c>
      <c r="E54" s="166" t="s">
        <v>41</v>
      </c>
      <c r="F54" s="166"/>
      <c r="G54" s="166" t="s">
        <v>690</v>
      </c>
      <c r="I54" s="166" t="s">
        <v>6</v>
      </c>
    </row>
    <row r="55">
      <c r="A55" s="170" t="s">
        <v>709</v>
      </c>
      <c r="B55" s="171">
        <v>971.0</v>
      </c>
      <c r="C55" s="167">
        <v>88587.0</v>
      </c>
      <c r="D55" s="166" t="s">
        <v>74</v>
      </c>
      <c r="E55" s="166" t="s">
        <v>274</v>
      </c>
      <c r="F55" s="166"/>
      <c r="G55" s="166" t="s">
        <v>710</v>
      </c>
      <c r="I55" s="166" t="s">
        <v>6</v>
      </c>
    </row>
    <row r="56">
      <c r="A56" s="166" t="s">
        <v>719</v>
      </c>
      <c r="B56" s="166">
        <v>957.0</v>
      </c>
      <c r="C56" s="167">
        <v>75589.0</v>
      </c>
      <c r="D56" s="166" t="s">
        <v>36</v>
      </c>
      <c r="E56" s="166" t="s">
        <v>71</v>
      </c>
      <c r="F56" s="166"/>
      <c r="G56" s="166" t="s">
        <v>720</v>
      </c>
      <c r="I56" s="166" t="s">
        <v>6</v>
      </c>
    </row>
    <row r="57">
      <c r="A57" s="168" t="s">
        <v>733</v>
      </c>
      <c r="B57" s="166">
        <v>1172.0</v>
      </c>
      <c r="C57" s="167">
        <v>86518.0</v>
      </c>
      <c r="D57" s="166" t="s">
        <v>66</v>
      </c>
      <c r="E57" s="166" t="s">
        <v>41</v>
      </c>
      <c r="F57" s="166"/>
      <c r="G57" s="166" t="s">
        <v>734</v>
      </c>
      <c r="I57" s="166" t="s">
        <v>6</v>
      </c>
    </row>
    <row r="58">
      <c r="A58" s="166" t="s">
        <v>747</v>
      </c>
      <c r="B58" s="166">
        <v>824.0</v>
      </c>
      <c r="C58" s="167">
        <v>85793.0</v>
      </c>
      <c r="D58" s="166" t="s">
        <v>36</v>
      </c>
      <c r="E58" s="166" t="s">
        <v>154</v>
      </c>
      <c r="F58" s="166"/>
      <c r="G58" s="166" t="s">
        <v>748</v>
      </c>
      <c r="I58" s="166" t="s">
        <v>6</v>
      </c>
    </row>
    <row r="59">
      <c r="A59" s="166" t="s">
        <v>749</v>
      </c>
      <c r="B59" s="166">
        <v>968.0</v>
      </c>
      <c r="C59" s="167">
        <v>89060.0</v>
      </c>
      <c r="D59" s="166" t="s">
        <v>40</v>
      </c>
      <c r="E59" s="166" t="s">
        <v>57</v>
      </c>
      <c r="F59" s="166"/>
      <c r="G59" s="166" t="s">
        <v>750</v>
      </c>
      <c r="I59" s="166" t="s">
        <v>6</v>
      </c>
    </row>
    <row r="60">
      <c r="A60" s="168" t="s">
        <v>760</v>
      </c>
      <c r="B60" s="166">
        <v>1172.0</v>
      </c>
      <c r="C60" s="167">
        <v>87029.0</v>
      </c>
      <c r="D60" s="166" t="s">
        <v>66</v>
      </c>
      <c r="E60" s="166" t="s">
        <v>45</v>
      </c>
      <c r="F60" s="166"/>
      <c r="G60" s="166" t="s">
        <v>761</v>
      </c>
      <c r="I60" s="166" t="s">
        <v>6</v>
      </c>
    </row>
    <row r="61">
      <c r="A61" s="168" t="s">
        <v>762</v>
      </c>
      <c r="B61" s="166">
        <v>1172.0</v>
      </c>
      <c r="C61" s="167">
        <v>86344.0</v>
      </c>
      <c r="D61" s="171" t="s">
        <v>36</v>
      </c>
      <c r="E61" s="166" t="s">
        <v>123</v>
      </c>
      <c r="F61" s="166"/>
      <c r="G61" s="166" t="s">
        <v>763</v>
      </c>
      <c r="I61" s="166" t="s">
        <v>6</v>
      </c>
    </row>
    <row r="62">
      <c r="A62" s="168" t="s">
        <v>778</v>
      </c>
      <c r="B62" s="166">
        <v>968.0</v>
      </c>
      <c r="C62" s="167">
        <v>87729.0</v>
      </c>
      <c r="D62" s="166" t="s">
        <v>36</v>
      </c>
      <c r="E62" s="166" t="s">
        <v>110</v>
      </c>
      <c r="F62" s="166"/>
      <c r="G62" s="166" t="s">
        <v>779</v>
      </c>
      <c r="I62" s="166" t="s">
        <v>6</v>
      </c>
    </row>
    <row r="63">
      <c r="A63" s="168" t="s">
        <v>780</v>
      </c>
      <c r="B63" s="166">
        <v>1172.0</v>
      </c>
      <c r="C63" s="167">
        <v>88396.0</v>
      </c>
      <c r="D63" s="166" t="s">
        <v>36</v>
      </c>
      <c r="E63" s="166" t="s">
        <v>168</v>
      </c>
      <c r="F63" s="166"/>
      <c r="G63" s="166" t="s">
        <v>781</v>
      </c>
      <c r="I63" s="166" t="s">
        <v>6</v>
      </c>
    </row>
    <row r="64">
      <c r="A64" s="168" t="s">
        <v>796</v>
      </c>
      <c r="B64" s="166">
        <v>1084.0</v>
      </c>
      <c r="C64" s="167">
        <v>77463.0</v>
      </c>
      <c r="D64" s="166" t="s">
        <v>44</v>
      </c>
      <c r="E64" s="166" t="s">
        <v>52</v>
      </c>
      <c r="F64" s="166"/>
      <c r="G64" s="166" t="s">
        <v>797</v>
      </c>
      <c r="I64" s="166" t="s">
        <v>6</v>
      </c>
    </row>
    <row r="65">
      <c r="A65" s="168" t="s">
        <v>800</v>
      </c>
      <c r="B65" s="166">
        <v>1172.0</v>
      </c>
      <c r="C65" s="167">
        <v>87405.0</v>
      </c>
      <c r="D65" s="166" t="s">
        <v>36</v>
      </c>
      <c r="E65" s="166" t="s">
        <v>117</v>
      </c>
      <c r="F65" s="166"/>
      <c r="G65" s="166" t="s">
        <v>801</v>
      </c>
      <c r="I65" s="166" t="s">
        <v>6</v>
      </c>
    </row>
    <row r="66">
      <c r="A66" s="168" t="s">
        <v>833</v>
      </c>
      <c r="B66" s="166">
        <v>995.0</v>
      </c>
      <c r="C66" s="167">
        <v>93011.0</v>
      </c>
      <c r="D66" s="166" t="s">
        <v>40</v>
      </c>
      <c r="E66" s="166" t="s">
        <v>67</v>
      </c>
      <c r="F66" s="166"/>
      <c r="G66" s="166" t="s">
        <v>834</v>
      </c>
      <c r="I66" s="166" t="s">
        <v>6</v>
      </c>
    </row>
    <row r="67">
      <c r="A67" s="166" t="s">
        <v>839</v>
      </c>
      <c r="B67" s="166">
        <v>968.0</v>
      </c>
      <c r="C67" s="167">
        <v>85650.0</v>
      </c>
      <c r="D67" s="166" t="s">
        <v>36</v>
      </c>
      <c r="E67" s="166" t="s">
        <v>57</v>
      </c>
      <c r="F67" s="166"/>
      <c r="G67" s="166" t="s">
        <v>840</v>
      </c>
      <c r="I67" s="166" t="s">
        <v>6</v>
      </c>
    </row>
    <row r="68">
      <c r="A68" s="166" t="s">
        <v>845</v>
      </c>
      <c r="B68" s="166">
        <v>1177.0</v>
      </c>
      <c r="C68" s="167">
        <v>88260.0</v>
      </c>
      <c r="D68" s="166" t="s">
        <v>36</v>
      </c>
      <c r="E68" s="166" t="s">
        <v>123</v>
      </c>
      <c r="F68" s="166"/>
      <c r="G68" s="166" t="s">
        <v>846</v>
      </c>
      <c r="I68" s="166" t="s">
        <v>6</v>
      </c>
    </row>
    <row r="69">
      <c r="A69" s="166" t="s">
        <v>859</v>
      </c>
      <c r="B69" s="166">
        <v>994.0</v>
      </c>
      <c r="C69" s="167">
        <v>88726.0</v>
      </c>
      <c r="D69" s="169" t="s">
        <v>36</v>
      </c>
      <c r="E69" s="166" t="s">
        <v>274</v>
      </c>
      <c r="F69" s="166"/>
      <c r="G69" s="166" t="s">
        <v>860</v>
      </c>
      <c r="I69" s="166" t="s">
        <v>6</v>
      </c>
    </row>
    <row r="70">
      <c r="A70" s="168" t="s">
        <v>877</v>
      </c>
      <c r="B70" s="166">
        <v>823.0</v>
      </c>
      <c r="C70" s="167">
        <v>71006.0</v>
      </c>
      <c r="D70" s="166" t="s">
        <v>36</v>
      </c>
      <c r="E70" s="166" t="s">
        <v>45</v>
      </c>
      <c r="F70" s="166"/>
      <c r="G70" s="166" t="s">
        <v>878</v>
      </c>
      <c r="I70" s="166" t="s">
        <v>6</v>
      </c>
    </row>
    <row r="71">
      <c r="A71" s="168" t="s">
        <v>903</v>
      </c>
      <c r="B71" s="166">
        <v>1019.0</v>
      </c>
      <c r="C71" s="167">
        <v>88351.0</v>
      </c>
      <c r="D71" s="166" t="s">
        <v>36</v>
      </c>
      <c r="E71" s="166" t="s">
        <v>274</v>
      </c>
      <c r="F71" s="166"/>
      <c r="G71" s="166" t="s">
        <v>904</v>
      </c>
      <c r="I71" s="166" t="s">
        <v>6</v>
      </c>
    </row>
    <row r="72">
      <c r="A72" s="166" t="s">
        <v>905</v>
      </c>
      <c r="B72" s="166">
        <v>971.0</v>
      </c>
      <c r="C72" s="167">
        <v>85905.0</v>
      </c>
      <c r="D72" s="166" t="s">
        <v>40</v>
      </c>
      <c r="E72" s="166" t="s">
        <v>754</v>
      </c>
      <c r="F72" s="166"/>
      <c r="G72" s="166" t="s">
        <v>906</v>
      </c>
      <c r="I72" s="166" t="s">
        <v>6</v>
      </c>
    </row>
    <row r="73">
      <c r="A73" s="166" t="s">
        <v>917</v>
      </c>
      <c r="B73" s="166">
        <v>953.0</v>
      </c>
      <c r="C73" s="167">
        <v>89197.0</v>
      </c>
      <c r="D73" s="166" t="s">
        <v>74</v>
      </c>
      <c r="E73" s="166" t="s">
        <v>45</v>
      </c>
      <c r="F73" s="166"/>
      <c r="G73" s="166" t="s">
        <v>918</v>
      </c>
      <c r="I73" s="166" t="s">
        <v>6</v>
      </c>
    </row>
    <row r="74">
      <c r="A74" s="166" t="s">
        <v>919</v>
      </c>
      <c r="B74" s="166">
        <v>988.0</v>
      </c>
      <c r="C74" s="167">
        <v>66352.0</v>
      </c>
      <c r="D74" s="166" t="s">
        <v>66</v>
      </c>
      <c r="E74" s="166" t="s">
        <v>57</v>
      </c>
      <c r="F74" s="166"/>
      <c r="G74" s="166" t="s">
        <v>920</v>
      </c>
      <c r="I74" s="166" t="s">
        <v>6</v>
      </c>
    </row>
    <row r="75">
      <c r="A75" s="166" t="s">
        <v>929</v>
      </c>
      <c r="B75" s="166">
        <v>971.0</v>
      </c>
      <c r="C75" s="167">
        <v>89223.0</v>
      </c>
      <c r="D75" s="166" t="s">
        <v>40</v>
      </c>
      <c r="E75" s="166" t="s">
        <v>63</v>
      </c>
      <c r="F75" s="166"/>
      <c r="G75" s="166" t="s">
        <v>930</v>
      </c>
      <c r="I75" s="166" t="s">
        <v>6</v>
      </c>
    </row>
    <row r="76">
      <c r="A76" s="168" t="s">
        <v>933</v>
      </c>
      <c r="B76" s="166">
        <v>895.0</v>
      </c>
      <c r="C76" s="167">
        <v>86373.0</v>
      </c>
      <c r="D76" s="166" t="s">
        <v>36</v>
      </c>
      <c r="E76" s="166" t="s">
        <v>41</v>
      </c>
      <c r="F76" s="166"/>
      <c r="G76" s="166" t="s">
        <v>934</v>
      </c>
      <c r="I76" s="166" t="s">
        <v>6</v>
      </c>
    </row>
    <row r="77">
      <c r="A77" s="168" t="s">
        <v>935</v>
      </c>
      <c r="B77" s="166">
        <v>1172.0</v>
      </c>
      <c r="C77" s="167">
        <v>85614.0</v>
      </c>
      <c r="D77" s="166" t="s">
        <v>36</v>
      </c>
      <c r="E77" s="166" t="s">
        <v>95</v>
      </c>
      <c r="F77" s="166"/>
      <c r="G77" s="166" t="s">
        <v>936</v>
      </c>
      <c r="H77" s="166" t="s">
        <v>937</v>
      </c>
      <c r="I77" s="166" t="s">
        <v>6</v>
      </c>
    </row>
    <row r="78">
      <c r="A78" s="166" t="s">
        <v>979</v>
      </c>
      <c r="B78" s="166">
        <v>971.0</v>
      </c>
      <c r="C78" s="167">
        <v>84957.0</v>
      </c>
      <c r="D78" s="166" t="s">
        <v>66</v>
      </c>
      <c r="E78" s="166" t="s">
        <v>110</v>
      </c>
      <c r="F78" s="166"/>
      <c r="G78" s="166" t="s">
        <v>980</v>
      </c>
      <c r="I78" s="166" t="s">
        <v>6</v>
      </c>
    </row>
    <row r="79">
      <c r="A79" s="168" t="s">
        <v>985</v>
      </c>
      <c r="B79" s="166">
        <v>1172.0</v>
      </c>
      <c r="C79" s="167">
        <v>86534.0</v>
      </c>
      <c r="D79" s="166" t="s">
        <v>36</v>
      </c>
      <c r="E79" s="166" t="s">
        <v>91</v>
      </c>
      <c r="F79" s="166"/>
      <c r="G79" s="166" t="s">
        <v>986</v>
      </c>
      <c r="I79" s="166" t="s">
        <v>6</v>
      </c>
    </row>
    <row r="80">
      <c r="A80" s="166" t="s">
        <v>995</v>
      </c>
      <c r="B80" s="166">
        <v>1177.0</v>
      </c>
      <c r="C80" s="167">
        <v>88244.0</v>
      </c>
      <c r="D80" s="166" t="s">
        <v>74</v>
      </c>
      <c r="E80" s="166" t="s">
        <v>37</v>
      </c>
      <c r="F80" s="166"/>
      <c r="G80" s="166" t="s">
        <v>996</v>
      </c>
      <c r="I80" s="166" t="s">
        <v>6</v>
      </c>
    </row>
    <row r="81">
      <c r="A81" s="168" t="s">
        <v>1001</v>
      </c>
      <c r="B81" s="166">
        <v>1066.0</v>
      </c>
      <c r="C81" s="167">
        <v>85181.0</v>
      </c>
      <c r="D81" s="166" t="s">
        <v>44</v>
      </c>
      <c r="E81" s="166" t="s">
        <v>52</v>
      </c>
      <c r="F81" s="166"/>
      <c r="G81" s="166" t="s">
        <v>1002</v>
      </c>
      <c r="I81" s="166" t="s"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1.88"/>
    <col customWidth="1" min="3" max="3" width="19.88"/>
    <col customWidth="1" min="4" max="4" width="15.13"/>
    <col customWidth="1" min="5" max="5" width="49.5"/>
    <col customWidth="1" min="6" max="6" width="31.63"/>
    <col customWidth="1" min="7" max="7" width="18.25"/>
    <col customWidth="1" min="8" max="8" width="24.25"/>
    <col customWidth="1" min="9" max="9" width="28.63"/>
    <col customWidth="1" min="10" max="10" width="21.38"/>
  </cols>
  <sheetData>
    <row r="1">
      <c r="A1" s="172" t="s">
        <v>1118</v>
      </c>
    </row>
    <row r="3" ht="31.5" customHeight="1">
      <c r="A3" s="173" t="s">
        <v>1119</v>
      </c>
      <c r="B3" s="173" t="s">
        <v>1120</v>
      </c>
      <c r="C3" s="173" t="s">
        <v>1121</v>
      </c>
      <c r="D3" s="173" t="s">
        <v>1122</v>
      </c>
      <c r="E3" s="173" t="s">
        <v>1123</v>
      </c>
      <c r="F3" s="173" t="s">
        <v>1124</v>
      </c>
      <c r="G3" s="173" t="s">
        <v>1125</v>
      </c>
      <c r="H3" s="173" t="s">
        <v>1126</v>
      </c>
      <c r="I3" s="173" t="s">
        <v>1127</v>
      </c>
      <c r="J3" s="173" t="s">
        <v>1128</v>
      </c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</row>
    <row r="4">
      <c r="A4" s="175">
        <v>953.0</v>
      </c>
      <c r="B4" s="175" t="s">
        <v>1129</v>
      </c>
      <c r="C4" s="175">
        <f t="shared" ref="C4:C18" si="1">COUNTIF(H32:H1957, A4 &amp; "*")</f>
        <v>41</v>
      </c>
      <c r="D4" s="175">
        <f t="shared" ref="D4:D18" si="2">COUNTIFS(H:H, A4 &amp; "*", I:I, "NAO ESTA NA PLANILHA")</f>
        <v>23</v>
      </c>
      <c r="E4" s="175">
        <f t="shared" ref="E4:E18" si="3">COUNTIFS(H:H,  A4 &amp; "*", C:C, "Entregue")</f>
        <v>0</v>
      </c>
      <c r="F4" s="175">
        <f t="shared" ref="F4:F18" si="4">COUNTIFS(H:H,  A4 &amp; "*", I:I,"IMPRESSÃO")</f>
        <v>1</v>
      </c>
      <c r="G4" s="175">
        <f t="shared" ref="G4:G18" si="5">COUNTIFS(H:H, A4 &amp; "*", C:C, "Entregue") + COUNTIFS(H:H, A4 &amp; "*", C:C, "No Estoque") + COUNTIFS(H:H, A4 &amp; "*", I:I, "PRONTO")</f>
        <v>0</v>
      </c>
      <c r="H4" s="175">
        <f t="shared" ref="H4:H18" si="6">COUNTIFS(H32:H1957,  A4 &amp; "*", I32:I1957,"AGUARDANDO APROVAÇÃO")</f>
        <v>4</v>
      </c>
      <c r="I4" s="175">
        <f t="shared" ref="I4:I18" si="7">COUNTIFS(H32:H1981, A4 &amp; CHAR(42), I32:I1981, "IMPRESSÃO") + COUNTIFS(H32:H1981, A4 &amp; CHAR(42), I32:I1981, "AGUARDANDO APROVAÇÃO") + COUNTIFS(H32:H1981, A4 &amp; CHAR(42), I32:I1981, "APROVADO")+ COUNTIFS(H32:H1981, A4 &amp; CHAR(42), I32:I1981, "DIAGRAMADO")</f>
        <v>5</v>
      </c>
      <c r="J4" s="175">
        <f t="shared" ref="J4:J18" si="8">COUNTIFS(H32:H1978,A4 &amp; "*", C32:C1978, "Cancelado")</f>
        <v>0</v>
      </c>
    </row>
    <row r="5">
      <c r="A5" s="175">
        <v>964.0</v>
      </c>
      <c r="B5" s="175" t="s">
        <v>1130</v>
      </c>
      <c r="C5" s="175">
        <f t="shared" si="1"/>
        <v>32</v>
      </c>
      <c r="D5" s="175">
        <f t="shared" si="2"/>
        <v>18</v>
      </c>
      <c r="E5" s="175">
        <f t="shared" si="3"/>
        <v>1</v>
      </c>
      <c r="F5" s="175">
        <f t="shared" si="4"/>
        <v>1</v>
      </c>
      <c r="G5" s="175">
        <f t="shared" si="5"/>
        <v>1</v>
      </c>
      <c r="H5" s="175">
        <f t="shared" si="6"/>
        <v>2</v>
      </c>
      <c r="I5" s="175">
        <f t="shared" si="7"/>
        <v>3</v>
      </c>
      <c r="J5" s="175">
        <f t="shared" si="8"/>
        <v>0</v>
      </c>
    </row>
    <row r="6">
      <c r="A6" s="175">
        <v>1019.0</v>
      </c>
      <c r="B6" s="175" t="s">
        <v>1131</v>
      </c>
      <c r="C6" s="175">
        <f t="shared" si="1"/>
        <v>16</v>
      </c>
      <c r="D6" s="175">
        <f t="shared" si="2"/>
        <v>6</v>
      </c>
      <c r="E6" s="175">
        <f t="shared" si="3"/>
        <v>0</v>
      </c>
      <c r="F6" s="175">
        <f t="shared" si="4"/>
        <v>0</v>
      </c>
      <c r="G6" s="175">
        <f t="shared" si="5"/>
        <v>0</v>
      </c>
      <c r="H6" s="175">
        <f t="shared" si="6"/>
        <v>2</v>
      </c>
      <c r="I6" s="175">
        <f t="shared" si="7"/>
        <v>2</v>
      </c>
      <c r="J6" s="175">
        <f t="shared" si="8"/>
        <v>0</v>
      </c>
      <c r="Q6" s="166" t="s">
        <v>1132</v>
      </c>
    </row>
    <row r="7">
      <c r="A7" s="175">
        <v>1084.0</v>
      </c>
      <c r="B7" s="175" t="s">
        <v>1133</v>
      </c>
      <c r="C7" s="175">
        <f t="shared" si="1"/>
        <v>36</v>
      </c>
      <c r="D7" s="175">
        <f t="shared" si="2"/>
        <v>13</v>
      </c>
      <c r="E7" s="175">
        <f t="shared" si="3"/>
        <v>2</v>
      </c>
      <c r="F7" s="175">
        <f t="shared" si="4"/>
        <v>0</v>
      </c>
      <c r="G7" s="175">
        <f t="shared" si="5"/>
        <v>4</v>
      </c>
      <c r="H7" s="175">
        <f t="shared" si="6"/>
        <v>5</v>
      </c>
      <c r="I7" s="175">
        <f t="shared" si="7"/>
        <v>5</v>
      </c>
      <c r="J7" s="175">
        <f t="shared" si="8"/>
        <v>1</v>
      </c>
    </row>
    <row r="8">
      <c r="A8" s="176">
        <v>1172.0</v>
      </c>
      <c r="B8" s="176" t="s">
        <v>1134</v>
      </c>
      <c r="C8" s="176">
        <f t="shared" si="1"/>
        <v>166</v>
      </c>
      <c r="D8" s="176">
        <f t="shared" si="2"/>
        <v>62</v>
      </c>
      <c r="E8" s="176">
        <f t="shared" si="3"/>
        <v>0</v>
      </c>
      <c r="F8" s="176">
        <f t="shared" si="4"/>
        <v>15</v>
      </c>
      <c r="G8" s="176">
        <f t="shared" si="5"/>
        <v>0</v>
      </c>
      <c r="H8" s="176">
        <f t="shared" si="6"/>
        <v>16</v>
      </c>
      <c r="I8" s="176">
        <f t="shared" si="7"/>
        <v>36</v>
      </c>
      <c r="J8" s="176">
        <f t="shared" si="8"/>
        <v>0</v>
      </c>
    </row>
    <row r="9">
      <c r="A9" s="175">
        <v>988.0</v>
      </c>
      <c r="B9" s="175" t="s">
        <v>1135</v>
      </c>
      <c r="C9" s="175">
        <f t="shared" si="1"/>
        <v>21</v>
      </c>
      <c r="D9" s="175">
        <f t="shared" si="2"/>
        <v>8</v>
      </c>
      <c r="E9" s="175">
        <f t="shared" si="3"/>
        <v>1</v>
      </c>
      <c r="F9" s="175">
        <f t="shared" si="4"/>
        <v>1</v>
      </c>
      <c r="G9" s="175">
        <f t="shared" si="5"/>
        <v>1</v>
      </c>
      <c r="H9" s="175">
        <f t="shared" si="6"/>
        <v>1</v>
      </c>
      <c r="I9" s="175">
        <f t="shared" si="7"/>
        <v>2</v>
      </c>
      <c r="J9" s="175">
        <f t="shared" si="8"/>
        <v>0</v>
      </c>
    </row>
    <row r="10">
      <c r="A10" s="177">
        <v>994.0</v>
      </c>
      <c r="B10" s="177" t="s">
        <v>1136</v>
      </c>
      <c r="C10" s="175">
        <f t="shared" si="1"/>
        <v>60</v>
      </c>
      <c r="D10" s="175">
        <f t="shared" si="2"/>
        <v>21</v>
      </c>
      <c r="E10" s="175">
        <f t="shared" si="3"/>
        <v>3</v>
      </c>
      <c r="F10" s="175">
        <f t="shared" si="4"/>
        <v>2</v>
      </c>
      <c r="G10" s="175">
        <f t="shared" si="5"/>
        <v>3</v>
      </c>
      <c r="H10" s="175">
        <f t="shared" si="6"/>
        <v>4</v>
      </c>
      <c r="I10" s="175">
        <f t="shared" si="7"/>
        <v>7</v>
      </c>
      <c r="J10" s="175">
        <f t="shared" si="8"/>
        <v>0</v>
      </c>
    </row>
    <row r="11">
      <c r="A11" s="177">
        <v>968.0</v>
      </c>
      <c r="B11" s="177" t="s">
        <v>1137</v>
      </c>
      <c r="C11" s="175">
        <f t="shared" si="1"/>
        <v>72</v>
      </c>
      <c r="D11" s="175">
        <f t="shared" si="2"/>
        <v>20</v>
      </c>
      <c r="E11" s="175">
        <f t="shared" si="3"/>
        <v>3</v>
      </c>
      <c r="F11" s="175">
        <f t="shared" si="4"/>
        <v>1</v>
      </c>
      <c r="G11" s="175">
        <f t="shared" si="5"/>
        <v>3</v>
      </c>
      <c r="H11" s="175">
        <f t="shared" si="6"/>
        <v>9</v>
      </c>
      <c r="I11" s="175">
        <f t="shared" si="7"/>
        <v>10</v>
      </c>
      <c r="J11" s="175">
        <f t="shared" si="8"/>
        <v>1</v>
      </c>
    </row>
    <row r="12">
      <c r="A12" s="178">
        <v>957.0</v>
      </c>
      <c r="B12" s="178" t="s">
        <v>1138</v>
      </c>
      <c r="C12" s="175">
        <f t="shared" si="1"/>
        <v>64</v>
      </c>
      <c r="D12" s="175">
        <f t="shared" si="2"/>
        <v>30</v>
      </c>
      <c r="E12" s="175">
        <f t="shared" si="3"/>
        <v>0</v>
      </c>
      <c r="F12" s="175">
        <f t="shared" si="4"/>
        <v>4</v>
      </c>
      <c r="G12" s="175">
        <f t="shared" si="5"/>
        <v>3</v>
      </c>
      <c r="H12" s="175">
        <f t="shared" si="6"/>
        <v>6</v>
      </c>
      <c r="I12" s="175">
        <f t="shared" si="7"/>
        <v>13</v>
      </c>
      <c r="J12" s="175">
        <f t="shared" si="8"/>
        <v>6</v>
      </c>
    </row>
    <row r="13">
      <c r="A13" s="178">
        <v>961.0</v>
      </c>
      <c r="B13" s="178" t="s">
        <v>1139</v>
      </c>
      <c r="C13" s="175">
        <f t="shared" si="1"/>
        <v>8</v>
      </c>
      <c r="D13" s="175">
        <f t="shared" si="2"/>
        <v>4</v>
      </c>
      <c r="E13" s="175">
        <f t="shared" si="3"/>
        <v>0</v>
      </c>
      <c r="F13" s="175">
        <f t="shared" si="4"/>
        <v>1</v>
      </c>
      <c r="G13" s="175">
        <f t="shared" si="5"/>
        <v>0</v>
      </c>
      <c r="H13" s="175">
        <f t="shared" si="6"/>
        <v>2</v>
      </c>
      <c r="I13" s="175">
        <f t="shared" si="7"/>
        <v>3</v>
      </c>
      <c r="J13" s="175">
        <f t="shared" si="8"/>
        <v>0</v>
      </c>
    </row>
    <row r="14">
      <c r="A14" s="178">
        <v>971.0</v>
      </c>
      <c r="B14" s="178" t="s">
        <v>1140</v>
      </c>
      <c r="C14" s="175">
        <f t="shared" si="1"/>
        <v>74</v>
      </c>
      <c r="D14" s="175">
        <f t="shared" si="2"/>
        <v>37</v>
      </c>
      <c r="E14" s="175">
        <f t="shared" si="3"/>
        <v>9</v>
      </c>
      <c r="F14" s="175">
        <f t="shared" si="4"/>
        <v>2</v>
      </c>
      <c r="G14" s="175">
        <f t="shared" si="5"/>
        <v>9</v>
      </c>
      <c r="H14" s="175">
        <f t="shared" si="6"/>
        <v>7</v>
      </c>
      <c r="I14" s="175">
        <f t="shared" si="7"/>
        <v>10</v>
      </c>
      <c r="J14" s="175">
        <f t="shared" si="8"/>
        <v>1</v>
      </c>
    </row>
    <row r="15">
      <c r="A15" s="178">
        <v>1103.0</v>
      </c>
      <c r="B15" s="178" t="s">
        <v>1141</v>
      </c>
      <c r="C15" s="175">
        <f t="shared" si="1"/>
        <v>32</v>
      </c>
      <c r="D15" s="175">
        <f t="shared" si="2"/>
        <v>18</v>
      </c>
      <c r="E15" s="175">
        <f t="shared" si="3"/>
        <v>0</v>
      </c>
      <c r="F15" s="175">
        <f t="shared" si="4"/>
        <v>2</v>
      </c>
      <c r="G15" s="175">
        <f t="shared" si="5"/>
        <v>0</v>
      </c>
      <c r="H15" s="175">
        <f t="shared" si="6"/>
        <v>0</v>
      </c>
      <c r="I15" s="175">
        <f t="shared" si="7"/>
        <v>2</v>
      </c>
      <c r="J15" s="175">
        <f t="shared" si="8"/>
        <v>6</v>
      </c>
    </row>
    <row r="16">
      <c r="A16" s="178">
        <v>1173.0</v>
      </c>
      <c r="B16" s="178" t="s">
        <v>1142</v>
      </c>
      <c r="C16" s="175">
        <f t="shared" si="1"/>
        <v>17</v>
      </c>
      <c r="D16" s="175">
        <f t="shared" si="2"/>
        <v>7</v>
      </c>
      <c r="E16" s="175">
        <f t="shared" si="3"/>
        <v>0</v>
      </c>
      <c r="F16" s="175">
        <f t="shared" si="4"/>
        <v>2</v>
      </c>
      <c r="G16" s="175">
        <f t="shared" si="5"/>
        <v>0</v>
      </c>
      <c r="H16" s="175">
        <f t="shared" si="6"/>
        <v>1</v>
      </c>
      <c r="I16" s="175">
        <f t="shared" si="7"/>
        <v>3</v>
      </c>
      <c r="J16" s="175">
        <f t="shared" si="8"/>
        <v>3</v>
      </c>
    </row>
    <row r="17">
      <c r="A17" s="178">
        <v>1177.0</v>
      </c>
      <c r="B17" s="178" t="s">
        <v>1143</v>
      </c>
      <c r="C17" s="175">
        <f t="shared" si="1"/>
        <v>13</v>
      </c>
      <c r="D17" s="175">
        <f t="shared" si="2"/>
        <v>5</v>
      </c>
      <c r="E17" s="175">
        <f t="shared" si="3"/>
        <v>0</v>
      </c>
      <c r="F17" s="175">
        <f t="shared" si="4"/>
        <v>1</v>
      </c>
      <c r="G17" s="175">
        <f t="shared" si="5"/>
        <v>0</v>
      </c>
      <c r="H17" s="175">
        <f t="shared" si="6"/>
        <v>4</v>
      </c>
      <c r="I17" s="175">
        <f t="shared" si="7"/>
        <v>5</v>
      </c>
      <c r="J17" s="175">
        <f t="shared" si="8"/>
        <v>1</v>
      </c>
    </row>
    <row r="18">
      <c r="A18" s="178">
        <v>1070.0</v>
      </c>
      <c r="B18" s="178" t="s">
        <v>1144</v>
      </c>
      <c r="C18" s="175">
        <f t="shared" si="1"/>
        <v>10</v>
      </c>
      <c r="D18" s="175">
        <f t="shared" si="2"/>
        <v>6</v>
      </c>
      <c r="E18" s="175">
        <f t="shared" si="3"/>
        <v>4</v>
      </c>
      <c r="F18" s="175">
        <f t="shared" si="4"/>
        <v>2</v>
      </c>
      <c r="G18" s="175">
        <f t="shared" si="5"/>
        <v>4</v>
      </c>
      <c r="H18" s="175">
        <f t="shared" si="6"/>
        <v>0</v>
      </c>
      <c r="I18" s="175">
        <f t="shared" si="7"/>
        <v>2</v>
      </c>
      <c r="J18" s="175">
        <f t="shared" si="8"/>
        <v>0</v>
      </c>
    </row>
    <row r="19">
      <c r="A19" s="179"/>
      <c r="B19" s="179"/>
      <c r="C19" s="179"/>
      <c r="D19" s="179"/>
      <c r="E19" s="179"/>
      <c r="F19" s="179"/>
      <c r="G19" s="179"/>
      <c r="H19" s="180"/>
      <c r="I19" s="179"/>
    </row>
    <row r="20">
      <c r="C20" s="181"/>
      <c r="D20" s="182"/>
      <c r="E20" s="182"/>
      <c r="F20" s="183"/>
      <c r="G20" s="183"/>
      <c r="H20" s="184"/>
      <c r="I20" s="183"/>
    </row>
    <row r="21">
      <c r="A21" s="185" t="s">
        <v>1145</v>
      </c>
      <c r="B21" s="186"/>
      <c r="C21" s="187"/>
      <c r="D21" s="182"/>
      <c r="E21" s="182"/>
      <c r="F21" s="183"/>
      <c r="G21" s="183"/>
      <c r="H21" s="184"/>
      <c r="I21" s="183"/>
    </row>
    <row r="22">
      <c r="A22" s="188" t="s">
        <v>1146</v>
      </c>
      <c r="B22" s="189">
        <f>SUM(C4:C18)</f>
        <v>662</v>
      </c>
      <c r="C22" s="181"/>
      <c r="D22" s="182"/>
      <c r="E22" s="182"/>
      <c r="F22" s="183"/>
      <c r="G22" s="183"/>
      <c r="H22" s="184"/>
      <c r="I22" s="183"/>
    </row>
    <row r="23">
      <c r="A23" s="190" t="s">
        <v>1147</v>
      </c>
      <c r="B23" s="191">
        <f>SUM(E4:E18)</f>
        <v>23</v>
      </c>
      <c r="C23" s="192"/>
      <c r="D23" s="5"/>
      <c r="E23" s="5"/>
      <c r="F23" s="181"/>
      <c r="G23" s="181"/>
      <c r="H23" s="193"/>
      <c r="I23" s="181"/>
    </row>
    <row r="24">
      <c r="A24" s="194" t="s">
        <v>1148</v>
      </c>
      <c r="B24" s="195">
        <f>SUM(D4:D18)</f>
        <v>278</v>
      </c>
      <c r="C24" s="192"/>
      <c r="D24" s="5"/>
      <c r="E24" s="5"/>
      <c r="F24" s="181"/>
      <c r="G24" s="181"/>
      <c r="H24" s="193"/>
      <c r="I24" s="181"/>
    </row>
    <row r="25">
      <c r="A25" s="196" t="s">
        <v>1149</v>
      </c>
      <c r="B25" s="197">
        <f>SUM(F4:F18)</f>
        <v>35</v>
      </c>
      <c r="C25" s="192"/>
      <c r="D25" s="5"/>
      <c r="E25" s="5"/>
      <c r="F25" s="181"/>
      <c r="G25" s="181"/>
      <c r="H25" s="193"/>
      <c r="I25" s="181"/>
    </row>
    <row r="26">
      <c r="A26" s="198" t="s">
        <v>1150</v>
      </c>
      <c r="B26" s="199">
        <f>SUM(G4:G18)</f>
        <v>28</v>
      </c>
      <c r="C26" s="192"/>
      <c r="D26" s="5"/>
      <c r="E26" s="5"/>
      <c r="F26" s="181"/>
      <c r="G26" s="181"/>
      <c r="H26" s="193"/>
      <c r="I26" s="181"/>
    </row>
    <row r="27">
      <c r="A27" s="200" t="s">
        <v>1151</v>
      </c>
      <c r="B27" s="201">
        <f>SUM(H4:H18)</f>
        <v>63</v>
      </c>
      <c r="C27" s="192"/>
      <c r="D27" s="5"/>
      <c r="E27" s="5"/>
      <c r="F27" s="181"/>
      <c r="G27" s="181"/>
      <c r="H27" s="193"/>
      <c r="I27" s="181"/>
    </row>
    <row r="28">
      <c r="A28" s="202" t="s">
        <v>1152</v>
      </c>
      <c r="B28" s="177">
        <f>SUM(I4:I18)</f>
        <v>108</v>
      </c>
      <c r="C28" s="192"/>
      <c r="D28" s="5"/>
      <c r="E28" s="5"/>
      <c r="F28" s="181"/>
      <c r="G28" s="181"/>
      <c r="H28" s="193"/>
      <c r="I28" s="181"/>
    </row>
    <row r="29">
      <c r="A29" s="203" t="s">
        <v>1153</v>
      </c>
      <c r="B29" s="177">
        <f>SUM(J4:J18)</f>
        <v>19</v>
      </c>
      <c r="D29" s="7"/>
      <c r="E29" s="7"/>
      <c r="H29" s="204"/>
      <c r="I29" s="166" t="str">
        <f t="array" ref="I29">IF(E29="", "", _xlfn.XLOOKUP(E29, 'GERAL ENVIOS'!C:C, 'GERAL ENVIOS'!K:K, "Não encontrado"))</f>
        <v/>
      </c>
    </row>
    <row r="30">
      <c r="D30" s="7"/>
      <c r="E30" s="7"/>
      <c r="H30" s="204"/>
    </row>
    <row r="31" ht="17.25" customHeight="1">
      <c r="A31" s="205" t="s">
        <v>1154</v>
      </c>
      <c r="B31" s="206" t="s">
        <v>1155</v>
      </c>
      <c r="C31" s="206" t="s">
        <v>1156</v>
      </c>
      <c r="D31" s="207" t="s">
        <v>1157</v>
      </c>
      <c r="E31" s="207" t="s">
        <v>1158</v>
      </c>
      <c r="F31" s="208" t="s">
        <v>1159</v>
      </c>
      <c r="G31" s="208" t="s">
        <v>1160</v>
      </c>
      <c r="H31" s="209" t="s">
        <v>1161</v>
      </c>
      <c r="I31" s="210" t="s">
        <v>0</v>
      </c>
    </row>
    <row r="32" ht="17.25" customHeight="1">
      <c r="A32" s="211"/>
      <c r="B32" s="212" t="s">
        <v>1162</v>
      </c>
      <c r="C32" s="212" t="s">
        <v>1163</v>
      </c>
      <c r="D32" s="213">
        <v>89135.0</v>
      </c>
      <c r="E32" s="214" t="s">
        <v>1164</v>
      </c>
      <c r="F32" s="215" t="s">
        <v>1165</v>
      </c>
      <c r="G32" s="215" t="s">
        <v>1166</v>
      </c>
      <c r="H32" s="216" t="s">
        <v>1167</v>
      </c>
      <c r="I32" s="217" t="str">
        <f t="array" ref="I32">IF(E32="", "", _xlfn.XLOOKUP(E32, 'GERAL ENVIOS'!C:C, 'GERAL ENVIOS'!K:K,"NAO ESTA NA PLANILHA"))</f>
        <v>NAO ESTA NA PLANILHA</v>
      </c>
      <c r="K32" s="218"/>
    </row>
    <row r="33" ht="17.25" customHeight="1">
      <c r="A33" s="211"/>
      <c r="B33" s="212" t="s">
        <v>1168</v>
      </c>
      <c r="C33" s="212" t="s">
        <v>1163</v>
      </c>
      <c r="D33" s="213">
        <v>88679.0</v>
      </c>
      <c r="E33" s="214" t="s">
        <v>1169</v>
      </c>
      <c r="F33" s="215" t="s">
        <v>1170</v>
      </c>
      <c r="G33" s="215" t="s">
        <v>1171</v>
      </c>
      <c r="H33" s="216" t="s">
        <v>1167</v>
      </c>
      <c r="I33" s="217" t="str">
        <f t="array" ref="I33">IF(E33="", "", _xlfn.XLOOKUP(E33, 'GERAL ENVIOS'!C:C, 'GERAL ENVIOS'!K:K,"NAO ESTA NA PLANILHA"))</f>
        <v>NAO ESTA NA PLANILHA</v>
      </c>
    </row>
    <row r="34" ht="17.25" customHeight="1">
      <c r="A34" s="211"/>
      <c r="B34" s="212" t="s">
        <v>1162</v>
      </c>
      <c r="C34" s="212" t="s">
        <v>1163</v>
      </c>
      <c r="D34" s="213">
        <v>88836.0</v>
      </c>
      <c r="E34" s="214" t="s">
        <v>1172</v>
      </c>
      <c r="F34" s="215" t="s">
        <v>1173</v>
      </c>
      <c r="G34" s="215" t="s">
        <v>1174</v>
      </c>
      <c r="H34" s="216" t="s">
        <v>1167</v>
      </c>
      <c r="I34" s="217" t="str">
        <f t="array" ref="I34">IF(E34="", "", _xlfn.XLOOKUP(E34, 'GERAL ENVIOS'!C:C, 'GERAL ENVIOS'!K:K,"NAO ESTA NA PLANILHA"))</f>
        <v>NAO ESTA NA PLANILHA</v>
      </c>
    </row>
    <row r="35" ht="17.25" customHeight="1">
      <c r="A35" s="211"/>
      <c r="B35" s="212" t="s">
        <v>1162</v>
      </c>
      <c r="C35" s="212" t="s">
        <v>1163</v>
      </c>
      <c r="D35" s="213">
        <v>88838.0</v>
      </c>
      <c r="E35" s="214" t="s">
        <v>1175</v>
      </c>
      <c r="F35" s="215" t="s">
        <v>1176</v>
      </c>
      <c r="G35" s="215" t="s">
        <v>1177</v>
      </c>
      <c r="H35" s="216" t="s">
        <v>1167</v>
      </c>
      <c r="I35" s="217" t="str">
        <f t="array" ref="I35">IF(E35="", "", _xlfn.XLOOKUP(E35, 'GERAL ENVIOS'!C:C, 'GERAL ENVIOS'!K:K,"NAO ESTA NA PLANILHA"))</f>
        <v>NAO ESTA NA PLANILHA</v>
      </c>
    </row>
    <row r="36" ht="17.25" customHeight="1">
      <c r="A36" s="211"/>
      <c r="B36" s="212" t="s">
        <v>1178</v>
      </c>
      <c r="C36" s="212" t="s">
        <v>1179</v>
      </c>
      <c r="D36" s="213">
        <v>75450.0</v>
      </c>
      <c r="E36" s="214" t="s">
        <v>1180</v>
      </c>
      <c r="F36" s="215" t="s">
        <v>1181</v>
      </c>
      <c r="G36" s="215" t="s">
        <v>1182</v>
      </c>
      <c r="H36" s="216" t="s">
        <v>1167</v>
      </c>
      <c r="I36" s="217" t="str">
        <f t="array" ref="I36">IF(E36="", "", _xlfn.XLOOKUP(E36, 'GERAL ENVIOS'!C:C, 'GERAL ENVIOS'!K:K,"NAO ESTA NA PLANILHA"))</f>
        <v>NAO ESTA NA PLANILHA</v>
      </c>
    </row>
    <row r="37" ht="17.25" customHeight="1">
      <c r="A37" s="211"/>
      <c r="B37" s="212" t="s">
        <v>1168</v>
      </c>
      <c r="C37" s="212" t="s">
        <v>1163</v>
      </c>
      <c r="D37" s="213">
        <v>83848.0</v>
      </c>
      <c r="E37" s="214" t="s">
        <v>1183</v>
      </c>
      <c r="F37" s="215" t="s">
        <v>1184</v>
      </c>
      <c r="G37" s="215" t="s">
        <v>1185</v>
      </c>
      <c r="H37" s="216" t="s">
        <v>1167</v>
      </c>
      <c r="I37" s="217" t="str">
        <f t="array" ref="I37">IF(E37="", "", _xlfn.XLOOKUP(E37, 'GERAL ENVIOS'!C:C, 'GERAL ENVIOS'!K:K,"NAO ESTA NA PLANILHA"))</f>
        <v>NAO ESTA NA PLANILHA</v>
      </c>
    </row>
    <row r="38" ht="17.25" customHeight="1">
      <c r="A38" s="211"/>
      <c r="B38" s="212" t="s">
        <v>1162</v>
      </c>
      <c r="C38" s="212" t="s">
        <v>1163</v>
      </c>
      <c r="D38" s="213">
        <v>75856.0</v>
      </c>
      <c r="E38" s="214" t="s">
        <v>1186</v>
      </c>
      <c r="F38" s="215" t="s">
        <v>1187</v>
      </c>
      <c r="G38" s="215" t="s">
        <v>1188</v>
      </c>
      <c r="H38" s="216" t="s">
        <v>1167</v>
      </c>
      <c r="I38" s="217" t="str">
        <f t="array" ref="I38">IF(E38="", "", _xlfn.XLOOKUP(E38, 'GERAL ENVIOS'!C:C, 'GERAL ENVIOS'!K:K,"NAO ESTA NA PLANILHA"))</f>
        <v>NAO ESTA NA PLANILHA</v>
      </c>
    </row>
    <row r="39" ht="17.25" customHeight="1">
      <c r="A39" s="211"/>
      <c r="B39" s="212" t="s">
        <v>1168</v>
      </c>
      <c r="C39" s="212" t="s">
        <v>1163</v>
      </c>
      <c r="D39" s="213">
        <v>88182.0</v>
      </c>
      <c r="E39" s="214" t="s">
        <v>1189</v>
      </c>
      <c r="F39" s="215" t="s">
        <v>1190</v>
      </c>
      <c r="G39" s="215" t="s">
        <v>1191</v>
      </c>
      <c r="H39" s="216" t="s">
        <v>1167</v>
      </c>
      <c r="I39" s="217" t="str">
        <f t="array" ref="I39">IF(E39="", "", _xlfn.XLOOKUP(E39, 'GERAL ENVIOS'!C:C, 'GERAL ENVIOS'!K:K,"NAO ESTA NA PLANILHA"))</f>
        <v>NAO ESTA NA PLANILHA</v>
      </c>
    </row>
    <row r="40" ht="17.25" customHeight="1">
      <c r="A40" s="211"/>
      <c r="B40" s="212" t="s">
        <v>1168</v>
      </c>
      <c r="C40" s="212" t="s">
        <v>1163</v>
      </c>
      <c r="D40" s="213">
        <v>77934.0</v>
      </c>
      <c r="E40" s="214" t="s">
        <v>1192</v>
      </c>
      <c r="F40" s="215" t="s">
        <v>1193</v>
      </c>
      <c r="G40" s="215" t="s">
        <v>1194</v>
      </c>
      <c r="H40" s="216" t="s">
        <v>1167</v>
      </c>
      <c r="I40" s="217" t="str">
        <f t="array" ref="I40">IF(E40="", "", _xlfn.XLOOKUP(E40, 'GERAL ENVIOS'!C:C, 'GERAL ENVIOS'!K:K,"NAO ESTA NA PLANILHA"))</f>
        <v>NAO ESTA NA PLANILHA</v>
      </c>
    </row>
    <row r="41" ht="17.25" customHeight="1">
      <c r="A41" s="211"/>
      <c r="B41" s="212" t="s">
        <v>1162</v>
      </c>
      <c r="C41" s="212" t="s">
        <v>1163</v>
      </c>
      <c r="D41" s="213">
        <v>88170.0</v>
      </c>
      <c r="E41" s="214" t="s">
        <v>1195</v>
      </c>
      <c r="F41" s="215" t="s">
        <v>1196</v>
      </c>
      <c r="G41" s="215" t="s">
        <v>1197</v>
      </c>
      <c r="H41" s="216" t="s">
        <v>1167</v>
      </c>
      <c r="I41" s="217" t="str">
        <f t="array" ref="I41">IF(E41="", "", _xlfn.XLOOKUP(E41, 'GERAL ENVIOS'!C:C, 'GERAL ENVIOS'!K:K,"NAO ESTA NA PLANILHA"))</f>
        <v>NAO ESTA NA PLANILHA</v>
      </c>
    </row>
    <row r="42" ht="17.25" customHeight="1">
      <c r="A42" s="211"/>
      <c r="B42" s="212" t="s">
        <v>1168</v>
      </c>
      <c r="C42" s="212" t="s">
        <v>1163</v>
      </c>
      <c r="D42" s="213">
        <v>88620.0</v>
      </c>
      <c r="E42" s="214" t="s">
        <v>1198</v>
      </c>
      <c r="F42" s="215" t="s">
        <v>1199</v>
      </c>
      <c r="G42" s="215" t="s">
        <v>1200</v>
      </c>
      <c r="H42" s="216" t="s">
        <v>1167</v>
      </c>
      <c r="I42" s="217" t="str">
        <f t="array" ref="I42">IF(E42="", "", _xlfn.XLOOKUP(E42, 'GERAL ENVIOS'!C:C, 'GERAL ENVIOS'!K:K,"NAO ESTA NA PLANILHA"))</f>
        <v>NAO ESTA NA PLANILHA</v>
      </c>
    </row>
    <row r="43" ht="17.25" customHeight="1">
      <c r="A43" s="211"/>
      <c r="B43" s="212" t="s">
        <v>1162</v>
      </c>
      <c r="C43" s="212" t="s">
        <v>1163</v>
      </c>
      <c r="D43" s="213">
        <v>69817.0</v>
      </c>
      <c r="E43" s="214" t="s">
        <v>1201</v>
      </c>
      <c r="F43" s="215" t="s">
        <v>1202</v>
      </c>
      <c r="G43" s="215" t="s">
        <v>1203</v>
      </c>
      <c r="H43" s="216" t="s">
        <v>1167</v>
      </c>
      <c r="I43" s="217" t="str">
        <f t="array" ref="I43">IF(E43="", "", _xlfn.XLOOKUP(E43, 'GERAL ENVIOS'!C:C, 'GERAL ENVIOS'!K:K,"NAO ESTA NA PLANILHA"))</f>
        <v>NAO ESTA NA PLANILHA</v>
      </c>
    </row>
    <row r="44" ht="17.25" customHeight="1">
      <c r="A44" s="211"/>
      <c r="B44" s="212" t="s">
        <v>1168</v>
      </c>
      <c r="C44" s="212" t="s">
        <v>1163</v>
      </c>
      <c r="D44" s="213">
        <v>88159.0</v>
      </c>
      <c r="E44" s="214" t="s">
        <v>1204</v>
      </c>
      <c r="F44" s="215" t="s">
        <v>1205</v>
      </c>
      <c r="G44" s="215" t="s">
        <v>1206</v>
      </c>
      <c r="H44" s="216" t="s">
        <v>1167</v>
      </c>
      <c r="I44" s="217" t="str">
        <f t="array" ref="I44">IF(E44="", "", _xlfn.XLOOKUP(E44, 'GERAL ENVIOS'!C:C, 'GERAL ENVIOS'!K:K,"NAO ESTA NA PLANILHA"))</f>
        <v>NAO ESTA NA PLANILHA</v>
      </c>
    </row>
    <row r="45" ht="17.25" customHeight="1">
      <c r="A45" s="211"/>
      <c r="B45" s="212" t="s">
        <v>1168</v>
      </c>
      <c r="C45" s="212" t="s">
        <v>1163</v>
      </c>
      <c r="D45" s="213">
        <v>76080.0</v>
      </c>
      <c r="E45" s="214" t="s">
        <v>1207</v>
      </c>
      <c r="F45" s="215" t="s">
        <v>1208</v>
      </c>
      <c r="G45" s="215" t="s">
        <v>1209</v>
      </c>
      <c r="H45" s="216" t="s">
        <v>1167</v>
      </c>
      <c r="I45" s="217" t="str">
        <f t="array" ref="I45">IF(E45="", "", _xlfn.XLOOKUP(E45, 'GERAL ENVIOS'!C:C, 'GERAL ENVIOS'!K:K,"NAO ESTA NA PLANILHA"))</f>
        <v>NAO ESTA NA PLANILHA</v>
      </c>
    </row>
    <row r="46" ht="17.25" customHeight="1">
      <c r="A46" s="211"/>
      <c r="B46" s="212" t="s">
        <v>1162</v>
      </c>
      <c r="C46" s="212" t="s">
        <v>1163</v>
      </c>
      <c r="D46" s="213">
        <v>88695.0</v>
      </c>
      <c r="E46" s="214" t="s">
        <v>1210</v>
      </c>
      <c r="F46" s="215" t="s">
        <v>1211</v>
      </c>
      <c r="G46" s="215" t="s">
        <v>1212</v>
      </c>
      <c r="H46" s="216" t="s">
        <v>1167</v>
      </c>
      <c r="I46" s="217" t="str">
        <f t="array" ref="I46">IF(E46="", "", _xlfn.XLOOKUP(E46, 'GERAL ENVIOS'!C:C, 'GERAL ENVIOS'!K:K,"NAO ESTA NA PLANILHA"))</f>
        <v>NAO ESTA NA PLANILHA</v>
      </c>
    </row>
    <row r="47" ht="17.25" customHeight="1">
      <c r="A47" s="211"/>
      <c r="B47" s="212" t="s">
        <v>1162</v>
      </c>
      <c r="C47" s="212" t="s">
        <v>1163</v>
      </c>
      <c r="D47" s="213">
        <v>88136.0</v>
      </c>
      <c r="E47" s="214" t="s">
        <v>1213</v>
      </c>
      <c r="F47" s="215" t="s">
        <v>1214</v>
      </c>
      <c r="G47" s="215" t="s">
        <v>1215</v>
      </c>
      <c r="H47" s="216" t="s">
        <v>1167</v>
      </c>
      <c r="I47" s="217" t="str">
        <f t="array" ref="I47">IF(E47="", "", _xlfn.XLOOKUP(E47, 'GERAL ENVIOS'!C:C, 'GERAL ENVIOS'!K:K,"NAO ESTA NA PLANILHA"))</f>
        <v>NAO ESTA NA PLANILHA</v>
      </c>
    </row>
    <row r="48" ht="17.25" customHeight="1">
      <c r="A48" s="211"/>
      <c r="B48" s="212" t="s">
        <v>1168</v>
      </c>
      <c r="C48" s="212" t="s">
        <v>1163</v>
      </c>
      <c r="D48" s="213">
        <v>78514.0</v>
      </c>
      <c r="E48" s="214" t="s">
        <v>1216</v>
      </c>
      <c r="F48" s="215" t="s">
        <v>1217</v>
      </c>
      <c r="G48" s="215" t="s">
        <v>1218</v>
      </c>
      <c r="H48" s="216" t="s">
        <v>1167</v>
      </c>
      <c r="I48" s="217" t="str">
        <f t="array" ref="I48">IF(E48="", "", _xlfn.XLOOKUP(E48, 'GERAL ENVIOS'!C:C, 'GERAL ENVIOS'!K:K,"NAO ESTA NA PLANILHA"))</f>
        <v>NAO ESTA NA PLANILHA</v>
      </c>
    </row>
    <row r="49" ht="17.25" customHeight="1">
      <c r="A49" s="211"/>
      <c r="B49" s="212" t="s">
        <v>1162</v>
      </c>
      <c r="C49" s="212" t="s">
        <v>1163</v>
      </c>
      <c r="D49" s="213">
        <v>88553.0</v>
      </c>
      <c r="E49" s="214" t="s">
        <v>1219</v>
      </c>
      <c r="F49" s="215" t="s">
        <v>1220</v>
      </c>
      <c r="G49" s="215" t="s">
        <v>1221</v>
      </c>
      <c r="H49" s="216" t="s">
        <v>1167</v>
      </c>
      <c r="I49" s="217" t="str">
        <f t="array" ref="I49">IF(E49="", "", _xlfn.XLOOKUP(E49, 'GERAL ENVIOS'!C:C, 'GERAL ENVIOS'!K:K,"NAO ESTA NA PLANILHA"))</f>
        <v>NAO ESTA NA PLANILHA</v>
      </c>
    </row>
    <row r="50" ht="17.25" customHeight="1">
      <c r="A50" s="211"/>
      <c r="B50" s="212" t="s">
        <v>1168</v>
      </c>
      <c r="C50" s="212" t="s">
        <v>1163</v>
      </c>
      <c r="D50" s="213">
        <v>88822.0</v>
      </c>
      <c r="E50" s="214" t="s">
        <v>1222</v>
      </c>
      <c r="F50" s="215" t="s">
        <v>1223</v>
      </c>
      <c r="G50" s="215" t="s">
        <v>1224</v>
      </c>
      <c r="H50" s="216" t="s">
        <v>1167</v>
      </c>
      <c r="I50" s="217" t="str">
        <f t="array" ref="I50">IF(E50="", "", _xlfn.XLOOKUP(E50, 'GERAL ENVIOS'!C:C, 'GERAL ENVIOS'!K:K,"NAO ESTA NA PLANILHA"))</f>
        <v>NAO ESTA NA PLANILHA</v>
      </c>
    </row>
    <row r="51" ht="17.25" customHeight="1">
      <c r="A51" s="211"/>
      <c r="B51" s="212" t="s">
        <v>1162</v>
      </c>
      <c r="C51" s="212" t="s">
        <v>1163</v>
      </c>
      <c r="D51" s="213">
        <v>89167.0</v>
      </c>
      <c r="E51" s="214" t="s">
        <v>1225</v>
      </c>
      <c r="F51" s="215" t="s">
        <v>1226</v>
      </c>
      <c r="G51" s="215" t="s">
        <v>1227</v>
      </c>
      <c r="H51" s="216" t="s">
        <v>1167</v>
      </c>
      <c r="I51" s="217" t="str">
        <f t="array" ref="I51">IF(E51="", "", _xlfn.XLOOKUP(E51, 'GERAL ENVIOS'!C:C, 'GERAL ENVIOS'!K:K,"NAO ESTA NA PLANILHA"))</f>
        <v>NAO ESTA NA PLANILHA</v>
      </c>
    </row>
    <row r="52" ht="17.25" customHeight="1">
      <c r="A52" s="211"/>
      <c r="B52" s="212" t="s">
        <v>1168</v>
      </c>
      <c r="C52" s="212" t="s">
        <v>1163</v>
      </c>
      <c r="D52" s="213">
        <v>89197.0</v>
      </c>
      <c r="E52" s="214" t="s">
        <v>917</v>
      </c>
      <c r="F52" s="215" t="s">
        <v>1228</v>
      </c>
      <c r="G52" s="215" t="s">
        <v>1229</v>
      </c>
      <c r="H52" s="216" t="s">
        <v>1167</v>
      </c>
      <c r="I52" s="217" t="str">
        <f t="array" ref="I52">IF(E52="", "", _xlfn.XLOOKUP(E52, 'GERAL ENVIOS'!C:C, 'GERAL ENVIOS'!K:K,"NAO ESTA NA PLANILHA"))</f>
        <v>Aguardando Aprovação</v>
      </c>
    </row>
    <row r="53" ht="17.25" customHeight="1">
      <c r="A53" s="211"/>
      <c r="B53" s="212" t="s">
        <v>1162</v>
      </c>
      <c r="C53" s="212" t="s">
        <v>1163</v>
      </c>
      <c r="D53" s="213">
        <v>79010.0</v>
      </c>
      <c r="E53" s="214" t="s">
        <v>1230</v>
      </c>
      <c r="F53" s="215" t="s">
        <v>1231</v>
      </c>
      <c r="G53" s="215" t="s">
        <v>1232</v>
      </c>
      <c r="H53" s="216" t="s">
        <v>1167</v>
      </c>
      <c r="I53" s="217" t="str">
        <f t="array" ref="I53">IF(E53="", "", _xlfn.XLOOKUP(E53, 'GERAL ENVIOS'!C:C, 'GERAL ENVIOS'!K:K,"NAO ESTA NA PLANILHA"))</f>
        <v>NAO ESTA NA PLANILHA</v>
      </c>
    </row>
    <row r="54" ht="17.25" customHeight="1">
      <c r="A54" s="211"/>
      <c r="B54" s="212" t="s">
        <v>1162</v>
      </c>
      <c r="C54" s="212" t="s">
        <v>1163</v>
      </c>
      <c r="D54" s="213">
        <v>88172.0</v>
      </c>
      <c r="E54" s="214" t="s">
        <v>76</v>
      </c>
      <c r="F54" s="215" t="s">
        <v>1233</v>
      </c>
      <c r="G54" s="215" t="s">
        <v>1234</v>
      </c>
      <c r="H54" s="216" t="s">
        <v>1167</v>
      </c>
      <c r="I54" s="217" t="str">
        <f t="array" ref="I54">IF(E54="", "", _xlfn.XLOOKUP(E54, 'GERAL ENVIOS'!C:C, 'GERAL ENVIOS'!K:K,"NAO ESTA NA PLANILHA"))</f>
        <v>Finalizado</v>
      </c>
    </row>
    <row r="55" ht="17.25" customHeight="1">
      <c r="A55" s="211"/>
      <c r="B55" s="212" t="s">
        <v>1162</v>
      </c>
      <c r="C55" s="212" t="s">
        <v>1235</v>
      </c>
      <c r="D55" s="213">
        <v>88837.0</v>
      </c>
      <c r="E55" s="214" t="s">
        <v>239</v>
      </c>
      <c r="F55" s="215" t="s">
        <v>1236</v>
      </c>
      <c r="G55" s="215" t="s">
        <v>1237</v>
      </c>
      <c r="H55" s="216" t="s">
        <v>1167</v>
      </c>
      <c r="I55" s="217" t="str">
        <f t="array" ref="I55">IF(E55="", "", _xlfn.XLOOKUP(E55, 'GERAL ENVIOS'!C:C, 'GERAL ENVIOS'!K:K,"NAO ESTA NA PLANILHA"))</f>
        <v>Finalizado</v>
      </c>
    </row>
    <row r="56" ht="17.25" customHeight="1">
      <c r="A56" s="211"/>
      <c r="B56" s="212" t="s">
        <v>1168</v>
      </c>
      <c r="C56" s="212" t="s">
        <v>1163</v>
      </c>
      <c r="D56" s="213">
        <v>88642.0</v>
      </c>
      <c r="E56" s="214" t="s">
        <v>278</v>
      </c>
      <c r="F56" s="215" t="s">
        <v>1238</v>
      </c>
      <c r="G56" s="215" t="s">
        <v>1239</v>
      </c>
      <c r="H56" s="216" t="s">
        <v>1167</v>
      </c>
      <c r="I56" s="217" t="str">
        <f t="array" ref="I56">IF(E56="", "", _xlfn.XLOOKUP(E56, 'GERAL ENVIOS'!C:C, 'GERAL ENVIOS'!K:K,"NAO ESTA NA PLANILHA"))</f>
        <v>Aguardando Aprovação</v>
      </c>
    </row>
    <row r="57" ht="17.25" customHeight="1">
      <c r="A57" s="211"/>
      <c r="B57" s="212" t="s">
        <v>1168</v>
      </c>
      <c r="C57" s="212" t="s">
        <v>1235</v>
      </c>
      <c r="D57" s="213">
        <v>89215.0</v>
      </c>
      <c r="E57" s="214" t="s">
        <v>398</v>
      </c>
      <c r="F57" s="215" t="s">
        <v>1240</v>
      </c>
      <c r="G57" s="215" t="s">
        <v>1241</v>
      </c>
      <c r="H57" s="216" t="s">
        <v>1167</v>
      </c>
      <c r="I57" s="217" t="str">
        <f t="array" ref="I57">IF(E57="", "", _xlfn.XLOOKUP(E57, 'GERAL ENVIOS'!C:C, 'GERAL ENVIOS'!K:K,"NAO ESTA NA PLANILHA"))</f>
        <v>Finalizado</v>
      </c>
    </row>
    <row r="58" ht="17.25" customHeight="1">
      <c r="A58" s="211"/>
      <c r="B58" s="212" t="s">
        <v>1162</v>
      </c>
      <c r="C58" s="212" t="s">
        <v>1163</v>
      </c>
      <c r="D58" s="213">
        <v>88184.0</v>
      </c>
      <c r="E58" s="214" t="s">
        <v>506</v>
      </c>
      <c r="F58" s="215" t="s">
        <v>1242</v>
      </c>
      <c r="G58" s="215" t="s">
        <v>1243</v>
      </c>
      <c r="H58" s="216" t="s">
        <v>1167</v>
      </c>
      <c r="I58" s="217" t="str">
        <f t="array" ref="I58">IF(E58="", "", _xlfn.XLOOKUP(E58, 'GERAL ENVIOS'!C:C, 'GERAL ENVIOS'!K:K,"NAO ESTA NA PLANILHA"))</f>
        <v>Aguardando Aprovação</v>
      </c>
    </row>
    <row r="59" ht="17.25" customHeight="1">
      <c r="A59" s="211"/>
      <c r="B59" s="212" t="s">
        <v>1162</v>
      </c>
      <c r="C59" s="212" t="s">
        <v>1163</v>
      </c>
      <c r="D59" s="213">
        <v>89232.0</v>
      </c>
      <c r="E59" s="214" t="s">
        <v>516</v>
      </c>
      <c r="F59" s="215" t="s">
        <v>1244</v>
      </c>
      <c r="G59" s="215" t="s">
        <v>1245</v>
      </c>
      <c r="H59" s="216" t="s">
        <v>1167</v>
      </c>
      <c r="I59" s="217" t="str">
        <f t="array" ref="I59">IF(E59="", "", _xlfn.XLOOKUP(E59, 'GERAL ENVIOS'!C:C, 'GERAL ENVIOS'!K:K,"NAO ESTA NA PLANILHA"))</f>
        <v>IMPRESSÃO</v>
      </c>
    </row>
    <row r="60" ht="17.25" customHeight="1">
      <c r="A60" s="211"/>
      <c r="B60" s="212" t="s">
        <v>1162</v>
      </c>
      <c r="C60" s="212" t="s">
        <v>1246</v>
      </c>
      <c r="D60" s="213">
        <v>89199.0</v>
      </c>
      <c r="E60" s="214" t="s">
        <v>534</v>
      </c>
      <c r="F60" s="215" t="s">
        <v>1247</v>
      </c>
      <c r="G60" s="215" t="s">
        <v>1248</v>
      </c>
      <c r="H60" s="216" t="s">
        <v>1167</v>
      </c>
      <c r="I60" s="217" t="str">
        <f t="array" ref="I60">IF(E60="", "", _xlfn.XLOOKUP(E60, 'GERAL ENVIOS'!C:C, 'GERAL ENVIOS'!K:K,"NAO ESTA NA PLANILHA"))</f>
        <v>Finalizado</v>
      </c>
    </row>
    <row r="61" ht="17.25" customHeight="1">
      <c r="A61" s="211"/>
      <c r="B61" s="212" t="s">
        <v>1168</v>
      </c>
      <c r="C61" s="212" t="s">
        <v>1163</v>
      </c>
      <c r="D61" s="213">
        <v>88336.0</v>
      </c>
      <c r="E61" s="214" t="s">
        <v>650</v>
      </c>
      <c r="F61" s="215" t="s">
        <v>1249</v>
      </c>
      <c r="G61" s="215" t="s">
        <v>1250</v>
      </c>
      <c r="H61" s="216" t="s">
        <v>1167</v>
      </c>
      <c r="I61" s="217" t="str">
        <f t="array" ref="I61">IF(E61="", "", _xlfn.XLOOKUP(E61, 'GERAL ENVIOS'!C:C, 'GERAL ENVIOS'!K:K,"NAO ESTA NA PLANILHA"))</f>
        <v>Finalizado</v>
      </c>
    </row>
    <row r="62" ht="17.25" customHeight="1">
      <c r="A62" s="211"/>
      <c r="B62" s="212" t="s">
        <v>1168</v>
      </c>
      <c r="C62" s="212" t="s">
        <v>1163</v>
      </c>
      <c r="D62" s="213">
        <v>88834.0</v>
      </c>
      <c r="E62" s="214" t="s">
        <v>1251</v>
      </c>
      <c r="F62" s="215" t="s">
        <v>1252</v>
      </c>
      <c r="G62" s="215" t="s">
        <v>1253</v>
      </c>
      <c r="H62" s="216" t="s">
        <v>1167</v>
      </c>
      <c r="I62" s="217" t="str">
        <f t="array" ref="I62">IF(E62="", "", _xlfn.XLOOKUP(E62, 'GERAL ENVIOS'!C:C, 'GERAL ENVIOS'!K:K,"NAO ESTA NA PLANILHA"))</f>
        <v>NAO ESTA NA PLANILHA</v>
      </c>
    </row>
    <row r="63" ht="17.25" customHeight="1">
      <c r="A63" s="211"/>
      <c r="B63" s="212" t="s">
        <v>1168</v>
      </c>
      <c r="C63" s="212" t="s">
        <v>1163</v>
      </c>
      <c r="D63" s="213">
        <v>83881.0</v>
      </c>
      <c r="E63" s="214" t="s">
        <v>725</v>
      </c>
      <c r="F63" s="215" t="s">
        <v>1254</v>
      </c>
      <c r="G63" s="215" t="s">
        <v>1255</v>
      </c>
      <c r="H63" s="216" t="s">
        <v>1167</v>
      </c>
      <c r="I63" s="217" t="str">
        <f t="array" ref="I63">IF(E63="", "", _xlfn.XLOOKUP(E63, 'GERAL ENVIOS'!C:C, 'GERAL ENVIOS'!K:K,"NAO ESTA NA PLANILHA"))</f>
        <v>Finalizado</v>
      </c>
    </row>
    <row r="64" ht="17.25" customHeight="1">
      <c r="A64" s="211"/>
      <c r="B64" s="212" t="s">
        <v>1168</v>
      </c>
      <c r="C64" s="212" t="s">
        <v>1163</v>
      </c>
      <c r="D64" s="213">
        <v>86626.0</v>
      </c>
      <c r="E64" s="214" t="s">
        <v>786</v>
      </c>
      <c r="F64" s="215" t="s">
        <v>1256</v>
      </c>
      <c r="G64" s="215" t="s">
        <v>1257</v>
      </c>
      <c r="H64" s="216" t="s">
        <v>1167</v>
      </c>
      <c r="I64" s="217" t="str">
        <f t="array" ref="I64">IF(E64="", "", _xlfn.XLOOKUP(E64, 'GERAL ENVIOS'!C:C, 'GERAL ENVIOS'!K:K,"NAO ESTA NA PLANILHA"))</f>
        <v>AGUARDANDO FOTO</v>
      </c>
    </row>
    <row r="65" ht="17.25" customHeight="1">
      <c r="A65" s="211"/>
      <c r="B65" s="212" t="s">
        <v>1162</v>
      </c>
      <c r="C65" s="212" t="s">
        <v>1235</v>
      </c>
      <c r="D65" s="213">
        <v>88835.0</v>
      </c>
      <c r="E65" s="214" t="s">
        <v>841</v>
      </c>
      <c r="F65" s="215" t="s">
        <v>1258</v>
      </c>
      <c r="G65" s="215" t="s">
        <v>1259</v>
      </c>
      <c r="H65" s="216" t="s">
        <v>1167</v>
      </c>
      <c r="I65" s="217" t="str">
        <f t="array" ref="I65">IF(E65="", "", _xlfn.XLOOKUP(E65, 'GERAL ENVIOS'!C:C, 'GERAL ENVIOS'!K:K,"NAO ESTA NA PLANILHA"))</f>
        <v>Finalizado</v>
      </c>
    </row>
    <row r="66" ht="17.25" customHeight="1">
      <c r="A66" s="211"/>
      <c r="B66" s="212" t="s">
        <v>1162</v>
      </c>
      <c r="C66" s="212" t="s">
        <v>1163</v>
      </c>
      <c r="D66" s="213">
        <v>88111.0</v>
      </c>
      <c r="E66" s="214" t="s">
        <v>1260</v>
      </c>
      <c r="F66" s="215" t="s">
        <v>1261</v>
      </c>
      <c r="G66" s="215" t="s">
        <v>1262</v>
      </c>
      <c r="H66" s="216" t="s">
        <v>1167</v>
      </c>
      <c r="I66" s="217" t="str">
        <f t="array" ref="I66">IF(E66="", "", _xlfn.XLOOKUP(E66, 'GERAL ENVIOS'!C:C, 'GERAL ENVIOS'!K:K,"NAO ESTA NA PLANILHA"))</f>
        <v>NAO ESTA NA PLANILHA</v>
      </c>
    </row>
    <row r="67" ht="17.25" customHeight="1">
      <c r="A67" s="211"/>
      <c r="B67" s="212" t="s">
        <v>1162</v>
      </c>
      <c r="C67" s="212" t="s">
        <v>1163</v>
      </c>
      <c r="D67" s="213">
        <v>88486.0</v>
      </c>
      <c r="E67" s="214" t="s">
        <v>879</v>
      </c>
      <c r="F67" s="215" t="s">
        <v>1263</v>
      </c>
      <c r="G67" s="215" t="s">
        <v>1264</v>
      </c>
      <c r="H67" s="216" t="s">
        <v>1167</v>
      </c>
      <c r="I67" s="217" t="str">
        <f t="array" ref="I67">IF(E67="", "", _xlfn.XLOOKUP(E67, 'GERAL ENVIOS'!C:C, 'GERAL ENVIOS'!K:K,"NAO ESTA NA PLANILHA"))</f>
        <v>Finalizado</v>
      </c>
    </row>
    <row r="68" ht="17.25" customHeight="1">
      <c r="A68" s="211"/>
      <c r="B68" s="212" t="s">
        <v>1162</v>
      </c>
      <c r="C68" s="212" t="s">
        <v>1163</v>
      </c>
      <c r="D68" s="213">
        <v>88557.0</v>
      </c>
      <c r="E68" s="214" t="s">
        <v>885</v>
      </c>
      <c r="F68" s="215" t="s">
        <v>1265</v>
      </c>
      <c r="G68" s="215" t="s">
        <v>1266</v>
      </c>
      <c r="H68" s="216" t="s">
        <v>1167</v>
      </c>
      <c r="I68" s="217" t="str">
        <f t="array" ref="I68">IF(E68="", "", _xlfn.XLOOKUP(E68, 'GERAL ENVIOS'!C:C, 'GERAL ENVIOS'!K:K,"NAO ESTA NA PLANILHA"))</f>
        <v>Com Modificações</v>
      </c>
    </row>
    <row r="69" ht="17.25" customHeight="1">
      <c r="A69" s="211"/>
      <c r="B69" s="212" t="s">
        <v>1162</v>
      </c>
      <c r="C69" s="212" t="s">
        <v>1235</v>
      </c>
      <c r="D69" s="213">
        <v>85076.0</v>
      </c>
      <c r="E69" s="214" t="s">
        <v>931</v>
      </c>
      <c r="F69" s="215" t="s">
        <v>1267</v>
      </c>
      <c r="G69" s="215" t="s">
        <v>1268</v>
      </c>
      <c r="H69" s="216" t="s">
        <v>1167</v>
      </c>
      <c r="I69" s="217" t="str">
        <f t="array" ref="I69">IF(E69="", "", _xlfn.XLOOKUP(E69, 'GERAL ENVIOS'!C:C, 'GERAL ENVIOS'!K:K,"NAO ESTA NA PLANILHA"))</f>
        <v>Finalizado</v>
      </c>
    </row>
    <row r="70" ht="17.25" customHeight="1">
      <c r="A70" s="211"/>
      <c r="B70" s="212" t="s">
        <v>1162</v>
      </c>
      <c r="C70" s="212" t="s">
        <v>1163</v>
      </c>
      <c r="D70" s="213">
        <v>89220.0</v>
      </c>
      <c r="E70" s="214" t="s">
        <v>946</v>
      </c>
      <c r="F70" s="215" t="s">
        <v>1269</v>
      </c>
      <c r="G70" s="215" t="s">
        <v>1270</v>
      </c>
      <c r="H70" s="216" t="s">
        <v>1167</v>
      </c>
      <c r="I70" s="217" t="str">
        <f t="array" ref="I70">IF(E70="", "", _xlfn.XLOOKUP(E70, 'GERAL ENVIOS'!C:C, 'GERAL ENVIOS'!K:K,"NAO ESTA NA PLANILHA"))</f>
        <v>Finalizado</v>
      </c>
    </row>
    <row r="71" ht="17.25" customHeight="1">
      <c r="A71" s="211"/>
      <c r="B71" s="212" t="s">
        <v>1162</v>
      </c>
      <c r="C71" s="212" t="s">
        <v>1235</v>
      </c>
      <c r="D71" s="213">
        <v>88380.0</v>
      </c>
      <c r="E71" s="214" t="s">
        <v>1005</v>
      </c>
      <c r="F71" s="215" t="s">
        <v>1271</v>
      </c>
      <c r="G71" s="215" t="s">
        <v>1272</v>
      </c>
      <c r="H71" s="216" t="s">
        <v>1167</v>
      </c>
      <c r="I71" s="217" t="str">
        <f t="array" ref="I71">IF(E71="", "", _xlfn.XLOOKUP(E71, 'GERAL ENVIOS'!C:C, 'GERAL ENVIOS'!K:K,"NAO ESTA NA PLANILHA"))</f>
        <v>Finalizado</v>
      </c>
    </row>
    <row r="72" ht="17.25" customHeight="1">
      <c r="A72" s="211"/>
      <c r="B72" s="219" t="s">
        <v>1168</v>
      </c>
      <c r="C72" s="219" t="s">
        <v>1163</v>
      </c>
      <c r="D72" s="220">
        <v>85927.0</v>
      </c>
      <c r="E72" s="221" t="s">
        <v>1273</v>
      </c>
      <c r="F72" s="219" t="s">
        <v>1274</v>
      </c>
      <c r="G72" s="219" t="s">
        <v>1275</v>
      </c>
      <c r="H72" s="222" t="s">
        <v>1276</v>
      </c>
      <c r="I72" s="217" t="str">
        <f t="array" ref="I72">IF(E72="", "", _xlfn.XLOOKUP(E72, 'GERAL ENVIOS'!C:C, 'GERAL ENVIOS'!K:K,"NAO ESTA NA PLANILHA"))</f>
        <v>NAO ESTA NA PLANILHA</v>
      </c>
    </row>
    <row r="73" ht="17.25" customHeight="1">
      <c r="A73" s="211"/>
      <c r="B73" s="219" t="s">
        <v>1168</v>
      </c>
      <c r="C73" s="219" t="s">
        <v>1163</v>
      </c>
      <c r="D73" s="220">
        <v>74709.0</v>
      </c>
      <c r="E73" s="221" t="s">
        <v>1277</v>
      </c>
      <c r="F73" s="219" t="s">
        <v>1278</v>
      </c>
      <c r="G73" s="219" t="s">
        <v>1279</v>
      </c>
      <c r="H73" s="222" t="s">
        <v>1276</v>
      </c>
      <c r="I73" s="217" t="str">
        <f t="array" ref="I73">IF(E73="", "", _xlfn.XLOOKUP(E73, 'GERAL ENVIOS'!C:C, 'GERAL ENVIOS'!K:K,"NAO ESTA NA PLANILHA"))</f>
        <v>NAO ESTA NA PLANILHA</v>
      </c>
    </row>
    <row r="74" ht="17.25" customHeight="1">
      <c r="A74" s="211"/>
      <c r="B74" s="219" t="s">
        <v>1168</v>
      </c>
      <c r="C74" s="219" t="s">
        <v>1163</v>
      </c>
      <c r="D74" s="220">
        <v>85891.0</v>
      </c>
      <c r="E74" s="221" t="s">
        <v>196</v>
      </c>
      <c r="F74" s="219" t="s">
        <v>1280</v>
      </c>
      <c r="G74" s="219" t="s">
        <v>1281</v>
      </c>
      <c r="H74" s="222" t="s">
        <v>1276</v>
      </c>
      <c r="I74" s="217" t="str">
        <f t="array" ref="I74">IF(E74="", "", _xlfn.XLOOKUP(E74, 'GERAL ENVIOS'!C:C, 'GERAL ENVIOS'!K:K,"NAO ESTA NA PLANILHA"))</f>
        <v>IMPRESSÃO</v>
      </c>
    </row>
    <row r="75" ht="17.25" customHeight="1">
      <c r="A75" s="211"/>
      <c r="B75" s="219" t="s">
        <v>1168</v>
      </c>
      <c r="C75" s="219" t="s">
        <v>1163</v>
      </c>
      <c r="D75" s="220">
        <v>76069.0</v>
      </c>
      <c r="E75" s="221" t="s">
        <v>1282</v>
      </c>
      <c r="F75" s="219" t="s">
        <v>1283</v>
      </c>
      <c r="G75" s="219" t="s">
        <v>1284</v>
      </c>
      <c r="H75" s="222" t="s">
        <v>1276</v>
      </c>
      <c r="I75" s="217" t="str">
        <f t="array" ref="I75">IF(E75="", "", _xlfn.XLOOKUP(E75, 'GERAL ENVIOS'!C:C, 'GERAL ENVIOS'!K:K,"NAO ESTA NA PLANILHA"))</f>
        <v>NAO ESTA NA PLANILHA</v>
      </c>
    </row>
    <row r="76" ht="17.25" customHeight="1">
      <c r="A76" s="211"/>
      <c r="B76" s="219" t="s">
        <v>1162</v>
      </c>
      <c r="C76" s="219" t="s">
        <v>1163</v>
      </c>
      <c r="D76" s="220">
        <v>85988.0</v>
      </c>
      <c r="E76" s="221" t="s">
        <v>1285</v>
      </c>
      <c r="F76" s="219" t="s">
        <v>1286</v>
      </c>
      <c r="G76" s="219" t="s">
        <v>1287</v>
      </c>
      <c r="H76" s="222" t="s">
        <v>1276</v>
      </c>
      <c r="I76" s="217" t="str">
        <f t="array" ref="I76">IF(E76="", "", _xlfn.XLOOKUP(E76, 'GERAL ENVIOS'!C:C, 'GERAL ENVIOS'!K:K,"NAO ESTA NA PLANILHA"))</f>
        <v>NAO ESTA NA PLANILHA</v>
      </c>
    </row>
    <row r="77" ht="17.25" customHeight="1">
      <c r="A77" s="211"/>
      <c r="B77" s="219" t="s">
        <v>1168</v>
      </c>
      <c r="C77" s="219" t="s">
        <v>1163</v>
      </c>
      <c r="D77" s="220">
        <v>88996.0</v>
      </c>
      <c r="E77" s="221" t="s">
        <v>1288</v>
      </c>
      <c r="F77" s="219" t="s">
        <v>1289</v>
      </c>
      <c r="G77" s="219" t="s">
        <v>1290</v>
      </c>
      <c r="H77" s="222" t="s">
        <v>1276</v>
      </c>
      <c r="I77" s="217" t="str">
        <f t="array" ref="I77">IF(E77="", "", _xlfn.XLOOKUP(E77, 'GERAL ENVIOS'!C:C, 'GERAL ENVIOS'!K:K,"NAO ESTA NA PLANILHA"))</f>
        <v>NAO ESTA NA PLANILHA</v>
      </c>
    </row>
    <row r="78" ht="17.25" customHeight="1">
      <c r="A78" s="211"/>
      <c r="B78" s="219" t="s">
        <v>1168</v>
      </c>
      <c r="C78" s="219" t="s">
        <v>1163</v>
      </c>
      <c r="D78" s="220">
        <v>87065.0</v>
      </c>
      <c r="E78" s="221" t="s">
        <v>1291</v>
      </c>
      <c r="F78" s="219" t="s">
        <v>1292</v>
      </c>
      <c r="G78" s="219" t="s">
        <v>1293</v>
      </c>
      <c r="H78" s="222" t="s">
        <v>1276</v>
      </c>
      <c r="I78" s="217" t="str">
        <f t="array" ref="I78">IF(E78="", "", _xlfn.XLOOKUP(E78, 'GERAL ENVIOS'!C:C, 'GERAL ENVIOS'!K:K,"NAO ESTA NA PLANILHA"))</f>
        <v>NAO ESTA NA PLANILHA</v>
      </c>
    </row>
    <row r="79" ht="17.25" customHeight="1">
      <c r="A79" s="211"/>
      <c r="B79" s="219" t="s">
        <v>1162</v>
      </c>
      <c r="C79" s="219" t="s">
        <v>1163</v>
      </c>
      <c r="D79" s="220">
        <v>86522.0</v>
      </c>
      <c r="E79" s="221" t="s">
        <v>1294</v>
      </c>
      <c r="F79" s="219" t="s">
        <v>1295</v>
      </c>
      <c r="G79" s="219" t="s">
        <v>1296</v>
      </c>
      <c r="H79" s="222" t="s">
        <v>1276</v>
      </c>
      <c r="I79" s="217" t="str">
        <f t="array" ref="I79">IF(E79="", "", _xlfn.XLOOKUP(E79, 'GERAL ENVIOS'!C:C, 'GERAL ENVIOS'!K:K,"NAO ESTA NA PLANILHA"))</f>
        <v>NAO ESTA NA PLANILHA</v>
      </c>
    </row>
    <row r="80" ht="17.25" customHeight="1">
      <c r="A80" s="211"/>
      <c r="B80" s="219" t="s">
        <v>1162</v>
      </c>
      <c r="C80" s="219" t="s">
        <v>1163</v>
      </c>
      <c r="D80" s="220">
        <v>85989.0</v>
      </c>
      <c r="E80" s="221" t="s">
        <v>1297</v>
      </c>
      <c r="F80" s="219" t="s">
        <v>1298</v>
      </c>
      <c r="G80" s="219" t="s">
        <v>1299</v>
      </c>
      <c r="H80" s="222" t="s">
        <v>1276</v>
      </c>
      <c r="I80" s="217" t="str">
        <f t="array" ref="I80">IF(E80="", "", _xlfn.XLOOKUP(E80, 'GERAL ENVIOS'!C:C, 'GERAL ENVIOS'!K:K,"NAO ESTA NA PLANILHA"))</f>
        <v>NAO ESTA NA PLANILHA</v>
      </c>
    </row>
    <row r="81" ht="17.25" customHeight="1">
      <c r="A81" s="211"/>
      <c r="B81" s="219" t="s">
        <v>1162</v>
      </c>
      <c r="C81" s="219" t="s">
        <v>1163</v>
      </c>
      <c r="D81" s="220">
        <v>70823.0</v>
      </c>
      <c r="E81" s="221" t="s">
        <v>1300</v>
      </c>
      <c r="F81" s="219" t="s">
        <v>1301</v>
      </c>
      <c r="G81" s="219" t="s">
        <v>1302</v>
      </c>
      <c r="H81" s="222" t="s">
        <v>1276</v>
      </c>
      <c r="I81" s="217" t="str">
        <f t="array" ref="I81">IF(E81="", "", _xlfn.XLOOKUP(E81, 'GERAL ENVIOS'!C:C, 'GERAL ENVIOS'!K:K,"NAO ESTA NA PLANILHA"))</f>
        <v>NAO ESTA NA PLANILHA</v>
      </c>
    </row>
    <row r="82" ht="17.25" customHeight="1">
      <c r="A82" s="211"/>
      <c r="B82" s="219" t="s">
        <v>1162</v>
      </c>
      <c r="C82" s="219" t="s">
        <v>1163</v>
      </c>
      <c r="D82" s="220">
        <v>85906.0</v>
      </c>
      <c r="E82" s="221" t="s">
        <v>1303</v>
      </c>
      <c r="F82" s="219" t="s">
        <v>1304</v>
      </c>
      <c r="G82" s="219" t="s">
        <v>1305</v>
      </c>
      <c r="H82" s="222" t="s">
        <v>1276</v>
      </c>
      <c r="I82" s="217" t="str">
        <f t="array" ref="I82">IF(E82="", "", _xlfn.XLOOKUP(E82, 'GERAL ENVIOS'!C:C, 'GERAL ENVIOS'!K:K,"NAO ESTA NA PLANILHA"))</f>
        <v>NAO ESTA NA PLANILHA</v>
      </c>
    </row>
    <row r="83" ht="17.25" customHeight="1">
      <c r="A83" s="211"/>
      <c r="B83" s="219" t="s">
        <v>1168</v>
      </c>
      <c r="C83" s="219" t="s">
        <v>1163</v>
      </c>
      <c r="D83" s="220">
        <v>88410.0</v>
      </c>
      <c r="E83" s="221" t="s">
        <v>1306</v>
      </c>
      <c r="F83" s="219" t="s">
        <v>1307</v>
      </c>
      <c r="G83" s="219" t="s">
        <v>1308</v>
      </c>
      <c r="H83" s="222" t="s">
        <v>1276</v>
      </c>
      <c r="I83" s="217" t="str">
        <f t="array" ref="I83">IF(E83="", "", _xlfn.XLOOKUP(E83, 'GERAL ENVIOS'!C:C, 'GERAL ENVIOS'!K:K,"NAO ESTA NA PLANILHA"))</f>
        <v>NAO ESTA NA PLANILHA</v>
      </c>
    </row>
    <row r="84" ht="17.25" customHeight="1">
      <c r="A84" s="211"/>
      <c r="B84" s="219" t="s">
        <v>1168</v>
      </c>
      <c r="C84" s="219" t="s">
        <v>1163</v>
      </c>
      <c r="D84" s="220">
        <v>86583.0</v>
      </c>
      <c r="E84" s="221" t="s">
        <v>1309</v>
      </c>
      <c r="F84" s="219" t="s">
        <v>1310</v>
      </c>
      <c r="G84" s="219" t="s">
        <v>1311</v>
      </c>
      <c r="H84" s="222" t="s">
        <v>1276</v>
      </c>
      <c r="I84" s="217" t="str">
        <f t="array" ref="I84">IF(E84="", "", _xlfn.XLOOKUP(E84, 'GERAL ENVIOS'!C:C, 'GERAL ENVIOS'!K:K,"NAO ESTA NA PLANILHA"))</f>
        <v>NAO ESTA NA PLANILHA</v>
      </c>
    </row>
    <row r="85" ht="17.25" customHeight="1">
      <c r="A85" s="211"/>
      <c r="B85" s="219" t="s">
        <v>1162</v>
      </c>
      <c r="C85" s="219" t="s">
        <v>1163</v>
      </c>
      <c r="D85" s="220">
        <v>84354.0</v>
      </c>
      <c r="E85" s="221" t="s">
        <v>1312</v>
      </c>
      <c r="F85" s="219" t="s">
        <v>1313</v>
      </c>
      <c r="G85" s="219" t="s">
        <v>1314</v>
      </c>
      <c r="H85" s="222" t="s">
        <v>1276</v>
      </c>
      <c r="I85" s="217" t="str">
        <f t="array" ref="I85">IF(E85="", "", _xlfn.XLOOKUP(E85, 'GERAL ENVIOS'!C:C, 'GERAL ENVIOS'!K:K,"NAO ESTA NA PLANILHA"))</f>
        <v>NAO ESTA NA PLANILHA</v>
      </c>
    </row>
    <row r="86" ht="17.25" customHeight="1">
      <c r="A86" s="211"/>
      <c r="B86" s="219" t="s">
        <v>1168</v>
      </c>
      <c r="C86" s="219" t="s">
        <v>1163</v>
      </c>
      <c r="D86" s="220">
        <v>87185.0</v>
      </c>
      <c r="E86" s="221" t="s">
        <v>1315</v>
      </c>
      <c r="F86" s="219" t="s">
        <v>1316</v>
      </c>
      <c r="G86" s="219" t="s">
        <v>1317</v>
      </c>
      <c r="H86" s="222" t="s">
        <v>1276</v>
      </c>
      <c r="I86" s="217" t="str">
        <f t="array" ref="I86">IF(E86="", "", _xlfn.XLOOKUP(E86, 'GERAL ENVIOS'!C:C, 'GERAL ENVIOS'!K:K,"NAO ESTA NA PLANILHA"))</f>
        <v>NAO ESTA NA PLANILHA</v>
      </c>
    </row>
    <row r="87" ht="17.25" customHeight="1">
      <c r="A87" s="211"/>
      <c r="B87" s="219" t="s">
        <v>1168</v>
      </c>
      <c r="C87" s="219" t="s">
        <v>1163</v>
      </c>
      <c r="D87" s="220">
        <v>88650.0</v>
      </c>
      <c r="E87" s="221" t="s">
        <v>1318</v>
      </c>
      <c r="F87" s="219" t="s">
        <v>1319</v>
      </c>
      <c r="G87" s="219" t="s">
        <v>1320</v>
      </c>
      <c r="H87" s="222" t="s">
        <v>1276</v>
      </c>
      <c r="I87" s="217" t="str">
        <f t="array" ref="I87">IF(E87="", "", _xlfn.XLOOKUP(E87, 'GERAL ENVIOS'!C:C, 'GERAL ENVIOS'!K:K,"NAO ESTA NA PLANILHA"))</f>
        <v>NAO ESTA NA PLANILHA</v>
      </c>
    </row>
    <row r="88" ht="17.25" customHeight="1">
      <c r="A88" s="211"/>
      <c r="B88" s="219" t="s">
        <v>1168</v>
      </c>
      <c r="C88" s="219" t="s">
        <v>1235</v>
      </c>
      <c r="D88" s="220">
        <v>86013.0</v>
      </c>
      <c r="E88" s="221" t="s">
        <v>871</v>
      </c>
      <c r="F88" s="219" t="s">
        <v>1321</v>
      </c>
      <c r="G88" s="219" t="s">
        <v>1322</v>
      </c>
      <c r="H88" s="222" t="s">
        <v>1276</v>
      </c>
      <c r="I88" s="217" t="str">
        <f t="array" ref="I88">IF(E88="", "", _xlfn.XLOOKUP(E88, 'GERAL ENVIOS'!C:C, 'GERAL ENVIOS'!K:K,"NAO ESTA NA PLANILHA"))</f>
        <v>Finalizado</v>
      </c>
    </row>
    <row r="89" ht="17.25" customHeight="1">
      <c r="A89" s="211"/>
      <c r="B89" s="219" t="s">
        <v>1168</v>
      </c>
      <c r="C89" s="219" t="s">
        <v>1163</v>
      </c>
      <c r="D89" s="220">
        <v>87987.0</v>
      </c>
      <c r="E89" s="221" t="s">
        <v>687</v>
      </c>
      <c r="F89" s="219" t="s">
        <v>1323</v>
      </c>
      <c r="G89" s="219" t="s">
        <v>1324</v>
      </c>
      <c r="H89" s="222" t="s">
        <v>1276</v>
      </c>
      <c r="I89" s="217" t="str">
        <f t="array" ref="I89">IF(E89="", "", _xlfn.XLOOKUP(E89, 'GERAL ENVIOS'!C:C, 'GERAL ENVIOS'!K:K,"NAO ESTA NA PLANILHA"))</f>
        <v>Aguardando Aprovação</v>
      </c>
    </row>
    <row r="90" ht="17.25" customHeight="1">
      <c r="A90" s="211"/>
      <c r="B90" s="219" t="s">
        <v>1162</v>
      </c>
      <c r="C90" s="219" t="s">
        <v>1235</v>
      </c>
      <c r="D90" s="220">
        <v>85993.0</v>
      </c>
      <c r="E90" s="221" t="s">
        <v>65</v>
      </c>
      <c r="F90" s="219" t="s">
        <v>1325</v>
      </c>
      <c r="G90" s="219" t="s">
        <v>1326</v>
      </c>
      <c r="H90" s="222" t="s">
        <v>1276</v>
      </c>
      <c r="I90" s="217" t="str">
        <f t="array" ref="I90">IF(E90="", "", _xlfn.XLOOKUP(E90, 'GERAL ENVIOS'!C:C, 'GERAL ENVIOS'!K:K,"NAO ESTA NA PLANILHA"))</f>
        <v>Finalizado</v>
      </c>
    </row>
    <row r="91" ht="17.25" customHeight="1">
      <c r="A91" s="211"/>
      <c r="B91" s="219" t="s">
        <v>1162</v>
      </c>
      <c r="C91" s="219" t="s">
        <v>1163</v>
      </c>
      <c r="D91" s="220">
        <v>86364.0</v>
      </c>
      <c r="E91" s="221" t="s">
        <v>1327</v>
      </c>
      <c r="F91" s="219" t="s">
        <v>1328</v>
      </c>
      <c r="G91" s="219" t="s">
        <v>1329</v>
      </c>
      <c r="H91" s="222" t="s">
        <v>1276</v>
      </c>
      <c r="I91" s="217" t="str">
        <f t="array" ref="I91">IF(E91="", "", _xlfn.XLOOKUP(E91, 'GERAL ENVIOS'!C:C, 'GERAL ENVIOS'!K:K,"NAO ESTA NA PLANILHA"))</f>
        <v>NAO ESTA NA PLANILHA</v>
      </c>
    </row>
    <row r="92" ht="17.25" customHeight="1">
      <c r="A92" s="211"/>
      <c r="B92" s="219" t="s">
        <v>1330</v>
      </c>
      <c r="C92" s="219" t="s">
        <v>1235</v>
      </c>
      <c r="D92" s="220">
        <v>85976.0</v>
      </c>
      <c r="E92" s="221" t="s">
        <v>249</v>
      </c>
      <c r="F92" s="219" t="s">
        <v>1331</v>
      </c>
      <c r="G92" s="219" t="s">
        <v>1332</v>
      </c>
      <c r="H92" s="222" t="s">
        <v>1276</v>
      </c>
      <c r="I92" s="217" t="str">
        <f t="array" ref="I92">IF(E92="", "", _xlfn.XLOOKUP(E92, 'GERAL ENVIOS'!C:C, 'GERAL ENVIOS'!K:K,"NAO ESTA NA PLANILHA"))</f>
        <v>Finalizado</v>
      </c>
    </row>
    <row r="93" ht="17.25" customHeight="1">
      <c r="A93" s="211"/>
      <c r="B93" s="219" t="s">
        <v>1162</v>
      </c>
      <c r="C93" s="219" t="s">
        <v>1163</v>
      </c>
      <c r="D93" s="220">
        <v>88464.0</v>
      </c>
      <c r="E93" s="221" t="s">
        <v>267</v>
      </c>
      <c r="F93" s="219" t="s">
        <v>1333</v>
      </c>
      <c r="G93" s="219" t="s">
        <v>1334</v>
      </c>
      <c r="H93" s="222" t="s">
        <v>1276</v>
      </c>
      <c r="I93" s="217" t="str">
        <f t="array" ref="I93">IF(E93="", "", _xlfn.XLOOKUP(E93, 'GERAL ENVIOS'!C:C, 'GERAL ENVIOS'!K:K,"NAO ESTA NA PLANILHA"))</f>
        <v>Sem álbum</v>
      </c>
    </row>
    <row r="94" ht="17.25" customHeight="1">
      <c r="A94" s="211"/>
      <c r="B94" s="219" t="s">
        <v>1168</v>
      </c>
      <c r="C94" s="219" t="s">
        <v>1235</v>
      </c>
      <c r="D94" s="220">
        <v>86402.0</v>
      </c>
      <c r="E94" s="221" t="s">
        <v>282</v>
      </c>
      <c r="F94" s="219" t="s">
        <v>1335</v>
      </c>
      <c r="G94" s="219" t="s">
        <v>1336</v>
      </c>
      <c r="H94" s="222" t="s">
        <v>1276</v>
      </c>
      <c r="I94" s="217" t="str">
        <f t="array" ref="I94">IF(E94="", "", _xlfn.XLOOKUP(E94, 'GERAL ENVIOS'!C:C, 'GERAL ENVIOS'!K:K,"NAO ESTA NA PLANILHA"))</f>
        <v>Finalizado</v>
      </c>
    </row>
    <row r="95" ht="17.25" customHeight="1">
      <c r="A95" s="211"/>
      <c r="B95" s="219" t="s">
        <v>1162</v>
      </c>
      <c r="C95" s="219" t="s">
        <v>1163</v>
      </c>
      <c r="D95" s="220">
        <v>88697.0</v>
      </c>
      <c r="E95" s="221" t="s">
        <v>419</v>
      </c>
      <c r="F95" s="219" t="s">
        <v>1337</v>
      </c>
      <c r="G95" s="219" t="s">
        <v>1338</v>
      </c>
      <c r="H95" s="222" t="s">
        <v>1276</v>
      </c>
      <c r="I95" s="217" t="str">
        <f t="array" ref="I95">IF(E95="", "", _xlfn.XLOOKUP(E95, 'GERAL ENVIOS'!C:C, 'GERAL ENVIOS'!K:K,"NAO ESTA NA PLANILHA"))</f>
        <v>Finalizado</v>
      </c>
    </row>
    <row r="96" ht="17.25" customHeight="1">
      <c r="A96" s="211"/>
      <c r="B96" s="219" t="s">
        <v>1162</v>
      </c>
      <c r="C96" s="219" t="s">
        <v>1235</v>
      </c>
      <c r="D96" s="220">
        <v>88524.0</v>
      </c>
      <c r="E96" s="221" t="s">
        <v>429</v>
      </c>
      <c r="F96" s="219" t="s">
        <v>1339</v>
      </c>
      <c r="G96" s="219" t="s">
        <v>1340</v>
      </c>
      <c r="H96" s="222" t="s">
        <v>1276</v>
      </c>
      <c r="I96" s="217" t="str">
        <f t="array" ref="I96">IF(E96="", "", _xlfn.XLOOKUP(E96, 'GERAL ENVIOS'!C:C, 'GERAL ENVIOS'!K:K,"NAO ESTA NA PLANILHA"))</f>
        <v>Finalizado</v>
      </c>
    </row>
    <row r="97" ht="17.25" customHeight="1">
      <c r="A97" s="211"/>
      <c r="B97" s="219" t="s">
        <v>1162</v>
      </c>
      <c r="C97" s="219" t="s">
        <v>1235</v>
      </c>
      <c r="D97" s="220">
        <v>87548.0</v>
      </c>
      <c r="E97" s="221" t="s">
        <v>460</v>
      </c>
      <c r="F97" s="219" t="s">
        <v>1341</v>
      </c>
      <c r="G97" s="219" t="s">
        <v>1342</v>
      </c>
      <c r="H97" s="222" t="s">
        <v>1276</v>
      </c>
      <c r="I97" s="217" t="str">
        <f t="array" ref="I97">IF(E97="", "", _xlfn.XLOOKUP(E97, 'GERAL ENVIOS'!C:C, 'GERAL ENVIOS'!K:K,"NAO ESTA NA PLANILHA"))</f>
        <v>Finalizado</v>
      </c>
    </row>
    <row r="98" ht="17.25" customHeight="1">
      <c r="A98" s="211"/>
      <c r="B98" s="219" t="s">
        <v>1330</v>
      </c>
      <c r="C98" s="219" t="s">
        <v>1179</v>
      </c>
      <c r="D98" s="220">
        <v>86462.0</v>
      </c>
      <c r="E98" s="221" t="s">
        <v>1343</v>
      </c>
      <c r="F98" s="219" t="s">
        <v>1344</v>
      </c>
      <c r="G98" s="219" t="s">
        <v>1345</v>
      </c>
      <c r="H98" s="222" t="s">
        <v>1276</v>
      </c>
      <c r="I98" s="217" t="str">
        <f t="array" ref="I98">IF(E98="", "", _xlfn.XLOOKUP(E98, 'GERAL ENVIOS'!C:C, 'GERAL ENVIOS'!K:K,"NAO ESTA NA PLANILHA"))</f>
        <v>NAO ESTA NA PLANILHA</v>
      </c>
    </row>
    <row r="99" ht="17.25" customHeight="1">
      <c r="A99" s="211"/>
      <c r="B99" s="219" t="s">
        <v>1162</v>
      </c>
      <c r="C99" s="219" t="s">
        <v>1123</v>
      </c>
      <c r="D99" s="220">
        <v>89497.0</v>
      </c>
      <c r="E99" s="221" t="s">
        <v>1346</v>
      </c>
      <c r="F99" s="219" t="s">
        <v>1347</v>
      </c>
      <c r="G99" s="219" t="s">
        <v>1348</v>
      </c>
      <c r="H99" s="222" t="s">
        <v>1276</v>
      </c>
      <c r="I99" s="217" t="str">
        <f t="array" ref="I99">IF(E99="", "", _xlfn.XLOOKUP(E99, 'GERAL ENVIOS'!C:C, 'GERAL ENVIOS'!K:K,"NAO ESTA NA PLANILHA"))</f>
        <v>Finalizado</v>
      </c>
    </row>
    <row r="100" ht="17.25" customHeight="1">
      <c r="A100" s="211"/>
      <c r="B100" s="219" t="s">
        <v>1168</v>
      </c>
      <c r="C100" s="219" t="s">
        <v>1246</v>
      </c>
      <c r="D100" s="220">
        <v>86435.0</v>
      </c>
      <c r="E100" s="221" t="s">
        <v>673</v>
      </c>
      <c r="F100" s="219" t="s">
        <v>1349</v>
      </c>
      <c r="G100" s="219" t="s">
        <v>1350</v>
      </c>
      <c r="H100" s="222" t="s">
        <v>1276</v>
      </c>
      <c r="I100" s="217" t="str">
        <f t="array" ref="I100">IF(E100="", "", _xlfn.XLOOKUP(E100, 'GERAL ENVIOS'!C:C, 'GERAL ENVIOS'!K:K,"NAO ESTA NA PLANILHA"))</f>
        <v>Aguardando Aprovação</v>
      </c>
    </row>
    <row r="101" ht="17.25" customHeight="1">
      <c r="A101" s="211"/>
      <c r="B101" s="219" t="s">
        <v>1168</v>
      </c>
      <c r="C101" s="219" t="s">
        <v>1163</v>
      </c>
      <c r="D101" s="220">
        <v>86295.0</v>
      </c>
      <c r="E101" s="221" t="s">
        <v>907</v>
      </c>
      <c r="F101" s="219" t="s">
        <v>1351</v>
      </c>
      <c r="G101" s="219" t="s">
        <v>1352</v>
      </c>
      <c r="H101" s="222" t="s">
        <v>1276</v>
      </c>
      <c r="I101" s="217" t="str">
        <f t="array" ref="I101">IF(E101="", "", _xlfn.XLOOKUP(E101, 'GERAL ENVIOS'!C:C, 'GERAL ENVIOS'!K:K,"NAO ESTA NA PLANILHA"))</f>
        <v>Finalizado</v>
      </c>
    </row>
    <row r="102" ht="17.25" customHeight="1">
      <c r="A102" s="211"/>
      <c r="B102" s="219" t="s">
        <v>1168</v>
      </c>
      <c r="C102" s="219" t="s">
        <v>1235</v>
      </c>
      <c r="D102" s="220">
        <v>88133.0</v>
      </c>
      <c r="E102" s="221" t="s">
        <v>942</v>
      </c>
      <c r="F102" s="219" t="s">
        <v>1353</v>
      </c>
      <c r="G102" s="219" t="s">
        <v>1354</v>
      </c>
      <c r="H102" s="222" t="s">
        <v>1276</v>
      </c>
      <c r="I102" s="217" t="str">
        <f t="array" ref="I102">IF(E102="", "", _xlfn.XLOOKUP(E102, 'GERAL ENVIOS'!C:C, 'GERAL ENVIOS'!K:K,"NAO ESTA NA PLANILHA"))</f>
        <v>Finalizado</v>
      </c>
    </row>
    <row r="103" ht="17.25" customHeight="1">
      <c r="A103" s="211"/>
      <c r="B103" s="219" t="s">
        <v>1168</v>
      </c>
      <c r="C103" s="219" t="s">
        <v>1163</v>
      </c>
      <c r="D103" s="220">
        <v>84013.0</v>
      </c>
      <c r="E103" s="221" t="s">
        <v>1355</v>
      </c>
      <c r="F103" s="219" t="s">
        <v>1356</v>
      </c>
      <c r="G103" s="219" t="s">
        <v>1357</v>
      </c>
      <c r="H103" s="222" t="s">
        <v>1276</v>
      </c>
      <c r="I103" s="217" t="str">
        <f t="array" ref="I103">IF(E103="", "", _xlfn.XLOOKUP(E103, 'GERAL ENVIOS'!C:C, 'GERAL ENVIOS'!K:K,"NAO ESTA NA PLANILHA"))</f>
        <v>NAO ESTA NA PLANILHA</v>
      </c>
    </row>
    <row r="104" ht="17.25" customHeight="1">
      <c r="A104" s="211"/>
      <c r="B104" s="212" t="s">
        <v>1162</v>
      </c>
      <c r="C104" s="215" t="s">
        <v>1163</v>
      </c>
      <c r="D104" s="213">
        <v>85926.0</v>
      </c>
      <c r="E104" s="214" t="s">
        <v>82</v>
      </c>
      <c r="F104" s="215" t="s">
        <v>1358</v>
      </c>
      <c r="G104" s="215" t="s">
        <v>1359</v>
      </c>
      <c r="H104" s="222" t="s">
        <v>1360</v>
      </c>
      <c r="I104" s="217" t="str">
        <f t="array" ref="I104">IF(E104="", "", _xlfn.XLOOKUP(E104, 'GERAL ENVIOS'!C:C, 'GERAL ENVIOS'!K:K,"NAO ESTA NA PLANILHA"))</f>
        <v>Aguardando Aprovação</v>
      </c>
    </row>
    <row r="105" ht="17.25" customHeight="1">
      <c r="A105" s="211"/>
      <c r="B105" s="212" t="s">
        <v>1162</v>
      </c>
      <c r="C105" s="215" t="s">
        <v>1123</v>
      </c>
      <c r="D105" s="213">
        <v>77467.0</v>
      </c>
      <c r="E105" s="214" t="s">
        <v>106</v>
      </c>
      <c r="F105" s="215" t="s">
        <v>1361</v>
      </c>
      <c r="G105" s="215" t="s">
        <v>1362</v>
      </c>
      <c r="H105" s="222" t="s">
        <v>1360</v>
      </c>
      <c r="I105" s="217" t="str">
        <f t="array" ref="I105">IF(E105="", "", _xlfn.XLOOKUP(E105, 'GERAL ENVIOS'!C:C, 'GERAL ENVIOS'!K:K,"NAO ESTA NA PLANILHA"))</f>
        <v>Finalizado</v>
      </c>
    </row>
    <row r="106" ht="17.25" customHeight="1">
      <c r="A106" s="211"/>
      <c r="B106" s="212" t="s">
        <v>1162</v>
      </c>
      <c r="C106" s="215" t="s">
        <v>1163</v>
      </c>
      <c r="D106" s="213">
        <v>87741.0</v>
      </c>
      <c r="E106" s="214" t="s">
        <v>1363</v>
      </c>
      <c r="F106" s="215" t="s">
        <v>1364</v>
      </c>
      <c r="G106" s="215" t="s">
        <v>1365</v>
      </c>
      <c r="H106" s="222" t="s">
        <v>1360</v>
      </c>
      <c r="I106" s="217" t="str">
        <f t="array" ref="I106">IF(E106="", "", _xlfn.XLOOKUP(E106, 'GERAL ENVIOS'!C:C, 'GERAL ENVIOS'!K:K,"NAO ESTA NA PLANILHA"))</f>
        <v>NAO ESTA NA PLANILHA</v>
      </c>
    </row>
    <row r="107" ht="17.25" customHeight="1">
      <c r="A107" s="211"/>
      <c r="B107" s="212" t="s">
        <v>1162</v>
      </c>
      <c r="C107" s="215" t="s">
        <v>1366</v>
      </c>
      <c r="D107" s="213">
        <v>87526.0</v>
      </c>
      <c r="E107" s="214" t="s">
        <v>136</v>
      </c>
      <c r="F107" s="215" t="s">
        <v>1367</v>
      </c>
      <c r="G107" s="215" t="s">
        <v>1368</v>
      </c>
      <c r="H107" s="222" t="s">
        <v>1360</v>
      </c>
      <c r="I107" s="217" t="str">
        <f t="array" ref="I107">IF(E107="", "", _xlfn.XLOOKUP(E107, 'GERAL ENVIOS'!C:C, 'GERAL ENVIOS'!K:K,"NAO ESTA NA PLANILHA"))</f>
        <v>Finalizado</v>
      </c>
    </row>
    <row r="108" ht="17.25" customHeight="1">
      <c r="A108" s="211"/>
      <c r="B108" s="212" t="s">
        <v>1168</v>
      </c>
      <c r="C108" s="215" t="s">
        <v>1163</v>
      </c>
      <c r="D108" s="213">
        <v>85920.0</v>
      </c>
      <c r="E108" s="214" t="s">
        <v>157</v>
      </c>
      <c r="F108" s="215" t="s">
        <v>1369</v>
      </c>
      <c r="G108" s="215" t="s">
        <v>1370</v>
      </c>
      <c r="H108" s="222" t="s">
        <v>1360</v>
      </c>
      <c r="I108" s="217" t="str">
        <f t="array" ref="I108">IF(E108="", "", _xlfn.XLOOKUP(E108, 'GERAL ENVIOS'!C:C, 'GERAL ENVIOS'!K:K,"NAO ESTA NA PLANILHA"))</f>
        <v>Finalizado</v>
      </c>
    </row>
    <row r="109" ht="17.25" customHeight="1">
      <c r="A109" s="211"/>
      <c r="B109" s="212" t="s">
        <v>1162</v>
      </c>
      <c r="C109" s="215" t="s">
        <v>1235</v>
      </c>
      <c r="D109" s="213">
        <v>86222.0</v>
      </c>
      <c r="E109" s="214" t="s">
        <v>177</v>
      </c>
      <c r="F109" s="215" t="s">
        <v>1371</v>
      </c>
      <c r="G109" s="215" t="s">
        <v>1372</v>
      </c>
      <c r="H109" s="222" t="s">
        <v>1360</v>
      </c>
      <c r="I109" s="217" t="str">
        <f t="array" ref="I109">IF(E109="", "", _xlfn.XLOOKUP(E109, 'GERAL ENVIOS'!C:C, 'GERAL ENVIOS'!K:K,"NAO ESTA NA PLANILHA"))</f>
        <v>Finalizado</v>
      </c>
    </row>
    <row r="110" ht="17.25" customHeight="1">
      <c r="A110" s="211"/>
      <c r="B110" s="212" t="s">
        <v>1162</v>
      </c>
      <c r="C110" s="215" t="s">
        <v>1235</v>
      </c>
      <c r="D110" s="213">
        <v>86991.0</v>
      </c>
      <c r="E110" s="214" t="s">
        <v>187</v>
      </c>
      <c r="F110" s="215" t="s">
        <v>1373</v>
      </c>
      <c r="G110" s="215" t="s">
        <v>1374</v>
      </c>
      <c r="H110" s="222" t="s">
        <v>1360</v>
      </c>
      <c r="I110" s="217" t="str">
        <f t="array" ref="I110">IF(E110="", "", _xlfn.XLOOKUP(E110, 'GERAL ENVIOS'!C:C, 'GERAL ENVIOS'!K:K,"NAO ESTA NA PLANILHA"))</f>
        <v>Finalizado</v>
      </c>
    </row>
    <row r="111" ht="17.25" customHeight="1">
      <c r="A111" s="211"/>
      <c r="B111" s="212" t="s">
        <v>1330</v>
      </c>
      <c r="C111" s="215" t="s">
        <v>1179</v>
      </c>
      <c r="D111" s="213">
        <v>79367.0</v>
      </c>
      <c r="E111" s="214" t="s">
        <v>1375</v>
      </c>
      <c r="F111" s="215" t="s">
        <v>1376</v>
      </c>
      <c r="G111" s="215" t="s">
        <v>1377</v>
      </c>
      <c r="H111" s="222" t="s">
        <v>1360</v>
      </c>
      <c r="I111" s="217" t="str">
        <f t="array" ref="I111">IF(E111="", "", _xlfn.XLOOKUP(E111, 'GERAL ENVIOS'!C:C, 'GERAL ENVIOS'!K:K,"NAO ESTA NA PLANILHA"))</f>
        <v>NAO ESTA NA PLANILHA</v>
      </c>
    </row>
    <row r="112" ht="17.25" customHeight="1">
      <c r="A112" s="211"/>
      <c r="B112" s="212" t="s">
        <v>1168</v>
      </c>
      <c r="C112" s="215" t="s">
        <v>1163</v>
      </c>
      <c r="D112" s="213">
        <v>86794.0</v>
      </c>
      <c r="E112" s="214" t="s">
        <v>1378</v>
      </c>
      <c r="F112" s="215" t="s">
        <v>1379</v>
      </c>
      <c r="G112" s="215" t="s">
        <v>1380</v>
      </c>
      <c r="H112" s="222" t="s">
        <v>1360</v>
      </c>
      <c r="I112" s="217" t="str">
        <f t="array" ref="I112">IF(E112="", "", _xlfn.XLOOKUP(E112, 'GERAL ENVIOS'!C:C, 'GERAL ENVIOS'!K:K,"NAO ESTA NA PLANILHA"))</f>
        <v>NAO ESTA NA PLANILHA</v>
      </c>
    </row>
    <row r="113" ht="17.25" customHeight="1">
      <c r="A113" s="211"/>
      <c r="B113" s="212" t="s">
        <v>1162</v>
      </c>
      <c r="C113" s="215" t="s">
        <v>1163</v>
      </c>
      <c r="D113" s="213">
        <v>87421.0</v>
      </c>
      <c r="E113" s="214" t="s">
        <v>1381</v>
      </c>
      <c r="F113" s="215" t="s">
        <v>1382</v>
      </c>
      <c r="G113" s="223">
        <v>9.1999041505E10</v>
      </c>
      <c r="H113" s="222" t="s">
        <v>1360</v>
      </c>
      <c r="I113" s="217" t="str">
        <f t="array" ref="I113">IF(E113="", "", _xlfn.XLOOKUP(E113, 'GERAL ENVIOS'!C:C, 'GERAL ENVIOS'!K:K,"NAO ESTA NA PLANILHA"))</f>
        <v>NAO ESTA NA PLANILHA</v>
      </c>
    </row>
    <row r="114" ht="17.25" customHeight="1">
      <c r="A114" s="211"/>
      <c r="B114" s="212" t="s">
        <v>1168</v>
      </c>
      <c r="C114" s="215" t="s">
        <v>1235</v>
      </c>
      <c r="D114" s="213">
        <v>86887.0</v>
      </c>
      <c r="E114" s="214" t="s">
        <v>269</v>
      </c>
      <c r="F114" s="215" t="s">
        <v>1383</v>
      </c>
      <c r="G114" s="215" t="s">
        <v>1384</v>
      </c>
      <c r="H114" s="222" t="s">
        <v>1360</v>
      </c>
      <c r="I114" s="217" t="str">
        <f t="array" ref="I114">IF(E114="", "", _xlfn.XLOOKUP(E114, 'GERAL ENVIOS'!C:C, 'GERAL ENVIOS'!K:K,"NAO ESTA NA PLANILHA"))</f>
        <v>Finalizado</v>
      </c>
    </row>
    <row r="115" ht="17.25" customHeight="1">
      <c r="A115" s="211"/>
      <c r="B115" s="212" t="s">
        <v>1168</v>
      </c>
      <c r="C115" s="215" t="s">
        <v>1235</v>
      </c>
      <c r="D115" s="213">
        <v>86777.0</v>
      </c>
      <c r="E115" s="214" t="s">
        <v>315</v>
      </c>
      <c r="F115" s="215" t="s">
        <v>1385</v>
      </c>
      <c r="G115" s="215" t="s">
        <v>1386</v>
      </c>
      <c r="H115" s="222" t="s">
        <v>1360</v>
      </c>
      <c r="I115" s="217" t="str">
        <f t="array" ref="I115">IF(E115="", "", _xlfn.XLOOKUP(E115, 'GERAL ENVIOS'!C:C, 'GERAL ENVIOS'!K:K,"NAO ESTA NA PLANILHA"))</f>
        <v>Finalizado</v>
      </c>
    </row>
    <row r="116" ht="17.25" customHeight="1">
      <c r="A116" s="211"/>
      <c r="B116" s="212" t="s">
        <v>1162</v>
      </c>
      <c r="C116" s="215" t="s">
        <v>1163</v>
      </c>
      <c r="D116" s="213">
        <v>86772.0</v>
      </c>
      <c r="E116" s="214" t="s">
        <v>317</v>
      </c>
      <c r="F116" s="215" t="s">
        <v>1387</v>
      </c>
      <c r="G116" s="215" t="s">
        <v>1388</v>
      </c>
      <c r="H116" s="222" t="s">
        <v>1360</v>
      </c>
      <c r="I116" s="217" t="str">
        <f t="array" ref="I116">IF(E116="", "", _xlfn.XLOOKUP(E116, 'GERAL ENVIOS'!C:C, 'GERAL ENVIOS'!K:K,"NAO ESTA NA PLANILHA"))</f>
        <v>Finalizado</v>
      </c>
    </row>
    <row r="117" ht="17.25" customHeight="1">
      <c r="A117" s="211"/>
      <c r="B117" s="212" t="s">
        <v>1168</v>
      </c>
      <c r="C117" s="215" t="s">
        <v>1163</v>
      </c>
      <c r="D117" s="213">
        <v>85972.0</v>
      </c>
      <c r="E117" s="214" t="s">
        <v>321</v>
      </c>
      <c r="F117" s="215" t="s">
        <v>1389</v>
      </c>
      <c r="G117" s="215" t="s">
        <v>1390</v>
      </c>
      <c r="H117" s="222" t="s">
        <v>1360</v>
      </c>
      <c r="I117" s="217" t="str">
        <f t="array" ref="I117">IF(E117="", "", _xlfn.XLOOKUP(E117, 'GERAL ENVIOS'!C:C, 'GERAL ENVIOS'!K:K,"NAO ESTA NA PLANILHA"))</f>
        <v>Aguardando Aprovação</v>
      </c>
    </row>
    <row r="118" ht="17.25" customHeight="1">
      <c r="A118" s="211"/>
      <c r="B118" s="212" t="s">
        <v>1162</v>
      </c>
      <c r="C118" s="215" t="s">
        <v>1163</v>
      </c>
      <c r="D118" s="213">
        <v>81708.0</v>
      </c>
      <c r="E118" s="214" t="s">
        <v>1391</v>
      </c>
      <c r="F118" s="215" t="s">
        <v>1392</v>
      </c>
      <c r="G118" s="215" t="s">
        <v>1393</v>
      </c>
      <c r="H118" s="222" t="s">
        <v>1360</v>
      </c>
      <c r="I118" s="217" t="str">
        <f t="array" ref="I118">IF(E118="", "", _xlfn.XLOOKUP(E118, 'GERAL ENVIOS'!C:C, 'GERAL ENVIOS'!K:K,"NAO ESTA NA PLANILHA"))</f>
        <v>NAO ESTA NA PLANILHA</v>
      </c>
    </row>
    <row r="119" ht="17.25" customHeight="1">
      <c r="A119" s="211"/>
      <c r="B119" s="212" t="s">
        <v>1168</v>
      </c>
      <c r="C119" s="215" t="s">
        <v>1246</v>
      </c>
      <c r="D119" s="213">
        <v>88919.0</v>
      </c>
      <c r="E119" s="214" t="s">
        <v>356</v>
      </c>
      <c r="F119" s="215" t="s">
        <v>1394</v>
      </c>
      <c r="G119" s="215" t="s">
        <v>1395</v>
      </c>
      <c r="H119" s="222" t="s">
        <v>1360</v>
      </c>
      <c r="I119" s="217" t="str">
        <f t="array" ref="I119">IF(E119="", "", _xlfn.XLOOKUP(E119, 'GERAL ENVIOS'!C:C, 'GERAL ENVIOS'!K:K,"NAO ESTA NA PLANILHA"))</f>
        <v>Aguardando Aprovação</v>
      </c>
    </row>
    <row r="120" ht="17.25" customHeight="1">
      <c r="A120" s="211"/>
      <c r="B120" s="212" t="s">
        <v>1162</v>
      </c>
      <c r="C120" s="215" t="s">
        <v>1163</v>
      </c>
      <c r="D120" s="213">
        <v>87541.0</v>
      </c>
      <c r="E120" s="214" t="s">
        <v>1396</v>
      </c>
      <c r="F120" s="215" t="s">
        <v>1397</v>
      </c>
      <c r="G120" s="215" t="s">
        <v>1398</v>
      </c>
      <c r="H120" s="222" t="s">
        <v>1360</v>
      </c>
      <c r="I120" s="217" t="str">
        <f t="array" ref="I120">IF(E120="", "", _xlfn.XLOOKUP(E120, 'GERAL ENVIOS'!C:C, 'GERAL ENVIOS'!K:K,"NAO ESTA NA PLANILHA"))</f>
        <v>NAO ESTA NA PLANILHA</v>
      </c>
    </row>
    <row r="121" ht="17.25" customHeight="1">
      <c r="A121" s="211"/>
      <c r="B121" s="212" t="s">
        <v>1399</v>
      </c>
      <c r="C121" s="215" t="s">
        <v>1235</v>
      </c>
      <c r="D121" s="213">
        <v>87450.0</v>
      </c>
      <c r="E121" s="214" t="s">
        <v>376</v>
      </c>
      <c r="F121" s="215" t="s">
        <v>1400</v>
      </c>
      <c r="G121" s="215" t="s">
        <v>1401</v>
      </c>
      <c r="H121" s="222" t="s">
        <v>1360</v>
      </c>
      <c r="I121" s="217" t="str">
        <f t="array" ref="I121">IF(E121="", "", _xlfn.XLOOKUP(E121, 'GERAL ENVIOS'!C:C, 'GERAL ENVIOS'!K:K,"NAO ESTA NA PLANILHA"))</f>
        <v>Finalizado</v>
      </c>
    </row>
    <row r="122" ht="17.25" customHeight="1">
      <c r="A122" s="211"/>
      <c r="B122" s="212" t="s">
        <v>1162</v>
      </c>
      <c r="C122" s="215" t="s">
        <v>1163</v>
      </c>
      <c r="D122" s="213">
        <v>87943.0</v>
      </c>
      <c r="E122" s="214" t="s">
        <v>1402</v>
      </c>
      <c r="F122" s="215" t="s">
        <v>1403</v>
      </c>
      <c r="G122" s="215" t="s">
        <v>1404</v>
      </c>
      <c r="H122" s="222" t="s">
        <v>1360</v>
      </c>
      <c r="I122" s="217" t="str">
        <f t="array" ref="I122">IF(E122="", "", _xlfn.XLOOKUP(E122, 'GERAL ENVIOS'!C:C, 'GERAL ENVIOS'!K:K,"NAO ESTA NA PLANILHA"))</f>
        <v>NAO ESTA NA PLANILHA</v>
      </c>
    </row>
    <row r="123" ht="17.25" customHeight="1">
      <c r="A123" s="211"/>
      <c r="B123" s="212" t="s">
        <v>1168</v>
      </c>
      <c r="C123" s="215" t="s">
        <v>1163</v>
      </c>
      <c r="D123" s="213">
        <v>87721.0</v>
      </c>
      <c r="E123" s="214" t="s">
        <v>474</v>
      </c>
      <c r="F123" s="215" t="s">
        <v>1405</v>
      </c>
      <c r="G123" s="215" t="s">
        <v>1406</v>
      </c>
      <c r="H123" s="222" t="s">
        <v>1360</v>
      </c>
      <c r="I123" s="217" t="str">
        <f t="array" ref="I123">IF(E123="", "", _xlfn.XLOOKUP(E123, 'GERAL ENVIOS'!C:C, 'GERAL ENVIOS'!K:K,"NAO ESTA NA PLANILHA"))</f>
        <v>Finalizado</v>
      </c>
    </row>
    <row r="124" ht="17.25" customHeight="1">
      <c r="A124" s="211"/>
      <c r="B124" s="212" t="s">
        <v>1162</v>
      </c>
      <c r="C124" s="215" t="s">
        <v>1123</v>
      </c>
      <c r="D124" s="213">
        <v>86993.0</v>
      </c>
      <c r="E124" s="214" t="s">
        <v>512</v>
      </c>
      <c r="F124" s="215" t="s">
        <v>1407</v>
      </c>
      <c r="G124" s="215" t="s">
        <v>1408</v>
      </c>
      <c r="H124" s="222" t="s">
        <v>1360</v>
      </c>
      <c r="I124" s="217" t="str">
        <f t="array" ref="I124">IF(E124="", "", _xlfn.XLOOKUP(E124, 'GERAL ENVIOS'!C:C, 'GERAL ENVIOS'!K:K,"NAO ESTA NA PLANILHA"))</f>
        <v>Finalizado</v>
      </c>
    </row>
    <row r="125" ht="17.25" customHeight="1">
      <c r="A125" s="211"/>
      <c r="B125" s="212" t="s">
        <v>1168</v>
      </c>
      <c r="C125" s="215" t="s">
        <v>1409</v>
      </c>
      <c r="D125" s="213">
        <v>85928.0</v>
      </c>
      <c r="E125" s="214" t="s">
        <v>1410</v>
      </c>
      <c r="F125" s="215" t="s">
        <v>1411</v>
      </c>
      <c r="G125" s="215" t="s">
        <v>1412</v>
      </c>
      <c r="H125" s="222" t="s">
        <v>1360</v>
      </c>
      <c r="I125" s="217" t="str">
        <f t="array" ref="I125">IF(E125="", "", _xlfn.XLOOKUP(E125, 'GERAL ENVIOS'!C:C, 'GERAL ENVIOS'!K:K,"NAO ESTA NA PLANILHA"))</f>
        <v>NAO ESTA NA PLANILHA</v>
      </c>
    </row>
    <row r="126" ht="17.25" customHeight="1">
      <c r="A126" s="211"/>
      <c r="B126" s="212" t="s">
        <v>1330</v>
      </c>
      <c r="C126" s="215" t="s">
        <v>1179</v>
      </c>
      <c r="D126" s="213">
        <v>85908.0</v>
      </c>
      <c r="E126" s="214" t="s">
        <v>1413</v>
      </c>
      <c r="F126" s="215" t="s">
        <v>1414</v>
      </c>
      <c r="G126" s="215" t="s">
        <v>1415</v>
      </c>
      <c r="H126" s="222" t="s">
        <v>1360</v>
      </c>
      <c r="I126" s="217" t="str">
        <f t="array" ref="I126">IF(E126="", "", _xlfn.XLOOKUP(E126, 'GERAL ENVIOS'!C:C, 'GERAL ENVIOS'!K:K,"NAO ESTA NA PLANILHA"))</f>
        <v>NAO ESTA NA PLANILHA</v>
      </c>
    </row>
    <row r="127" ht="17.25" customHeight="1">
      <c r="A127" s="211"/>
      <c r="B127" s="212" t="s">
        <v>1168</v>
      </c>
      <c r="C127" s="215" t="s">
        <v>1163</v>
      </c>
      <c r="D127" s="213">
        <v>87928.0</v>
      </c>
      <c r="E127" s="214" t="s">
        <v>576</v>
      </c>
      <c r="F127" s="215" t="s">
        <v>1416</v>
      </c>
      <c r="G127" s="215" t="s">
        <v>1417</v>
      </c>
      <c r="H127" s="222" t="s">
        <v>1360</v>
      </c>
      <c r="I127" s="217" t="str">
        <f t="array" ref="I127">IF(E127="", "", _xlfn.XLOOKUP(E127, 'GERAL ENVIOS'!C:C, 'GERAL ENVIOS'!K:K,"NAO ESTA NA PLANILHA"))</f>
        <v>Finalizado</v>
      </c>
    </row>
    <row r="128" ht="17.25" customHeight="1">
      <c r="A128" s="211"/>
      <c r="B128" s="212" t="s">
        <v>1168</v>
      </c>
      <c r="C128" s="215" t="s">
        <v>1163</v>
      </c>
      <c r="D128" s="213">
        <v>88091.0</v>
      </c>
      <c r="E128" s="214" t="s">
        <v>1418</v>
      </c>
      <c r="F128" s="215" t="s">
        <v>1419</v>
      </c>
      <c r="G128" s="215" t="s">
        <v>1420</v>
      </c>
      <c r="H128" s="222" t="s">
        <v>1360</v>
      </c>
      <c r="I128" s="217" t="str">
        <f t="array" ref="I128">IF(E128="", "", _xlfn.XLOOKUP(E128, 'GERAL ENVIOS'!C:C, 'GERAL ENVIOS'!K:K,"NAO ESTA NA PLANILHA"))</f>
        <v>NAO ESTA NA PLANILHA</v>
      </c>
    </row>
    <row r="129" ht="17.25" customHeight="1">
      <c r="A129" s="211"/>
      <c r="B129" s="212" t="s">
        <v>1168</v>
      </c>
      <c r="C129" s="215" t="s">
        <v>1163</v>
      </c>
      <c r="D129" s="213">
        <v>77354.0</v>
      </c>
      <c r="E129" s="214" t="s">
        <v>1421</v>
      </c>
      <c r="F129" s="215" t="s">
        <v>1422</v>
      </c>
      <c r="G129" s="215" t="s">
        <v>1423</v>
      </c>
      <c r="H129" s="222" t="s">
        <v>1360</v>
      </c>
      <c r="I129" s="217" t="str">
        <f t="array" ref="I129">IF(E129="", "", _xlfn.XLOOKUP(E129, 'GERAL ENVIOS'!C:C, 'GERAL ENVIOS'!K:K,"NAO ESTA NA PLANILHA"))</f>
        <v>NAO ESTA NA PLANILHA</v>
      </c>
    </row>
    <row r="130" ht="17.25" customHeight="1">
      <c r="A130" s="211"/>
      <c r="B130" s="212" t="s">
        <v>1168</v>
      </c>
      <c r="C130" s="215" t="s">
        <v>1163</v>
      </c>
      <c r="D130" s="213">
        <v>87709.0</v>
      </c>
      <c r="E130" s="214" t="s">
        <v>612</v>
      </c>
      <c r="F130" s="215" t="s">
        <v>1424</v>
      </c>
      <c r="G130" s="215" t="s">
        <v>1425</v>
      </c>
      <c r="H130" s="222" t="s">
        <v>1360</v>
      </c>
      <c r="I130" s="217" t="str">
        <f t="array" ref="I130">IF(E130="", "", _xlfn.XLOOKUP(E130, 'GERAL ENVIOS'!C:C, 'GERAL ENVIOS'!K:K,"NAO ESTA NA PLANILHA"))</f>
        <v>Finalizado</v>
      </c>
    </row>
    <row r="131" ht="17.25" customHeight="1">
      <c r="A131" s="211"/>
      <c r="B131" s="212" t="s">
        <v>1162</v>
      </c>
      <c r="C131" s="215" t="s">
        <v>1426</v>
      </c>
      <c r="D131" s="213">
        <v>87023.0</v>
      </c>
      <c r="E131" s="214" t="s">
        <v>1427</v>
      </c>
      <c r="F131" s="215" t="s">
        <v>1428</v>
      </c>
      <c r="G131" s="215" t="s">
        <v>1429</v>
      </c>
      <c r="H131" s="222" t="s">
        <v>1360</v>
      </c>
      <c r="I131" s="217" t="str">
        <f t="array" ref="I131">IF(E131="", "", _xlfn.XLOOKUP(E131, 'GERAL ENVIOS'!C:C, 'GERAL ENVIOS'!K:K,"NAO ESTA NA PLANILHA"))</f>
        <v>Finalizado</v>
      </c>
    </row>
    <row r="132" ht="17.25" customHeight="1">
      <c r="A132" s="211"/>
      <c r="B132" s="212" t="s">
        <v>1168</v>
      </c>
      <c r="C132" s="215" t="s">
        <v>1246</v>
      </c>
      <c r="D132" s="213">
        <v>88810.0</v>
      </c>
      <c r="E132" s="214" t="s">
        <v>662</v>
      </c>
      <c r="F132" s="215" t="s">
        <v>1430</v>
      </c>
      <c r="G132" s="215" t="s">
        <v>1431</v>
      </c>
      <c r="H132" s="222" t="s">
        <v>1360</v>
      </c>
      <c r="I132" s="217" t="str">
        <f t="array" ref="I132">IF(E132="", "", _xlfn.XLOOKUP(E132, 'GERAL ENVIOS'!C:C, 'GERAL ENVIOS'!K:K,"NAO ESTA NA PLANILHA"))</f>
        <v>Aguardando Aprovação</v>
      </c>
    </row>
    <row r="133" ht="17.25" customHeight="1">
      <c r="A133" s="211"/>
      <c r="B133" s="212" t="s">
        <v>1168</v>
      </c>
      <c r="C133" s="215" t="s">
        <v>1366</v>
      </c>
      <c r="D133" s="213">
        <v>87420.0</v>
      </c>
      <c r="E133" s="214" t="s">
        <v>683</v>
      </c>
      <c r="F133" s="215" t="s">
        <v>1432</v>
      </c>
      <c r="G133" s="215" t="s">
        <v>1433</v>
      </c>
      <c r="H133" s="222" t="s">
        <v>1360</v>
      </c>
      <c r="I133" s="217" t="str">
        <f t="array" ref="I133">IF(E133="", "", _xlfn.XLOOKUP(E133, 'GERAL ENVIOS'!C:C, 'GERAL ENVIOS'!K:K,"NAO ESTA NA PLANILHA"))</f>
        <v>Finalizado</v>
      </c>
    </row>
    <row r="134" ht="17.25" customHeight="1">
      <c r="A134" s="211"/>
      <c r="B134" s="212" t="s">
        <v>1168</v>
      </c>
      <c r="C134" s="215" t="s">
        <v>1434</v>
      </c>
      <c r="D134" s="213">
        <v>86768.0</v>
      </c>
      <c r="E134" s="214" t="s">
        <v>741</v>
      </c>
      <c r="F134" s="215" t="s">
        <v>1435</v>
      </c>
      <c r="G134" s="215" t="s">
        <v>1436</v>
      </c>
      <c r="H134" s="222" t="s">
        <v>1360</v>
      </c>
      <c r="I134" s="217" t="str">
        <f t="array" ref="I134">IF(E134="", "", _xlfn.XLOOKUP(E134, 'GERAL ENVIOS'!C:C, 'GERAL ENVIOS'!K:K,"NAO ESTA NA PLANILHA"))</f>
        <v>Finalizado</v>
      </c>
    </row>
    <row r="135" ht="17.25" customHeight="1">
      <c r="A135" s="211"/>
      <c r="B135" s="212" t="s">
        <v>1437</v>
      </c>
      <c r="C135" s="215" t="s">
        <v>1163</v>
      </c>
      <c r="D135" s="213">
        <v>77463.0</v>
      </c>
      <c r="E135" s="214" t="s">
        <v>796</v>
      </c>
      <c r="F135" s="215" t="s">
        <v>1438</v>
      </c>
      <c r="G135" s="215" t="s">
        <v>1439</v>
      </c>
      <c r="H135" s="222" t="s">
        <v>1360</v>
      </c>
      <c r="I135" s="217" t="str">
        <f t="array" ref="I135">IF(E135="", "", _xlfn.XLOOKUP(E135, 'GERAL ENVIOS'!C:C, 'GERAL ENVIOS'!K:K,"NAO ESTA NA PLANILHA"))</f>
        <v>Aguardando Aprovação</v>
      </c>
    </row>
    <row r="136" ht="17.25" customHeight="1">
      <c r="A136" s="211"/>
      <c r="B136" s="212" t="s">
        <v>1168</v>
      </c>
      <c r="C136" s="215" t="s">
        <v>1235</v>
      </c>
      <c r="D136" s="213">
        <v>88694.0</v>
      </c>
      <c r="E136" s="214" t="s">
        <v>823</v>
      </c>
      <c r="F136" s="215" t="s">
        <v>1440</v>
      </c>
      <c r="G136" s="215" t="s">
        <v>1441</v>
      </c>
      <c r="H136" s="222" t="s">
        <v>1360</v>
      </c>
      <c r="I136" s="217" t="str">
        <f t="array" ref="I136">IF(E136="", "", _xlfn.XLOOKUP(E136, 'GERAL ENVIOS'!C:C, 'GERAL ENVIOS'!K:K,"NAO ESTA NA PLANILHA"))</f>
        <v>Finalizado</v>
      </c>
    </row>
    <row r="137" ht="17.25" customHeight="1">
      <c r="A137" s="211"/>
      <c r="B137" s="212" t="s">
        <v>1168</v>
      </c>
      <c r="C137" s="215" t="s">
        <v>1163</v>
      </c>
      <c r="D137" s="213">
        <v>88349.0</v>
      </c>
      <c r="E137" s="214" t="s">
        <v>1442</v>
      </c>
      <c r="F137" s="215" t="s">
        <v>1443</v>
      </c>
      <c r="G137" s="215" t="s">
        <v>1444</v>
      </c>
      <c r="H137" s="222" t="s">
        <v>1360</v>
      </c>
      <c r="I137" s="217" t="str">
        <f t="array" ref="I137">IF(E137="", "", _xlfn.XLOOKUP(E137, 'GERAL ENVIOS'!C:C, 'GERAL ENVIOS'!K:K,"NAO ESTA NA PLANILHA"))</f>
        <v>NAO ESTA NA PLANILHA</v>
      </c>
    </row>
    <row r="138" ht="17.25" customHeight="1">
      <c r="A138" s="211"/>
      <c r="B138" s="212" t="s">
        <v>1168</v>
      </c>
      <c r="C138" s="215" t="s">
        <v>1163</v>
      </c>
      <c r="D138" s="213">
        <v>89025.0</v>
      </c>
      <c r="E138" s="214" t="s">
        <v>1445</v>
      </c>
      <c r="F138" s="215" t="s">
        <v>1446</v>
      </c>
      <c r="G138" s="215" t="s">
        <v>1447</v>
      </c>
      <c r="H138" s="222" t="s">
        <v>1360</v>
      </c>
      <c r="I138" s="217" t="str">
        <f t="array" ref="I138">IF(E138="", "", _xlfn.XLOOKUP(E138, 'GERAL ENVIOS'!C:C, 'GERAL ENVIOS'!K:K,"NAO ESTA NA PLANILHA"))</f>
        <v>NAO ESTA NA PLANILHA</v>
      </c>
    </row>
    <row r="139" ht="17.25" customHeight="1">
      <c r="A139" s="211"/>
      <c r="B139" s="212" t="s">
        <v>1168</v>
      </c>
      <c r="C139" s="215" t="s">
        <v>1246</v>
      </c>
      <c r="D139" s="213">
        <v>87522.0</v>
      </c>
      <c r="E139" s="214" t="s">
        <v>973</v>
      </c>
      <c r="F139" s="215" t="s">
        <v>1448</v>
      </c>
      <c r="G139" s="215" t="s">
        <v>1449</v>
      </c>
      <c r="H139" s="222" t="s">
        <v>1360</v>
      </c>
      <c r="I139" s="217" t="str">
        <f t="array" ref="I139">IF(E139="", "", _xlfn.XLOOKUP(E139, 'GERAL ENVIOS'!C:C, 'GERAL ENVIOS'!K:K,"NAO ESTA NA PLANILHA"))</f>
        <v>Finalizado</v>
      </c>
    </row>
    <row r="140" ht="17.25" customHeight="1">
      <c r="A140" s="211"/>
      <c r="B140" s="212" t="s">
        <v>1168</v>
      </c>
      <c r="C140" s="215" t="s">
        <v>1426</v>
      </c>
      <c r="D140" s="213">
        <v>70185.0</v>
      </c>
      <c r="E140" s="214" t="s">
        <v>151</v>
      </c>
      <c r="F140" s="215" t="s">
        <v>1450</v>
      </c>
      <c r="G140" s="215" t="s">
        <v>1451</v>
      </c>
      <c r="H140" s="222" t="s">
        <v>1452</v>
      </c>
      <c r="I140" s="217" t="str">
        <f t="array" ref="I140">IF(E140="", "", _xlfn.XLOOKUP(E140, 'GERAL ENVIOS'!C:C, 'GERAL ENVIOS'!K:K,"NAO ESTA NA PLANILHA"))</f>
        <v>IMPRESSÃO</v>
      </c>
    </row>
    <row r="141" ht="17.25" customHeight="1">
      <c r="A141" s="211"/>
      <c r="B141" s="212" t="s">
        <v>1162</v>
      </c>
      <c r="C141" s="215" t="s">
        <v>1426</v>
      </c>
      <c r="D141" s="213">
        <v>88993.0</v>
      </c>
      <c r="E141" s="214" t="s">
        <v>1453</v>
      </c>
      <c r="F141" s="215" t="s">
        <v>1454</v>
      </c>
      <c r="G141" s="215" t="s">
        <v>1455</v>
      </c>
      <c r="H141" s="222" t="s">
        <v>1452</v>
      </c>
      <c r="I141" s="217" t="str">
        <f t="array" ref="I141">IF(E141="", "", _xlfn.XLOOKUP(E141, 'GERAL ENVIOS'!C:C, 'GERAL ENVIOS'!K:K,"NAO ESTA NA PLANILHA"))</f>
        <v>NAO ESTA NA PLANILHA</v>
      </c>
    </row>
    <row r="142" ht="17.25" customHeight="1">
      <c r="A142" s="211"/>
      <c r="B142" s="212" t="s">
        <v>1178</v>
      </c>
      <c r="C142" s="215" t="s">
        <v>1163</v>
      </c>
      <c r="D142" s="213">
        <v>87701.0</v>
      </c>
      <c r="E142" s="214" t="s">
        <v>1456</v>
      </c>
      <c r="F142" s="215" t="s">
        <v>1457</v>
      </c>
      <c r="G142" s="215" t="s">
        <v>1458</v>
      </c>
      <c r="H142" s="222" t="s">
        <v>1452</v>
      </c>
      <c r="I142" s="217" t="str">
        <f t="array" ref="I142">IF(E142="", "", _xlfn.XLOOKUP(E142, 'GERAL ENVIOS'!C:C, 'GERAL ENVIOS'!K:K,"NAO ESTA NA PLANILHA"))</f>
        <v>NAO ESTA NA PLANILHA</v>
      </c>
    </row>
    <row r="143" ht="17.25" customHeight="1">
      <c r="A143" s="211"/>
      <c r="B143" s="212" t="s">
        <v>1162</v>
      </c>
      <c r="C143" s="215" t="s">
        <v>1163</v>
      </c>
      <c r="D143" s="213">
        <v>88609.0</v>
      </c>
      <c r="E143" s="214" t="s">
        <v>284</v>
      </c>
      <c r="F143" s="215" t="s">
        <v>1459</v>
      </c>
      <c r="G143" s="215" t="s">
        <v>1460</v>
      </c>
      <c r="H143" s="222" t="s">
        <v>1452</v>
      </c>
      <c r="I143" s="217" t="str">
        <f t="array" ref="I143">IF(E143="", "", _xlfn.XLOOKUP(E143, 'GERAL ENVIOS'!C:C, 'GERAL ENVIOS'!K:K,"NAO ESTA NA PLANILHA"))</f>
        <v>Finalizado</v>
      </c>
    </row>
    <row r="144" ht="17.25" customHeight="1">
      <c r="A144" s="211"/>
      <c r="B144" s="212" t="s">
        <v>1168</v>
      </c>
      <c r="C144" s="215" t="s">
        <v>1163</v>
      </c>
      <c r="D144" s="213">
        <v>88228.0</v>
      </c>
      <c r="E144" s="214" t="s">
        <v>1461</v>
      </c>
      <c r="F144" s="215" t="s">
        <v>1462</v>
      </c>
      <c r="G144" s="215" t="s">
        <v>1463</v>
      </c>
      <c r="H144" s="222" t="s">
        <v>1452</v>
      </c>
      <c r="I144" s="217" t="str">
        <f t="array" ref="I144">IF(E144="", "", _xlfn.XLOOKUP(E144, 'GERAL ENVIOS'!C:C, 'GERAL ENVIOS'!K:K,"NAO ESTA NA PLANILHA"))</f>
        <v>NAO ESTA NA PLANILHA</v>
      </c>
    </row>
    <row r="145" ht="17.25" customHeight="1">
      <c r="A145" s="211"/>
      <c r="B145" s="212" t="s">
        <v>1162</v>
      </c>
      <c r="C145" s="215" t="s">
        <v>1163</v>
      </c>
      <c r="D145" s="213">
        <v>69037.0</v>
      </c>
      <c r="E145" s="214" t="s">
        <v>1464</v>
      </c>
      <c r="F145" s="215" t="s">
        <v>1465</v>
      </c>
      <c r="G145" s="215" t="s">
        <v>1466</v>
      </c>
      <c r="H145" s="222" t="s">
        <v>1452</v>
      </c>
      <c r="I145" s="217" t="str">
        <f t="array" ref="I145">IF(E145="", "", _xlfn.XLOOKUP(E145, 'GERAL ENVIOS'!C:C, 'GERAL ENVIOS'!K:K,"NAO ESTA NA PLANILHA"))</f>
        <v>NAO ESTA NA PLANILHA</v>
      </c>
    </row>
    <row r="146" ht="17.25" customHeight="1">
      <c r="A146" s="211"/>
      <c r="B146" s="212" t="s">
        <v>1162</v>
      </c>
      <c r="C146" s="215" t="s">
        <v>1163</v>
      </c>
      <c r="D146" s="213">
        <v>88998.0</v>
      </c>
      <c r="E146" s="214" t="s">
        <v>1467</v>
      </c>
      <c r="F146" s="215" t="s">
        <v>1468</v>
      </c>
      <c r="G146" s="215" t="s">
        <v>1469</v>
      </c>
      <c r="H146" s="222" t="s">
        <v>1452</v>
      </c>
      <c r="I146" s="217" t="str">
        <f t="array" ref="I146">IF(E146="", "", _xlfn.XLOOKUP(E146, 'GERAL ENVIOS'!C:C, 'GERAL ENVIOS'!K:K,"NAO ESTA NA PLANILHA"))</f>
        <v>NAO ESTA NA PLANILHA</v>
      </c>
    </row>
    <row r="147" ht="17.25" customHeight="1">
      <c r="A147" s="211"/>
      <c r="B147" s="212" t="s">
        <v>1162</v>
      </c>
      <c r="C147" s="215" t="s">
        <v>1163</v>
      </c>
      <c r="D147" s="213">
        <v>88408.0</v>
      </c>
      <c r="E147" s="214" t="s">
        <v>1470</v>
      </c>
      <c r="F147" s="215" t="s">
        <v>1471</v>
      </c>
      <c r="G147" s="215" t="s">
        <v>1472</v>
      </c>
      <c r="H147" s="222" t="s">
        <v>1452</v>
      </c>
      <c r="I147" s="217" t="str">
        <f t="array" ref="I147">IF(E147="", "", _xlfn.XLOOKUP(E147, 'GERAL ENVIOS'!C:C, 'GERAL ENVIOS'!K:K,"NAO ESTA NA PLANILHA"))</f>
        <v>NAO ESTA NA PLANILHA</v>
      </c>
    </row>
    <row r="148" ht="17.25" customHeight="1">
      <c r="A148" s="211"/>
      <c r="B148" s="212" t="s">
        <v>1162</v>
      </c>
      <c r="C148" s="215" t="s">
        <v>1235</v>
      </c>
      <c r="D148" s="213">
        <v>88061.0</v>
      </c>
      <c r="E148" s="214" t="s">
        <v>464</v>
      </c>
      <c r="F148" s="215" t="s">
        <v>1473</v>
      </c>
      <c r="G148" s="215" t="s">
        <v>1474</v>
      </c>
      <c r="H148" s="222" t="s">
        <v>1452</v>
      </c>
      <c r="I148" s="217" t="str">
        <f t="array" ref="I148">IF(E148="", "", _xlfn.XLOOKUP(E148, 'GERAL ENVIOS'!C:C, 'GERAL ENVIOS'!K:K,"NAO ESTA NA PLANILHA"))</f>
        <v>Finalizado</v>
      </c>
    </row>
    <row r="149" ht="17.25" customHeight="1">
      <c r="A149" s="211"/>
      <c r="B149" s="212" t="s">
        <v>1168</v>
      </c>
      <c r="C149" s="215" t="s">
        <v>1235</v>
      </c>
      <c r="D149" s="213">
        <v>73517.0</v>
      </c>
      <c r="E149" s="214" t="s">
        <v>488</v>
      </c>
      <c r="F149" s="215" t="s">
        <v>1475</v>
      </c>
      <c r="G149" s="215" t="s">
        <v>1476</v>
      </c>
      <c r="H149" s="222" t="s">
        <v>1452</v>
      </c>
      <c r="I149" s="217" t="str">
        <f t="array" ref="I149">IF(E149="", "", _xlfn.XLOOKUP(E149, 'GERAL ENVIOS'!C:C, 'GERAL ENVIOS'!K:K,"NAO ESTA NA PLANILHA"))</f>
        <v>Finalizado</v>
      </c>
    </row>
    <row r="150" ht="17.25" customHeight="1">
      <c r="A150" s="211"/>
      <c r="B150" s="212" t="s">
        <v>1168</v>
      </c>
      <c r="C150" s="215" t="s">
        <v>1235</v>
      </c>
      <c r="D150" s="213">
        <v>89033.0</v>
      </c>
      <c r="E150" s="214" t="s">
        <v>548</v>
      </c>
      <c r="F150" s="215" t="s">
        <v>1477</v>
      </c>
      <c r="G150" s="215" t="s">
        <v>1478</v>
      </c>
      <c r="H150" s="222" t="s">
        <v>1452</v>
      </c>
      <c r="I150" s="217" t="str">
        <f t="array" ref="I150">IF(E150="", "", _xlfn.XLOOKUP(E150, 'GERAL ENVIOS'!C:C, 'GERAL ENVIOS'!K:K,"NAO ESTA NA PLANILHA"))</f>
        <v>Finalizado</v>
      </c>
    </row>
    <row r="151" ht="17.25" customHeight="1">
      <c r="A151" s="211"/>
      <c r="B151" s="212" t="s">
        <v>1168</v>
      </c>
      <c r="C151" s="215" t="s">
        <v>1163</v>
      </c>
      <c r="D151" s="213">
        <v>87787.0</v>
      </c>
      <c r="E151" s="214" t="s">
        <v>1479</v>
      </c>
      <c r="F151" s="215" t="s">
        <v>1480</v>
      </c>
      <c r="G151" s="215" t="s">
        <v>1481</v>
      </c>
      <c r="H151" s="222" t="s">
        <v>1452</v>
      </c>
      <c r="I151" s="217" t="str">
        <f t="array" ref="I151">IF(E151="", "", _xlfn.XLOOKUP(E151, 'GERAL ENVIOS'!C:C, 'GERAL ENVIOS'!K:K,"NAO ESTA NA PLANILHA"))</f>
        <v>NAO ESTA NA PLANILHA</v>
      </c>
    </row>
    <row r="152" ht="17.25" customHeight="1">
      <c r="A152" s="211"/>
      <c r="B152" s="212" t="s">
        <v>1168</v>
      </c>
      <c r="C152" s="215" t="s">
        <v>1163</v>
      </c>
      <c r="D152" s="213">
        <v>77867.0</v>
      </c>
      <c r="E152" s="214" t="s">
        <v>721</v>
      </c>
      <c r="F152" s="215" t="s">
        <v>1482</v>
      </c>
      <c r="G152" s="215" t="s">
        <v>1483</v>
      </c>
      <c r="H152" s="222" t="s">
        <v>1452</v>
      </c>
      <c r="I152" s="217" t="str">
        <f t="array" ref="I152">IF(E152="", "", _xlfn.XLOOKUP(E152, 'GERAL ENVIOS'!C:C, 'GERAL ENVIOS'!K:K,"NAO ESTA NA PLANILHA"))</f>
        <v>Finalizado</v>
      </c>
    </row>
    <row r="153" ht="17.25" customHeight="1">
      <c r="A153" s="211"/>
      <c r="B153" s="212" t="s">
        <v>1168</v>
      </c>
      <c r="C153" s="215" t="s">
        <v>1235</v>
      </c>
      <c r="D153" s="213">
        <v>77867.0</v>
      </c>
      <c r="E153" s="214" t="s">
        <v>721</v>
      </c>
      <c r="F153" s="215" t="s">
        <v>1482</v>
      </c>
      <c r="G153" s="215" t="s">
        <v>1483</v>
      </c>
      <c r="H153" s="222" t="s">
        <v>1452</v>
      </c>
      <c r="I153" s="217" t="str">
        <f t="array" ref="I153">IF(E153="", "", _xlfn.XLOOKUP(E153, 'GERAL ENVIOS'!C:C, 'GERAL ENVIOS'!K:K,"NAO ESTA NA PLANILHA"))</f>
        <v>Finalizado</v>
      </c>
    </row>
    <row r="154" ht="17.25" customHeight="1">
      <c r="A154" s="211"/>
      <c r="B154" s="212" t="s">
        <v>1484</v>
      </c>
      <c r="C154" s="215" t="s">
        <v>1163</v>
      </c>
      <c r="D154" s="213">
        <v>88663.0</v>
      </c>
      <c r="E154" s="214" t="s">
        <v>817</v>
      </c>
      <c r="F154" s="215" t="s">
        <v>1485</v>
      </c>
      <c r="G154" s="215" t="s">
        <v>1486</v>
      </c>
      <c r="H154" s="222" t="s">
        <v>1452</v>
      </c>
      <c r="I154" s="217" t="str">
        <f t="array" ref="I154">IF(E154="", "", _xlfn.XLOOKUP(E154, 'GERAL ENVIOS'!C:C, 'GERAL ENVIOS'!K:K,"NAO ESTA NA PLANILHA"))</f>
        <v>Finalizado</v>
      </c>
    </row>
    <row r="155" ht="17.25" customHeight="1">
      <c r="A155" s="211"/>
      <c r="B155" s="212" t="s">
        <v>1330</v>
      </c>
      <c r="C155" s="215" t="s">
        <v>1235</v>
      </c>
      <c r="D155" s="213">
        <v>88663.0</v>
      </c>
      <c r="E155" s="214" t="s">
        <v>817</v>
      </c>
      <c r="F155" s="215" t="s">
        <v>1485</v>
      </c>
      <c r="G155" s="215" t="s">
        <v>1486</v>
      </c>
      <c r="H155" s="222" t="s">
        <v>1452</v>
      </c>
      <c r="I155" s="217" t="str">
        <f t="array" ref="I155">IF(E155="", "", _xlfn.XLOOKUP(E155, 'GERAL ENVIOS'!C:C, 'GERAL ENVIOS'!K:K,"NAO ESTA NA PLANILHA"))</f>
        <v>Finalizado</v>
      </c>
    </row>
    <row r="156" ht="17.25" customHeight="1">
      <c r="A156" s="211"/>
      <c r="B156" s="212" t="s">
        <v>1162</v>
      </c>
      <c r="C156" s="215" t="s">
        <v>1235</v>
      </c>
      <c r="D156" s="213">
        <v>88363.0</v>
      </c>
      <c r="E156" s="214" t="s">
        <v>819</v>
      </c>
      <c r="F156" s="215" t="s">
        <v>1487</v>
      </c>
      <c r="G156" s="215" t="s">
        <v>1488</v>
      </c>
      <c r="H156" s="222" t="s">
        <v>1452</v>
      </c>
      <c r="I156" s="217" t="str">
        <f t="array" ref="I156">IF(E156="", "", _xlfn.XLOOKUP(E156, 'GERAL ENVIOS'!C:C, 'GERAL ENVIOS'!K:K,"NAO ESTA NA PLANILHA"))</f>
        <v>Finalizado</v>
      </c>
    </row>
    <row r="157" ht="17.25" customHeight="1">
      <c r="A157" s="211"/>
      <c r="B157" s="212" t="s">
        <v>1168</v>
      </c>
      <c r="C157" s="215" t="s">
        <v>1246</v>
      </c>
      <c r="D157" s="213">
        <v>86671.0</v>
      </c>
      <c r="E157" s="214" t="s">
        <v>1489</v>
      </c>
      <c r="F157" s="215" t="s">
        <v>1490</v>
      </c>
      <c r="G157" s="215" t="s">
        <v>1491</v>
      </c>
      <c r="H157" s="222" t="s">
        <v>1452</v>
      </c>
      <c r="I157" s="217" t="str">
        <f t="array" ref="I157">IF(E157="", "", _xlfn.XLOOKUP(E157, 'GERAL ENVIOS'!C:C, 'GERAL ENVIOS'!K:K,"NAO ESTA NA PLANILHA"))</f>
        <v>Finalizado</v>
      </c>
    </row>
    <row r="158" ht="17.25" customHeight="1">
      <c r="A158" s="211"/>
      <c r="B158" s="212" t="s">
        <v>1484</v>
      </c>
      <c r="C158" s="215" t="s">
        <v>1123</v>
      </c>
      <c r="D158" s="213">
        <v>86671.0</v>
      </c>
      <c r="E158" s="214" t="s">
        <v>1489</v>
      </c>
      <c r="F158" s="215" t="s">
        <v>1490</v>
      </c>
      <c r="G158" s="215" t="s">
        <v>1491</v>
      </c>
      <c r="H158" s="222" t="s">
        <v>1452</v>
      </c>
      <c r="I158" s="217" t="str">
        <f t="array" ref="I158">IF(E158="", "", _xlfn.XLOOKUP(E158, 'GERAL ENVIOS'!C:C, 'GERAL ENVIOS'!K:K,"NAO ESTA NA PLANILHA"))</f>
        <v>Finalizado</v>
      </c>
    </row>
    <row r="159" ht="17.25" customHeight="1">
      <c r="A159" s="211"/>
      <c r="B159" s="212" t="s">
        <v>1168</v>
      </c>
      <c r="C159" s="215" t="s">
        <v>1163</v>
      </c>
      <c r="D159" s="213">
        <v>70204.0</v>
      </c>
      <c r="E159" s="214" t="s">
        <v>1492</v>
      </c>
      <c r="F159" s="215" t="s">
        <v>1493</v>
      </c>
      <c r="G159" s="215" t="s">
        <v>1494</v>
      </c>
      <c r="H159" s="222" t="s">
        <v>1452</v>
      </c>
      <c r="I159" s="217" t="str">
        <f t="array" ref="I159">IF(E159="", "", _xlfn.XLOOKUP(E159, 'GERAL ENVIOS'!C:C, 'GERAL ENVIOS'!K:K,"NAO ESTA NA PLANILHA"))</f>
        <v>NAO ESTA NA PLANILHA</v>
      </c>
    </row>
    <row r="160" ht="17.25" customHeight="1">
      <c r="A160" s="211"/>
      <c r="B160" s="212" t="s">
        <v>1162</v>
      </c>
      <c r="C160" s="215" t="s">
        <v>1246</v>
      </c>
      <c r="D160" s="213">
        <v>66352.0</v>
      </c>
      <c r="E160" s="214" t="s">
        <v>919</v>
      </c>
      <c r="F160" s="215" t="s">
        <v>1495</v>
      </c>
      <c r="G160" s="215" t="s">
        <v>1496</v>
      </c>
      <c r="H160" s="222" t="s">
        <v>1452</v>
      </c>
      <c r="I160" s="217" t="str">
        <f t="array" ref="I160">IF(E160="", "", _xlfn.XLOOKUP(E160, 'GERAL ENVIOS'!C:C, 'GERAL ENVIOS'!K:K,"NAO ESTA NA PLANILHA"))</f>
        <v>Aguardando Aprovação</v>
      </c>
    </row>
    <row r="161" ht="17.25" customHeight="1">
      <c r="A161" s="211"/>
      <c r="B161" s="215" t="s">
        <v>1168</v>
      </c>
      <c r="C161" s="215" t="s">
        <v>1163</v>
      </c>
      <c r="D161" s="213">
        <v>87497.0</v>
      </c>
      <c r="E161" s="214" t="s">
        <v>1497</v>
      </c>
      <c r="F161" s="215" t="s">
        <v>1498</v>
      </c>
      <c r="G161" s="215" t="s">
        <v>1499</v>
      </c>
      <c r="H161" s="222" t="s">
        <v>1500</v>
      </c>
      <c r="I161" s="217" t="str">
        <f t="array" ref="I161">IF(E161="", "", _xlfn.XLOOKUP(E161, 'GERAL ENVIOS'!C:C, 'GERAL ENVIOS'!K:K,"NAO ESTA NA PLANILHA"))</f>
        <v>NAO ESTA NA PLANILHA</v>
      </c>
    </row>
    <row r="162" ht="17.25" customHeight="1">
      <c r="A162" s="211"/>
      <c r="B162" s="215" t="s">
        <v>1168</v>
      </c>
      <c r="C162" s="215" t="s">
        <v>1235</v>
      </c>
      <c r="D162" s="213">
        <v>87565.0</v>
      </c>
      <c r="E162" s="214" t="s">
        <v>302</v>
      </c>
      <c r="F162" s="215" t="s">
        <v>1501</v>
      </c>
      <c r="G162" s="215" t="s">
        <v>1502</v>
      </c>
      <c r="H162" s="222" t="s">
        <v>1500</v>
      </c>
      <c r="I162" s="217" t="str">
        <f t="array" ref="I162">IF(E162="", "", _xlfn.XLOOKUP(E162, 'GERAL ENVIOS'!C:C, 'GERAL ENVIOS'!K:K,"NAO ESTA NA PLANILHA"))</f>
        <v>Finalizado</v>
      </c>
    </row>
    <row r="163" ht="17.25" customHeight="1">
      <c r="A163" s="211"/>
      <c r="B163" s="215" t="s">
        <v>1168</v>
      </c>
      <c r="C163" s="215" t="s">
        <v>1235</v>
      </c>
      <c r="D163" s="213">
        <v>84062.0</v>
      </c>
      <c r="E163" s="214" t="s">
        <v>1503</v>
      </c>
      <c r="F163" s="215" t="s">
        <v>1504</v>
      </c>
      <c r="G163" s="215" t="s">
        <v>1505</v>
      </c>
      <c r="H163" s="222" t="s">
        <v>1500</v>
      </c>
      <c r="I163" s="217" t="str">
        <f t="array" ref="I163">IF(E163="", "", _xlfn.XLOOKUP(E163, 'GERAL ENVIOS'!C:C, 'GERAL ENVIOS'!K:K,"NAO ESTA NA PLANILHA"))</f>
        <v>Finalizado</v>
      </c>
    </row>
    <row r="164" ht="17.25" customHeight="1">
      <c r="A164" s="211"/>
      <c r="B164" s="215" t="s">
        <v>1162</v>
      </c>
      <c r="C164" s="215" t="s">
        <v>1246</v>
      </c>
      <c r="D164" s="213">
        <v>89516.0</v>
      </c>
      <c r="E164" s="214" t="s">
        <v>343</v>
      </c>
      <c r="F164" s="215" t="s">
        <v>1506</v>
      </c>
      <c r="G164" s="215" t="s">
        <v>1507</v>
      </c>
      <c r="H164" s="222" t="s">
        <v>1500</v>
      </c>
      <c r="I164" s="217" t="str">
        <f t="array" ref="I164">IF(E164="", "", _xlfn.XLOOKUP(E164, 'GERAL ENVIOS'!C:C, 'GERAL ENVIOS'!K:K,"NAO ESTA NA PLANILHA"))</f>
        <v>Finalizado</v>
      </c>
    </row>
    <row r="165" ht="17.25" customHeight="1">
      <c r="A165" s="211"/>
      <c r="B165" s="215" t="s">
        <v>1168</v>
      </c>
      <c r="C165" s="215" t="s">
        <v>1163</v>
      </c>
      <c r="D165" s="213">
        <v>87621.0</v>
      </c>
      <c r="E165" s="214" t="s">
        <v>1508</v>
      </c>
      <c r="F165" s="215" t="s">
        <v>1509</v>
      </c>
      <c r="G165" s="215" t="s">
        <v>1510</v>
      </c>
      <c r="H165" s="222" t="s">
        <v>1500</v>
      </c>
      <c r="I165" s="217" t="str">
        <f t="array" ref="I165">IF(E165="", "", _xlfn.XLOOKUP(E165, 'GERAL ENVIOS'!C:C, 'GERAL ENVIOS'!K:K,"NAO ESTA NA PLANILHA"))</f>
        <v>NAO ESTA NA PLANILHA</v>
      </c>
    </row>
    <row r="166" ht="17.25" customHeight="1">
      <c r="A166" s="211"/>
      <c r="B166" s="215" t="s">
        <v>1168</v>
      </c>
      <c r="C166" s="215" t="s">
        <v>1163</v>
      </c>
      <c r="D166" s="213">
        <v>69670.0</v>
      </c>
      <c r="E166" s="214" t="s">
        <v>1511</v>
      </c>
      <c r="F166" s="215" t="s">
        <v>1512</v>
      </c>
      <c r="G166" s="215" t="s">
        <v>1513</v>
      </c>
      <c r="H166" s="222" t="s">
        <v>1500</v>
      </c>
      <c r="I166" s="217" t="str">
        <f t="array" ref="I166">IF(E166="", "", _xlfn.XLOOKUP(E166, 'GERAL ENVIOS'!C:C, 'GERAL ENVIOS'!K:K,"NAO ESTA NA PLANILHA"))</f>
        <v>NAO ESTA NA PLANILHA</v>
      </c>
    </row>
    <row r="167" ht="17.25" customHeight="1">
      <c r="A167" s="211"/>
      <c r="B167" s="215" t="s">
        <v>1168</v>
      </c>
      <c r="C167" s="215" t="s">
        <v>1235</v>
      </c>
      <c r="D167" s="213">
        <v>84245.0</v>
      </c>
      <c r="E167" s="214" t="s">
        <v>273</v>
      </c>
      <c r="F167" s="215" t="s">
        <v>1514</v>
      </c>
      <c r="G167" s="215" t="s">
        <v>1515</v>
      </c>
      <c r="H167" s="222" t="s">
        <v>1500</v>
      </c>
      <c r="I167" s="217" t="str">
        <f t="array" ref="I167">IF(E167="", "", _xlfn.XLOOKUP(E167, 'GERAL ENVIOS'!C:C, 'GERAL ENVIOS'!K:K,"NAO ESTA NA PLANILHA"))</f>
        <v>Finalizado</v>
      </c>
    </row>
    <row r="168" ht="17.25" customHeight="1">
      <c r="A168" s="211"/>
      <c r="B168" s="215" t="s">
        <v>1168</v>
      </c>
      <c r="C168" s="215" t="s">
        <v>1235</v>
      </c>
      <c r="D168" s="213">
        <v>87830.0</v>
      </c>
      <c r="E168" s="214" t="s">
        <v>360</v>
      </c>
      <c r="F168" s="215" t="s">
        <v>1516</v>
      </c>
      <c r="G168" s="215" t="s">
        <v>1517</v>
      </c>
      <c r="H168" s="222" t="s">
        <v>1500</v>
      </c>
      <c r="I168" s="217" t="str">
        <f t="array" ref="I168">IF(E168="", "", _xlfn.XLOOKUP(E168, 'GERAL ENVIOS'!C:C, 'GERAL ENVIOS'!K:K,"NAO ESTA NA PLANILHA"))</f>
        <v>Finalizado</v>
      </c>
    </row>
    <row r="169" ht="17.25" customHeight="1">
      <c r="A169" s="211"/>
      <c r="B169" s="215" t="s">
        <v>1162</v>
      </c>
      <c r="C169" s="215" t="s">
        <v>1163</v>
      </c>
      <c r="D169" s="213">
        <v>89532.0</v>
      </c>
      <c r="E169" s="214" t="s">
        <v>664</v>
      </c>
      <c r="F169" s="215" t="s">
        <v>1518</v>
      </c>
      <c r="G169" s="215" t="s">
        <v>1519</v>
      </c>
      <c r="H169" s="222" t="s">
        <v>1500</v>
      </c>
      <c r="I169" s="217" t="str">
        <f t="array" ref="I169">IF(E169="", "", _xlfn.XLOOKUP(E169, 'GERAL ENVIOS'!C:C, 'GERAL ENVIOS'!K:K,"NAO ESTA NA PLANILHA"))</f>
        <v>Aguardando Aprovação</v>
      </c>
    </row>
    <row r="170" ht="17.25" customHeight="1">
      <c r="A170" s="211"/>
      <c r="B170" s="215" t="s">
        <v>1162</v>
      </c>
      <c r="C170" s="215" t="s">
        <v>1246</v>
      </c>
      <c r="D170" s="213">
        <v>90092.0</v>
      </c>
      <c r="E170" s="214" t="s">
        <v>983</v>
      </c>
      <c r="F170" s="215" t="s">
        <v>1520</v>
      </c>
      <c r="G170" s="215" t="s">
        <v>1521</v>
      </c>
      <c r="H170" s="222" t="s">
        <v>1500</v>
      </c>
      <c r="I170" s="217" t="str">
        <f t="array" ref="I170">IF(E170="", "", _xlfn.XLOOKUP(E170, 'GERAL ENVIOS'!C:C, 'GERAL ENVIOS'!K:K,"NAO ESTA NA PLANILHA"))</f>
        <v>Finalizado</v>
      </c>
    </row>
    <row r="171" ht="17.25" customHeight="1">
      <c r="A171" s="211"/>
      <c r="B171" s="215" t="s">
        <v>1168</v>
      </c>
      <c r="C171" s="215" t="s">
        <v>1163</v>
      </c>
      <c r="D171" s="213">
        <v>90013.0</v>
      </c>
      <c r="E171" s="214" t="s">
        <v>1522</v>
      </c>
      <c r="F171" s="215" t="s">
        <v>1523</v>
      </c>
      <c r="G171" s="215" t="s">
        <v>1524</v>
      </c>
      <c r="H171" s="222" t="s">
        <v>1500</v>
      </c>
      <c r="I171" s="217" t="str">
        <f t="array" ref="I171">IF(E171="", "", _xlfn.XLOOKUP(E171, 'GERAL ENVIOS'!C:C, 'GERAL ENVIOS'!K:K,"NAO ESTA NA PLANILHA"))</f>
        <v>NAO ESTA NA PLANILHA</v>
      </c>
    </row>
    <row r="172" ht="17.25" customHeight="1">
      <c r="A172" s="211"/>
      <c r="B172" s="215" t="s">
        <v>1168</v>
      </c>
      <c r="C172" s="215" t="s">
        <v>1235</v>
      </c>
      <c r="D172" s="213">
        <v>89916.0</v>
      </c>
      <c r="E172" s="214" t="s">
        <v>352</v>
      </c>
      <c r="F172" s="215" t="s">
        <v>1525</v>
      </c>
      <c r="G172" s="215" t="s">
        <v>1526</v>
      </c>
      <c r="H172" s="222" t="s">
        <v>1500</v>
      </c>
      <c r="I172" s="217" t="str">
        <f t="array" ref="I172">IF(E172="", "", _xlfn.XLOOKUP(E172, 'GERAL ENVIOS'!C:C, 'GERAL ENVIOS'!K:K,"NAO ESTA NA PLANILHA"))</f>
        <v>Finalizado</v>
      </c>
    </row>
    <row r="173" ht="17.25" customHeight="1">
      <c r="A173" s="211"/>
      <c r="B173" s="215" t="s">
        <v>1162</v>
      </c>
      <c r="C173" s="215" t="s">
        <v>1235</v>
      </c>
      <c r="D173" s="213">
        <v>87550.0</v>
      </c>
      <c r="E173" s="214" t="s">
        <v>810</v>
      </c>
      <c r="F173" s="215" t="s">
        <v>1527</v>
      </c>
      <c r="G173" s="215" t="s">
        <v>1528</v>
      </c>
      <c r="H173" s="222" t="s">
        <v>1500</v>
      </c>
      <c r="I173" s="217" t="str">
        <f t="array" ref="I173">IF(E173="", "", _xlfn.XLOOKUP(E173, 'GERAL ENVIOS'!C:C, 'GERAL ENVIOS'!K:K,"NAO ESTA NA PLANILHA"))</f>
        <v>Finalizado</v>
      </c>
    </row>
    <row r="174" ht="17.25" customHeight="1">
      <c r="A174" s="211"/>
      <c r="B174" s="215" t="s">
        <v>1168</v>
      </c>
      <c r="C174" s="215" t="s">
        <v>1179</v>
      </c>
      <c r="D174" s="213">
        <v>88351.0</v>
      </c>
      <c r="E174" s="214" t="s">
        <v>903</v>
      </c>
      <c r="F174" s="215" t="s">
        <v>1529</v>
      </c>
      <c r="G174" s="215" t="s">
        <v>1530</v>
      </c>
      <c r="H174" s="222" t="s">
        <v>1500</v>
      </c>
      <c r="I174" s="217" t="str">
        <f t="array" ref="I174">IF(E174="", "", _xlfn.XLOOKUP(E174, 'GERAL ENVIOS'!C:C, 'GERAL ENVIOS'!K:K,"NAO ESTA NA PLANILHA"))</f>
        <v>Aguardando Aprovação</v>
      </c>
    </row>
    <row r="175" ht="17.25" customHeight="1">
      <c r="A175" s="211"/>
      <c r="B175" s="215" t="s">
        <v>1168</v>
      </c>
      <c r="C175" s="215" t="s">
        <v>1163</v>
      </c>
      <c r="D175" s="213">
        <v>90026.0</v>
      </c>
      <c r="E175" s="214" t="s">
        <v>1531</v>
      </c>
      <c r="F175" s="215" t="s">
        <v>1532</v>
      </c>
      <c r="G175" s="215" t="s">
        <v>1533</v>
      </c>
      <c r="H175" s="222" t="s">
        <v>1500</v>
      </c>
      <c r="I175" s="217" t="str">
        <f t="array" ref="I175">IF(E175="", "", _xlfn.XLOOKUP(E175, 'GERAL ENVIOS'!C:C, 'GERAL ENVIOS'!K:K,"NAO ESTA NA PLANILHA"))</f>
        <v>NAO ESTA NA PLANILHA</v>
      </c>
    </row>
    <row r="176" ht="17.25" customHeight="1">
      <c r="A176" s="211"/>
      <c r="B176" s="215" t="s">
        <v>1168</v>
      </c>
      <c r="C176" s="215" t="s">
        <v>1163</v>
      </c>
      <c r="D176" s="213">
        <v>87457.0</v>
      </c>
      <c r="E176" s="214" t="s">
        <v>1534</v>
      </c>
      <c r="F176" s="215" t="s">
        <v>1535</v>
      </c>
      <c r="G176" s="215" t="s">
        <v>1536</v>
      </c>
      <c r="H176" s="222" t="s">
        <v>1500</v>
      </c>
      <c r="I176" s="217" t="str">
        <f t="array" ref="I176">IF(E176="", "", _xlfn.XLOOKUP(E176, 'GERAL ENVIOS'!C:C, 'GERAL ENVIOS'!K:K,"NAO ESTA NA PLANILHA"))</f>
        <v>NAO ESTA NA PLANILHA</v>
      </c>
    </row>
    <row r="177" ht="17.25" customHeight="1">
      <c r="A177" s="211"/>
      <c r="B177" s="212" t="s">
        <v>1162</v>
      </c>
      <c r="C177" s="215" t="s">
        <v>1434</v>
      </c>
      <c r="D177" s="213">
        <v>89337.0</v>
      </c>
      <c r="E177" s="214" t="s">
        <v>695</v>
      </c>
      <c r="F177" s="215" t="s">
        <v>1537</v>
      </c>
      <c r="G177" s="215" t="s">
        <v>1538</v>
      </c>
      <c r="H177" s="222" t="s">
        <v>1539</v>
      </c>
      <c r="I177" s="217" t="str">
        <f t="array" ref="I177">IF(E177="", "", _xlfn.XLOOKUP(E177, 'GERAL ENVIOS'!C:C, 'GERAL ENVIOS'!K:K,"NAO ESTA NA PLANILHA"))</f>
        <v>IMPRESSÃO</v>
      </c>
    </row>
    <row r="178" ht="17.25" customHeight="1">
      <c r="A178" s="211"/>
      <c r="B178" s="212" t="s">
        <v>1168</v>
      </c>
      <c r="C178" s="215" t="s">
        <v>1235</v>
      </c>
      <c r="D178" s="213">
        <v>88827.0</v>
      </c>
      <c r="E178" s="214" t="s">
        <v>286</v>
      </c>
      <c r="F178" s="215" t="s">
        <v>1540</v>
      </c>
      <c r="G178" s="215" t="s">
        <v>1541</v>
      </c>
      <c r="H178" s="222" t="s">
        <v>1539</v>
      </c>
      <c r="I178" s="217" t="str">
        <f t="array" ref="I178">IF(E178="", "", _xlfn.XLOOKUP(E178, 'GERAL ENVIOS'!C:C, 'GERAL ENVIOS'!K:K,"NAO ESTA NA PLANILHA"))</f>
        <v>Finalizado</v>
      </c>
    </row>
    <row r="179" ht="17.25" customHeight="1">
      <c r="A179" s="211"/>
      <c r="B179" s="212" t="s">
        <v>1168</v>
      </c>
      <c r="C179" s="215" t="s">
        <v>1246</v>
      </c>
      <c r="D179" s="213">
        <v>85325.0</v>
      </c>
      <c r="E179" s="214" t="s">
        <v>869</v>
      </c>
      <c r="F179" s="215" t="s">
        <v>1542</v>
      </c>
      <c r="G179" s="215" t="s">
        <v>1543</v>
      </c>
      <c r="H179" s="222" t="s">
        <v>1539</v>
      </c>
      <c r="I179" s="217" t="str">
        <f t="array" ref="I179">IF(E179="", "", _xlfn.XLOOKUP(E179, 'GERAL ENVIOS'!C:C, 'GERAL ENVIOS'!K:K,"NAO ESTA NA PLANILHA"))</f>
        <v>Finalizado</v>
      </c>
    </row>
    <row r="180" ht="17.25" customHeight="1">
      <c r="A180" s="211"/>
      <c r="B180" s="212" t="s">
        <v>1168</v>
      </c>
      <c r="C180" s="215" t="s">
        <v>1163</v>
      </c>
      <c r="D180" s="213">
        <v>87011.0</v>
      </c>
      <c r="E180" s="214" t="s">
        <v>1113</v>
      </c>
      <c r="F180" s="215" t="s">
        <v>1544</v>
      </c>
      <c r="G180" s="215" t="s">
        <v>1545</v>
      </c>
      <c r="H180" s="222" t="s">
        <v>1539</v>
      </c>
      <c r="I180" s="217" t="str">
        <f t="array" ref="I180">IF(E180="", "", _xlfn.XLOOKUP(E180, 'GERAL ENVIOS'!C:C, 'GERAL ENVIOS'!K:K,"NAO ESTA NA PLANILHA"))</f>
        <v>AGUARDANDO FOTO</v>
      </c>
    </row>
    <row r="181" ht="17.25" customHeight="1">
      <c r="A181" s="211"/>
      <c r="B181" s="212" t="s">
        <v>1162</v>
      </c>
      <c r="C181" s="215" t="s">
        <v>1246</v>
      </c>
      <c r="D181" s="213">
        <v>86996.0</v>
      </c>
      <c r="E181" s="214" t="s">
        <v>99</v>
      </c>
      <c r="F181" s="215" t="s">
        <v>1546</v>
      </c>
      <c r="G181" s="215" t="s">
        <v>1547</v>
      </c>
      <c r="H181" s="222" t="s">
        <v>1539</v>
      </c>
      <c r="I181" s="217" t="str">
        <f t="array" ref="I181">IF(E181="", "", _xlfn.XLOOKUP(E181, 'GERAL ENVIOS'!C:C, 'GERAL ENVIOS'!K:K,"NAO ESTA NA PLANILHA"))</f>
        <v>Finalizado</v>
      </c>
    </row>
    <row r="182" ht="17.25" customHeight="1">
      <c r="A182" s="211"/>
      <c r="B182" s="212" t="s">
        <v>1162</v>
      </c>
      <c r="C182" s="215" t="s">
        <v>1548</v>
      </c>
      <c r="D182" s="213">
        <v>87078.0</v>
      </c>
      <c r="E182" s="214" t="s">
        <v>570</v>
      </c>
      <c r="F182" s="215" t="s">
        <v>1549</v>
      </c>
      <c r="G182" s="215" t="s">
        <v>1550</v>
      </c>
      <c r="H182" s="222" t="s">
        <v>1539</v>
      </c>
      <c r="I182" s="217" t="str">
        <f t="array" ref="I182">IF(E182="", "", _xlfn.XLOOKUP(E182, 'GERAL ENVIOS'!C:C, 'GERAL ENVIOS'!K:K,"NAO ESTA NA PLANILHA"))</f>
        <v>Finalizado</v>
      </c>
    </row>
    <row r="183" ht="17.25" customHeight="1">
      <c r="A183" s="211"/>
      <c r="B183" s="212" t="s">
        <v>1162</v>
      </c>
      <c r="C183" s="215" t="s">
        <v>1434</v>
      </c>
      <c r="D183" s="213">
        <v>86106.0</v>
      </c>
      <c r="E183" s="214" t="s">
        <v>147</v>
      </c>
      <c r="F183" s="215" t="s">
        <v>1551</v>
      </c>
      <c r="G183" s="215" t="s">
        <v>1552</v>
      </c>
      <c r="H183" s="222" t="s">
        <v>1539</v>
      </c>
      <c r="I183" s="217" t="str">
        <f t="array" ref="I183">IF(E183="", "", _xlfn.XLOOKUP(E183, 'GERAL ENVIOS'!C:C, 'GERAL ENVIOS'!K:K,"NAO ESTA NA PLANILHA"))</f>
        <v>Aguardando Aprovação</v>
      </c>
    </row>
    <row r="184" ht="17.25" customHeight="1">
      <c r="A184" s="211"/>
      <c r="B184" s="212" t="s">
        <v>1162</v>
      </c>
      <c r="C184" s="215" t="s">
        <v>1246</v>
      </c>
      <c r="D184" s="213">
        <v>87121.0</v>
      </c>
      <c r="E184" s="214" t="s">
        <v>703</v>
      </c>
      <c r="F184" s="215" t="s">
        <v>1553</v>
      </c>
      <c r="G184" s="215" t="s">
        <v>1554</v>
      </c>
      <c r="H184" s="222" t="s">
        <v>1539</v>
      </c>
      <c r="I184" s="217" t="str">
        <f t="array" ref="I184">IF(E184="", "", _xlfn.XLOOKUP(E184, 'GERAL ENVIOS'!C:C, 'GERAL ENVIOS'!K:K,"NAO ESTA NA PLANILHA"))</f>
        <v>Finalizado</v>
      </c>
    </row>
    <row r="185" ht="17.25" customHeight="1">
      <c r="A185" s="211"/>
      <c r="B185" s="212" t="s">
        <v>1168</v>
      </c>
      <c r="C185" s="215" t="s">
        <v>1163</v>
      </c>
      <c r="D185" s="213">
        <v>86030.0</v>
      </c>
      <c r="E185" s="214" t="s">
        <v>323</v>
      </c>
      <c r="F185" s="215" t="s">
        <v>1555</v>
      </c>
      <c r="G185" s="215" t="s">
        <v>1556</v>
      </c>
      <c r="H185" s="222" t="s">
        <v>1539</v>
      </c>
      <c r="I185" s="217" t="str">
        <f t="array" ref="I185">IF(E185="", "", _xlfn.XLOOKUP(E185, 'GERAL ENVIOS'!C:C, 'GERAL ENVIOS'!K:K,"NAO ESTA NA PLANILHA"))</f>
        <v>Aguardando Aprovação</v>
      </c>
    </row>
    <row r="186" ht="17.25" customHeight="1">
      <c r="A186" s="211"/>
      <c r="B186" s="212" t="s">
        <v>1168</v>
      </c>
      <c r="C186" s="215" t="s">
        <v>1246</v>
      </c>
      <c r="D186" s="213">
        <v>86584.0</v>
      </c>
      <c r="E186" s="214" t="s">
        <v>963</v>
      </c>
      <c r="F186" s="215" t="s">
        <v>1557</v>
      </c>
      <c r="G186" s="215" t="s">
        <v>1558</v>
      </c>
      <c r="H186" s="222" t="s">
        <v>1539</v>
      </c>
      <c r="I186" s="217" t="str">
        <f t="array" ref="I186">IF(E186="", "", _xlfn.XLOOKUP(E186, 'GERAL ENVIOS'!C:C, 'GERAL ENVIOS'!K:K,"NAO ESTA NA PLANILHA"))</f>
        <v>Finalizado</v>
      </c>
    </row>
    <row r="187" ht="17.25" customHeight="1">
      <c r="A187" s="211"/>
      <c r="B187" s="212" t="s">
        <v>1168</v>
      </c>
      <c r="C187" s="215" t="s">
        <v>1246</v>
      </c>
      <c r="D187" s="213">
        <v>86523.0</v>
      </c>
      <c r="E187" s="214" t="s">
        <v>245</v>
      </c>
      <c r="F187" s="215" t="s">
        <v>1559</v>
      </c>
      <c r="G187" s="215" t="s">
        <v>1560</v>
      </c>
      <c r="H187" s="222" t="s">
        <v>1539</v>
      </c>
      <c r="I187" s="217" t="str">
        <f t="array" ref="I187">IF(E187="", "", _xlfn.XLOOKUP(E187, 'GERAL ENVIOS'!C:C, 'GERAL ENVIOS'!K:K,"NAO ESTA NA PLANILHA"))</f>
        <v>Finalizado</v>
      </c>
    </row>
    <row r="188" ht="17.25" customHeight="1">
      <c r="A188" s="211"/>
      <c r="B188" s="212" t="s">
        <v>1162</v>
      </c>
      <c r="C188" s="215" t="s">
        <v>1235</v>
      </c>
      <c r="D188" s="213">
        <v>86379.0</v>
      </c>
      <c r="E188" s="214" t="s">
        <v>170</v>
      </c>
      <c r="F188" s="215" t="s">
        <v>1561</v>
      </c>
      <c r="G188" s="215" t="s">
        <v>1562</v>
      </c>
      <c r="H188" s="222" t="s">
        <v>1539</v>
      </c>
      <c r="I188" s="217" t="str">
        <f t="array" ref="I188">IF(E188="", "", _xlfn.XLOOKUP(E188, 'GERAL ENVIOS'!C:C, 'GERAL ENVIOS'!K:K,"NAO ESTA NA PLANILHA"))</f>
        <v>Finalizado</v>
      </c>
    </row>
    <row r="189" ht="17.25" customHeight="1">
      <c r="A189" s="211"/>
      <c r="B189" s="212" t="s">
        <v>1168</v>
      </c>
      <c r="C189" s="215" t="s">
        <v>1246</v>
      </c>
      <c r="D189" s="213">
        <v>85331.0</v>
      </c>
      <c r="E189" s="214" t="s">
        <v>333</v>
      </c>
      <c r="F189" s="215" t="s">
        <v>1563</v>
      </c>
      <c r="G189" s="215" t="s">
        <v>1564</v>
      </c>
      <c r="H189" s="222" t="s">
        <v>1539</v>
      </c>
      <c r="I189" s="217" t="str">
        <f t="array" ref="I189">IF(E189="", "", _xlfn.XLOOKUP(E189, 'GERAL ENVIOS'!C:C, 'GERAL ENVIOS'!K:K,"NAO ESTA NA PLANILHA"))</f>
        <v>Finalizado</v>
      </c>
    </row>
    <row r="190" ht="17.25" customHeight="1">
      <c r="A190" s="211"/>
      <c r="B190" s="212" t="s">
        <v>1168</v>
      </c>
      <c r="C190" s="215" t="s">
        <v>1163</v>
      </c>
      <c r="D190" s="213">
        <v>86803.0</v>
      </c>
      <c r="E190" s="214" t="s">
        <v>1565</v>
      </c>
      <c r="F190" s="215" t="s">
        <v>1566</v>
      </c>
      <c r="G190" s="215" t="s">
        <v>1567</v>
      </c>
      <c r="H190" s="222" t="s">
        <v>1539</v>
      </c>
      <c r="I190" s="217" t="str">
        <f t="array" ref="I190">IF(E190="", "", _xlfn.XLOOKUP(E190, 'GERAL ENVIOS'!C:C, 'GERAL ENVIOS'!K:K,"NAO ESTA NA PLANILHA"))</f>
        <v>NAO ESTA NA PLANILHA</v>
      </c>
    </row>
    <row r="191" ht="17.25" customHeight="1">
      <c r="A191" s="211"/>
      <c r="B191" s="212" t="s">
        <v>1162</v>
      </c>
      <c r="C191" s="215" t="s">
        <v>1163</v>
      </c>
      <c r="D191" s="213">
        <v>85317.0</v>
      </c>
      <c r="E191" s="214" t="s">
        <v>1568</v>
      </c>
      <c r="F191" s="215" t="s">
        <v>1569</v>
      </c>
      <c r="G191" s="215" t="s">
        <v>1570</v>
      </c>
      <c r="H191" s="222" t="s">
        <v>1539</v>
      </c>
      <c r="I191" s="217" t="str">
        <f t="array" ref="I191">IF(E191="", "", _xlfn.XLOOKUP(E191, 'GERAL ENVIOS'!C:C, 'GERAL ENVIOS'!K:K,"NAO ESTA NA PLANILHA"))</f>
        <v>NAO ESTA NA PLANILHA</v>
      </c>
    </row>
    <row r="192" ht="17.25" customHeight="1">
      <c r="A192" s="211"/>
      <c r="B192" s="212" t="s">
        <v>1162</v>
      </c>
      <c r="C192" s="215" t="s">
        <v>1163</v>
      </c>
      <c r="D192" s="213">
        <v>85301.0</v>
      </c>
      <c r="E192" s="214" t="s">
        <v>1571</v>
      </c>
      <c r="F192" s="215" t="s">
        <v>1572</v>
      </c>
      <c r="G192" s="215" t="s">
        <v>1573</v>
      </c>
      <c r="H192" s="222" t="s">
        <v>1539</v>
      </c>
      <c r="I192" s="217" t="str">
        <f t="array" ref="I192">IF(E192="", "", _xlfn.XLOOKUP(E192, 'GERAL ENVIOS'!C:C, 'GERAL ENVIOS'!K:K,"NAO ESTA NA PLANILHA"))</f>
        <v>NAO ESTA NA PLANILHA</v>
      </c>
    </row>
    <row r="193" ht="17.25" customHeight="1">
      <c r="A193" s="211"/>
      <c r="B193" s="212" t="s">
        <v>1162</v>
      </c>
      <c r="C193" s="215" t="s">
        <v>1163</v>
      </c>
      <c r="D193" s="213">
        <v>86518.0</v>
      </c>
      <c r="E193" s="214" t="s">
        <v>1574</v>
      </c>
      <c r="F193" s="215" t="s">
        <v>1575</v>
      </c>
      <c r="G193" s="215" t="s">
        <v>1576</v>
      </c>
      <c r="H193" s="222" t="s">
        <v>1539</v>
      </c>
      <c r="I193" s="217" t="str">
        <f t="array" ref="I193">IF(E193="", "", _xlfn.XLOOKUP(E193, 'GERAL ENVIOS'!C:C, 'GERAL ENVIOS'!K:K,"NAO ESTA NA PLANILHA"))</f>
        <v>Aguardando Aprovação</v>
      </c>
    </row>
    <row r="194" ht="17.25" customHeight="1">
      <c r="A194" s="211"/>
      <c r="B194" s="212" t="s">
        <v>1168</v>
      </c>
      <c r="C194" s="215" t="s">
        <v>1163</v>
      </c>
      <c r="D194" s="213">
        <v>86795.0</v>
      </c>
      <c r="E194" s="214" t="s">
        <v>574</v>
      </c>
      <c r="F194" s="215" t="s">
        <v>1577</v>
      </c>
      <c r="G194" s="215" t="s">
        <v>1578</v>
      </c>
      <c r="H194" s="222" t="s">
        <v>1539</v>
      </c>
      <c r="I194" s="217" t="str">
        <f t="array" ref="I194">IF(E194="", "", _xlfn.XLOOKUP(E194, 'GERAL ENVIOS'!C:C, 'GERAL ENVIOS'!K:K,"NAO ESTA NA PLANILHA"))</f>
        <v>AGUARDANDO FOTO</v>
      </c>
    </row>
    <row r="195" ht="17.25" customHeight="1">
      <c r="A195" s="211"/>
      <c r="B195" s="212" t="s">
        <v>1162</v>
      </c>
      <c r="C195" s="215" t="s">
        <v>1235</v>
      </c>
      <c r="D195" s="213">
        <v>85308.0</v>
      </c>
      <c r="E195" s="214" t="s">
        <v>899</v>
      </c>
      <c r="F195" s="215" t="s">
        <v>1579</v>
      </c>
      <c r="G195" s="215" t="s">
        <v>1580</v>
      </c>
      <c r="H195" s="222" t="s">
        <v>1539</v>
      </c>
      <c r="I195" s="217" t="str">
        <f t="array" ref="I195">IF(E195="", "", _xlfn.XLOOKUP(E195, 'GERAL ENVIOS'!C:C, 'GERAL ENVIOS'!K:K,"NAO ESTA NA PLANILHA"))</f>
        <v>Finalizado</v>
      </c>
    </row>
    <row r="196" ht="17.25" customHeight="1">
      <c r="A196" s="211"/>
      <c r="B196" s="212" t="s">
        <v>1162</v>
      </c>
      <c r="C196" s="215" t="s">
        <v>1235</v>
      </c>
      <c r="D196" s="213">
        <v>87010.0</v>
      </c>
      <c r="E196" s="214" t="s">
        <v>967</v>
      </c>
      <c r="F196" s="215" t="s">
        <v>1581</v>
      </c>
      <c r="G196" s="215" t="s">
        <v>1582</v>
      </c>
      <c r="H196" s="222" t="s">
        <v>1539</v>
      </c>
      <c r="I196" s="217" t="str">
        <f t="array" ref="I196">IF(E196="", "", _xlfn.XLOOKUP(E196, 'GERAL ENVIOS'!C:C, 'GERAL ENVIOS'!K:K,"NAO ESTA NA PLANILHA"))</f>
        <v>Finalizado</v>
      </c>
    </row>
    <row r="197" ht="17.25" customHeight="1">
      <c r="A197" s="211"/>
      <c r="B197" s="212" t="s">
        <v>1162</v>
      </c>
      <c r="C197" s="215" t="s">
        <v>1235</v>
      </c>
      <c r="D197" s="213">
        <v>86997.0</v>
      </c>
      <c r="E197" s="214" t="s">
        <v>1583</v>
      </c>
      <c r="F197" s="215" t="s">
        <v>1584</v>
      </c>
      <c r="G197" s="215" t="s">
        <v>1585</v>
      </c>
      <c r="H197" s="222" t="s">
        <v>1539</v>
      </c>
      <c r="I197" s="217" t="str">
        <f t="array" ref="I197">IF(E197="", "", _xlfn.XLOOKUP(E197, 'GERAL ENVIOS'!C:C, 'GERAL ENVIOS'!K:K,"NAO ESTA NA PLANILHA"))</f>
        <v>Finalizado</v>
      </c>
    </row>
    <row r="198" ht="17.25" customHeight="1">
      <c r="A198" s="211"/>
      <c r="B198" s="212" t="s">
        <v>1168</v>
      </c>
      <c r="C198" s="215" t="s">
        <v>1235</v>
      </c>
      <c r="D198" s="213">
        <v>85487.0</v>
      </c>
      <c r="E198" s="214" t="s">
        <v>84</v>
      </c>
      <c r="F198" s="215" t="s">
        <v>1586</v>
      </c>
      <c r="G198" s="215" t="s">
        <v>1587</v>
      </c>
      <c r="H198" s="222" t="s">
        <v>1539</v>
      </c>
      <c r="I198" s="217" t="str">
        <f t="array" ref="I198">IF(E198="", "", _xlfn.XLOOKUP(E198, 'GERAL ENVIOS'!C:C, 'GERAL ENVIOS'!K:K,"NAO ESTA NA PLANILHA"))</f>
        <v>Finalizado</v>
      </c>
    </row>
    <row r="199" ht="17.25" customHeight="1">
      <c r="A199" s="211"/>
      <c r="B199" s="212" t="s">
        <v>1162</v>
      </c>
      <c r="C199" s="215" t="s">
        <v>1163</v>
      </c>
      <c r="D199" s="213">
        <v>87086.0</v>
      </c>
      <c r="E199" s="214" t="s">
        <v>1588</v>
      </c>
      <c r="F199" s="215" t="s">
        <v>1589</v>
      </c>
      <c r="G199" s="215" t="s">
        <v>1590</v>
      </c>
      <c r="H199" s="222" t="s">
        <v>1539</v>
      </c>
      <c r="I199" s="217" t="str">
        <f t="array" ref="I199">IF(E199="", "", _xlfn.XLOOKUP(E199, 'GERAL ENVIOS'!C:C, 'GERAL ENVIOS'!K:K,"NAO ESTA NA PLANILHA"))</f>
        <v>Aguardando Aprovação</v>
      </c>
    </row>
    <row r="200" ht="17.25" customHeight="1">
      <c r="A200" s="211"/>
      <c r="B200" s="212" t="s">
        <v>1162</v>
      </c>
      <c r="C200" s="215" t="s">
        <v>1163</v>
      </c>
      <c r="D200" s="213">
        <v>86885.0</v>
      </c>
      <c r="E200" s="214" t="s">
        <v>965</v>
      </c>
      <c r="F200" s="215" t="s">
        <v>1591</v>
      </c>
      <c r="G200" s="215" t="s">
        <v>1592</v>
      </c>
      <c r="H200" s="222" t="s">
        <v>1539</v>
      </c>
      <c r="I200" s="217" t="s">
        <v>4</v>
      </c>
    </row>
    <row r="201" ht="17.25" customHeight="1">
      <c r="A201" s="211"/>
      <c r="B201" s="212" t="s">
        <v>1168</v>
      </c>
      <c r="C201" s="215" t="s">
        <v>1163</v>
      </c>
      <c r="D201" s="213">
        <v>85355.0</v>
      </c>
      <c r="E201" s="214" t="s">
        <v>1593</v>
      </c>
      <c r="F201" s="215" t="s">
        <v>1594</v>
      </c>
      <c r="G201" s="215" t="s">
        <v>1595</v>
      </c>
      <c r="H201" s="222" t="s">
        <v>1539</v>
      </c>
      <c r="I201" s="217" t="str">
        <f t="array" ref="I201">IF(E201="", "", _xlfn.XLOOKUP(E201, 'GERAL ENVIOS'!C:C, 'GERAL ENVIOS'!K:K,"NAO ESTA NA PLANILHA"))</f>
        <v>NAO ESTA NA PLANILHA</v>
      </c>
    </row>
    <row r="202" ht="17.25" customHeight="1">
      <c r="A202" s="211"/>
      <c r="B202" s="212" t="s">
        <v>1168</v>
      </c>
      <c r="C202" s="215" t="s">
        <v>1235</v>
      </c>
      <c r="D202" s="213">
        <v>85312.0</v>
      </c>
      <c r="E202" s="214" t="s">
        <v>739</v>
      </c>
      <c r="F202" s="215" t="s">
        <v>1596</v>
      </c>
      <c r="G202" s="223">
        <v>9.2994337679E10</v>
      </c>
      <c r="H202" s="222" t="s">
        <v>1539</v>
      </c>
      <c r="I202" s="217" t="str">
        <f t="array" ref="I202">IF(E202="", "", _xlfn.XLOOKUP(E202, 'GERAL ENVIOS'!C:C, 'GERAL ENVIOS'!K:K,"NAO ESTA NA PLANILHA"))</f>
        <v>Finalizado</v>
      </c>
    </row>
    <row r="203" ht="17.25" customHeight="1">
      <c r="A203" s="211"/>
      <c r="B203" s="212" t="s">
        <v>1162</v>
      </c>
      <c r="C203" s="215" t="s">
        <v>1235</v>
      </c>
      <c r="D203" s="213">
        <v>85707.0</v>
      </c>
      <c r="E203" s="214" t="s">
        <v>723</v>
      </c>
      <c r="F203" s="215" t="s">
        <v>1597</v>
      </c>
      <c r="G203" s="215" t="s">
        <v>1598</v>
      </c>
      <c r="H203" s="222" t="s">
        <v>1539</v>
      </c>
      <c r="I203" s="217" t="str">
        <f t="array" ref="I203">IF(E203="", "", _xlfn.XLOOKUP(E203, 'GERAL ENVIOS'!C:C, 'GERAL ENVIOS'!K:K,"NAO ESTA NA PLANILHA"))</f>
        <v>Finalizado</v>
      </c>
    </row>
    <row r="204" ht="17.25" customHeight="1">
      <c r="A204" s="211"/>
      <c r="B204" s="212" t="s">
        <v>1162</v>
      </c>
      <c r="C204" s="215" t="s">
        <v>1163</v>
      </c>
      <c r="D204" s="213">
        <v>86725.0</v>
      </c>
      <c r="E204" s="214" t="s">
        <v>1599</v>
      </c>
      <c r="F204" s="215" t="s">
        <v>1600</v>
      </c>
      <c r="G204" s="215" t="s">
        <v>1601</v>
      </c>
      <c r="H204" s="222" t="s">
        <v>1539</v>
      </c>
      <c r="I204" s="217" t="str">
        <f t="array" ref="I204">IF(E204="", "", _xlfn.XLOOKUP(E204, 'GERAL ENVIOS'!C:C, 'GERAL ENVIOS'!K:K,"NAO ESTA NA PLANILHA"))</f>
        <v>NAO ESTA NA PLANILHA</v>
      </c>
    </row>
    <row r="205" ht="17.25" customHeight="1">
      <c r="A205" s="211"/>
      <c r="B205" s="212" t="s">
        <v>1168</v>
      </c>
      <c r="C205" s="215" t="s">
        <v>1163</v>
      </c>
      <c r="D205" s="213">
        <v>86743.0</v>
      </c>
      <c r="E205" s="214" t="s">
        <v>1602</v>
      </c>
      <c r="F205" s="215" t="s">
        <v>1603</v>
      </c>
      <c r="G205" s="215" t="s">
        <v>1604</v>
      </c>
      <c r="H205" s="222" t="s">
        <v>1539</v>
      </c>
      <c r="I205" s="217" t="str">
        <f t="array" ref="I205">IF(E205="", "", _xlfn.XLOOKUP(E205, 'GERAL ENVIOS'!C:C, 'GERAL ENVIOS'!K:K,"NAO ESTA NA PLANILHA"))</f>
        <v>NAO ESTA NA PLANILHA</v>
      </c>
    </row>
    <row r="206" ht="17.25" customHeight="1">
      <c r="A206" s="211"/>
      <c r="B206" s="212" t="s">
        <v>1168</v>
      </c>
      <c r="C206" s="215" t="s">
        <v>1163</v>
      </c>
      <c r="D206" s="213">
        <v>85250.0</v>
      </c>
      <c r="E206" s="214" t="s">
        <v>122</v>
      </c>
      <c r="F206" s="215" t="s">
        <v>1605</v>
      </c>
      <c r="G206" s="215" t="s">
        <v>1606</v>
      </c>
      <c r="H206" s="222" t="s">
        <v>1539</v>
      </c>
      <c r="I206" s="217" t="str">
        <f t="array" ref="I206">IF(E206="", "", _xlfn.XLOOKUP(E206, 'GERAL ENVIOS'!C:C, 'GERAL ENVIOS'!K:K,"NAO ESTA NA PLANILHA"))</f>
        <v>Aguardando Aprovação</v>
      </c>
    </row>
    <row r="207" ht="17.25" customHeight="1">
      <c r="A207" s="211"/>
      <c r="B207" s="212" t="s">
        <v>1168</v>
      </c>
      <c r="C207" s="215" t="s">
        <v>1163</v>
      </c>
      <c r="D207" s="213">
        <v>86667.0</v>
      </c>
      <c r="E207" s="214" t="s">
        <v>1607</v>
      </c>
      <c r="F207" s="215" t="s">
        <v>1608</v>
      </c>
      <c r="G207" s="215" t="s">
        <v>1609</v>
      </c>
      <c r="H207" s="222" t="s">
        <v>1539</v>
      </c>
      <c r="I207" s="217" t="str">
        <f t="array" ref="I207">IF(E207="", "", _xlfn.XLOOKUP(E207, 'GERAL ENVIOS'!C:C, 'GERAL ENVIOS'!K:K,"NAO ESTA NA PLANILHA"))</f>
        <v>NAO ESTA NA PLANILHA</v>
      </c>
    </row>
    <row r="208" ht="17.25" customHeight="1">
      <c r="A208" s="211"/>
      <c r="B208" s="212" t="s">
        <v>1162</v>
      </c>
      <c r="C208" s="215" t="s">
        <v>1235</v>
      </c>
      <c r="D208" s="213">
        <v>86761.0</v>
      </c>
      <c r="E208" s="214" t="s">
        <v>1610</v>
      </c>
      <c r="F208" s="215" t="s">
        <v>1611</v>
      </c>
      <c r="G208" s="215" t="s">
        <v>1612</v>
      </c>
      <c r="H208" s="222" t="s">
        <v>1539</v>
      </c>
      <c r="I208" s="217" t="str">
        <f t="array" ref="I208">IF(E208="", "", _xlfn.XLOOKUP(E208, 'GERAL ENVIOS'!C:C, 'GERAL ENVIOS'!K:K,"NAO ESTA NA PLANILHA"))</f>
        <v>Finalizado</v>
      </c>
    </row>
    <row r="209" ht="17.25" customHeight="1">
      <c r="A209" s="211"/>
      <c r="B209" s="212" t="s">
        <v>1168</v>
      </c>
      <c r="C209" s="215" t="s">
        <v>1246</v>
      </c>
      <c r="D209" s="213">
        <v>87090.0</v>
      </c>
      <c r="E209" s="214" t="s">
        <v>921</v>
      </c>
      <c r="F209" s="215" t="s">
        <v>1613</v>
      </c>
      <c r="G209" s="215" t="s">
        <v>1614</v>
      </c>
      <c r="H209" s="222" t="s">
        <v>1539</v>
      </c>
      <c r="I209" s="217" t="str">
        <f t="array" ref="I209">IF(E209="", "", _xlfn.XLOOKUP(E209, 'GERAL ENVIOS'!C:C, 'GERAL ENVIOS'!K:K,"NAO ESTA NA PLANILHA"))</f>
        <v>Finalizado</v>
      </c>
    </row>
    <row r="210" ht="17.25" customHeight="1">
      <c r="A210" s="211"/>
      <c r="B210" s="212" t="s">
        <v>1168</v>
      </c>
      <c r="C210" s="215" t="s">
        <v>1163</v>
      </c>
      <c r="D210" s="213">
        <v>86861.0</v>
      </c>
      <c r="E210" s="214" t="s">
        <v>1615</v>
      </c>
      <c r="F210" s="215" t="s">
        <v>1616</v>
      </c>
      <c r="G210" s="223">
        <v>9.7984064489E10</v>
      </c>
      <c r="H210" s="222" t="s">
        <v>1539</v>
      </c>
      <c r="I210" s="217" t="str">
        <f t="array" ref="I210">IF(E210="", "", _xlfn.XLOOKUP(E210, 'GERAL ENVIOS'!C:C, 'GERAL ENVIOS'!K:K,"NAO ESTA NA PLANILHA"))</f>
        <v>NAO ESTA NA PLANILHA</v>
      </c>
    </row>
    <row r="211" ht="17.25" customHeight="1">
      <c r="A211" s="211"/>
      <c r="B211" s="212" t="s">
        <v>1168</v>
      </c>
      <c r="C211" s="215" t="s">
        <v>1163</v>
      </c>
      <c r="D211" s="213">
        <v>87123.0</v>
      </c>
      <c r="E211" s="214" t="s">
        <v>669</v>
      </c>
      <c r="F211" s="215" t="s">
        <v>1617</v>
      </c>
      <c r="G211" s="215" t="s">
        <v>1618</v>
      </c>
      <c r="H211" s="222" t="s">
        <v>1539</v>
      </c>
      <c r="I211" s="217" t="str">
        <f t="array" ref="I211">IF(E211="", "", _xlfn.XLOOKUP(E211, 'GERAL ENVIOS'!C:C, 'GERAL ENVIOS'!K:K,"NAO ESTA NA PLANILHA"))</f>
        <v>IMPRESSÃO</v>
      </c>
    </row>
    <row r="212" ht="17.25" customHeight="1">
      <c r="A212" s="211"/>
      <c r="B212" s="212" t="s">
        <v>1162</v>
      </c>
      <c r="C212" s="215" t="s">
        <v>1163</v>
      </c>
      <c r="D212" s="213">
        <v>85710.0</v>
      </c>
      <c r="E212" s="214" t="s">
        <v>1619</v>
      </c>
      <c r="F212" s="215" t="s">
        <v>1620</v>
      </c>
      <c r="G212" s="215" t="s">
        <v>1621</v>
      </c>
      <c r="H212" s="222" t="s">
        <v>1539</v>
      </c>
      <c r="I212" s="217" t="str">
        <f t="array" ref="I212">IF(E212="", "", _xlfn.XLOOKUP(E212, 'GERAL ENVIOS'!C:C, 'GERAL ENVIOS'!K:K,"NAO ESTA NA PLANILHA"))</f>
        <v>NAO ESTA NA PLANILHA</v>
      </c>
    </row>
    <row r="213" ht="17.25" customHeight="1">
      <c r="A213" s="211"/>
      <c r="B213" s="212" t="s">
        <v>1168</v>
      </c>
      <c r="C213" s="215" t="s">
        <v>1246</v>
      </c>
      <c r="D213" s="213">
        <v>87113.0</v>
      </c>
      <c r="E213" s="214" t="s">
        <v>961</v>
      </c>
      <c r="F213" s="215" t="s">
        <v>1622</v>
      </c>
      <c r="G213" s="215" t="s">
        <v>1623</v>
      </c>
      <c r="H213" s="222" t="s">
        <v>1539</v>
      </c>
      <c r="I213" s="217" t="str">
        <f t="array" ref="I213">IF(E213="", "", _xlfn.XLOOKUP(E213, 'GERAL ENVIOS'!C:C, 'GERAL ENVIOS'!K:K,"NAO ESTA NA PLANILHA"))</f>
        <v>Finalizado</v>
      </c>
    </row>
    <row r="214" ht="17.25" customHeight="1">
      <c r="A214" s="211"/>
      <c r="B214" s="212" t="s">
        <v>1168</v>
      </c>
      <c r="C214" s="215" t="s">
        <v>1246</v>
      </c>
      <c r="D214" s="213">
        <v>86864.0</v>
      </c>
      <c r="E214" s="214" t="s">
        <v>954</v>
      </c>
      <c r="F214" s="215" t="s">
        <v>1624</v>
      </c>
      <c r="G214" s="215" t="s">
        <v>1625</v>
      </c>
      <c r="H214" s="222" t="s">
        <v>1539</v>
      </c>
      <c r="I214" s="217" t="str">
        <f t="array" ref="I214">IF(E214="", "", _xlfn.XLOOKUP(E214, 'GERAL ENVIOS'!C:C, 'GERAL ENVIOS'!K:K,"NAO ESTA NA PLANILHA"))</f>
        <v>Finalizado</v>
      </c>
    </row>
    <row r="215" ht="17.25" customHeight="1">
      <c r="A215" s="211"/>
      <c r="B215" s="212" t="s">
        <v>1162</v>
      </c>
      <c r="C215" s="215" t="s">
        <v>1235</v>
      </c>
      <c r="D215" s="213">
        <v>86872.0</v>
      </c>
      <c r="E215" s="214" t="s">
        <v>540</v>
      </c>
      <c r="F215" s="215" t="s">
        <v>1626</v>
      </c>
      <c r="G215" s="215" t="s">
        <v>1627</v>
      </c>
      <c r="H215" s="222" t="s">
        <v>1539</v>
      </c>
      <c r="I215" s="217" t="str">
        <f t="array" ref="I215">IF(E215="", "", _xlfn.XLOOKUP(E215, 'GERAL ENVIOS'!C:C, 'GERAL ENVIOS'!K:K,"NAO ESTA NA PLANILHA"))</f>
        <v>Finalizado</v>
      </c>
    </row>
    <row r="216" ht="17.25" customHeight="1">
      <c r="A216" s="211"/>
      <c r="B216" s="212" t="s">
        <v>1168</v>
      </c>
      <c r="C216" s="215" t="s">
        <v>1163</v>
      </c>
      <c r="D216" s="213">
        <v>86969.0</v>
      </c>
      <c r="E216" s="214" t="s">
        <v>172</v>
      </c>
      <c r="F216" s="215" t="s">
        <v>1628</v>
      </c>
      <c r="G216" s="215" t="s">
        <v>1629</v>
      </c>
      <c r="H216" s="222" t="s">
        <v>1539</v>
      </c>
      <c r="I216" s="217" t="str">
        <f t="array" ref="I216">IF(E216="", "", _xlfn.XLOOKUP(E216, 'GERAL ENVIOS'!C:C, 'GERAL ENVIOS'!K:K,"NAO ESTA NA PLANILHA"))</f>
        <v>Finalizado</v>
      </c>
    </row>
    <row r="217" ht="17.25" customHeight="1">
      <c r="A217" s="211"/>
      <c r="B217" s="212" t="s">
        <v>1168</v>
      </c>
      <c r="C217" s="215" t="s">
        <v>1246</v>
      </c>
      <c r="D217" s="213">
        <v>87046.0</v>
      </c>
      <c r="E217" s="214" t="s">
        <v>997</v>
      </c>
      <c r="F217" s="215" t="s">
        <v>1630</v>
      </c>
      <c r="G217" s="215" t="s">
        <v>1631</v>
      </c>
      <c r="H217" s="222" t="s">
        <v>1539</v>
      </c>
      <c r="I217" s="217" t="str">
        <f t="array" ref="I217">IF(E217="", "", _xlfn.XLOOKUP(E217, 'GERAL ENVIOS'!C:C, 'GERAL ENVIOS'!K:K,"NAO ESTA NA PLANILHA"))</f>
        <v>Finalizado</v>
      </c>
    </row>
    <row r="218" ht="17.25" customHeight="1">
      <c r="A218" s="211"/>
      <c r="B218" s="212" t="s">
        <v>1168</v>
      </c>
      <c r="C218" s="215" t="s">
        <v>1163</v>
      </c>
      <c r="D218" s="213">
        <v>86413.0</v>
      </c>
      <c r="E218" s="214" t="s">
        <v>1632</v>
      </c>
      <c r="F218" s="215" t="s">
        <v>1633</v>
      </c>
      <c r="G218" s="215" t="s">
        <v>1634</v>
      </c>
      <c r="H218" s="222" t="s">
        <v>1539</v>
      </c>
      <c r="I218" s="217" t="str">
        <f t="array" ref="I218">IF(E218="", "", _xlfn.XLOOKUP(E218, 'GERAL ENVIOS'!C:C, 'GERAL ENVIOS'!K:K,"NAO ESTA NA PLANILHA"))</f>
        <v>NAO ESTA NA PLANILHA</v>
      </c>
    </row>
    <row r="219" ht="17.25" customHeight="1">
      <c r="A219" s="211"/>
      <c r="B219" s="212" t="s">
        <v>1168</v>
      </c>
      <c r="C219" s="215" t="s">
        <v>1163</v>
      </c>
      <c r="D219" s="213">
        <v>87112.0</v>
      </c>
      <c r="E219" s="214" t="s">
        <v>1635</v>
      </c>
      <c r="F219" s="215" t="s">
        <v>1636</v>
      </c>
      <c r="G219" s="215" t="s">
        <v>1637</v>
      </c>
      <c r="H219" s="222" t="s">
        <v>1539</v>
      </c>
      <c r="I219" s="217" t="str">
        <f t="array" ref="I219">IF(E219="", "", _xlfn.XLOOKUP(E219, 'GERAL ENVIOS'!C:C, 'GERAL ENVIOS'!K:K,"NAO ESTA NA PLANILHA"))</f>
        <v>NAO ESTA NA PLANILHA</v>
      </c>
    </row>
    <row r="220" ht="17.25" customHeight="1">
      <c r="A220" s="211"/>
      <c r="B220" s="212" t="s">
        <v>1162</v>
      </c>
      <c r="C220" s="215" t="s">
        <v>1235</v>
      </c>
      <c r="D220" s="213">
        <v>85268.0</v>
      </c>
      <c r="E220" s="214" t="s">
        <v>827</v>
      </c>
      <c r="F220" s="215" t="s">
        <v>1638</v>
      </c>
      <c r="G220" s="215" t="s">
        <v>1639</v>
      </c>
      <c r="H220" s="222" t="s">
        <v>1539</v>
      </c>
      <c r="I220" s="217" t="str">
        <f t="array" ref="I220">IF(E220="", "", _xlfn.XLOOKUP(E220, 'GERAL ENVIOS'!C:C, 'GERAL ENVIOS'!K:K,"NAO ESTA NA PLANILHA"))</f>
        <v>Finalizado</v>
      </c>
    </row>
    <row r="221" ht="17.25" customHeight="1">
      <c r="A221" s="211"/>
      <c r="B221" s="212" t="s">
        <v>1162</v>
      </c>
      <c r="C221" s="215" t="s">
        <v>1235</v>
      </c>
      <c r="D221" s="213">
        <v>85658.0</v>
      </c>
      <c r="E221" s="214" t="s">
        <v>486</v>
      </c>
      <c r="F221" s="215" t="s">
        <v>1640</v>
      </c>
      <c r="G221" s="215" t="s">
        <v>1641</v>
      </c>
      <c r="H221" s="222" t="s">
        <v>1539</v>
      </c>
      <c r="I221" s="217" t="str">
        <f t="array" ref="I221">IF(E221="", "", _xlfn.XLOOKUP(E221, 'GERAL ENVIOS'!C:C, 'GERAL ENVIOS'!K:K,"NAO ESTA NA PLANILHA"))</f>
        <v>Finalizado</v>
      </c>
    </row>
    <row r="222" ht="17.25" customHeight="1">
      <c r="A222" s="211"/>
      <c r="B222" s="212" t="s">
        <v>1168</v>
      </c>
      <c r="C222" s="215" t="s">
        <v>1163</v>
      </c>
      <c r="D222" s="213">
        <v>85261.0</v>
      </c>
      <c r="E222" s="214" t="s">
        <v>756</v>
      </c>
      <c r="F222" s="215" t="s">
        <v>1642</v>
      </c>
      <c r="G222" s="215" t="s">
        <v>1643</v>
      </c>
      <c r="H222" s="222" t="s">
        <v>1539</v>
      </c>
      <c r="I222" s="217" t="str">
        <f t="array" ref="I222">IF(E222="", "", _xlfn.XLOOKUP(E222, 'GERAL ENVIOS'!C:C, 'GERAL ENVIOS'!K:K,"NAO ESTA NA PLANILHA"))</f>
        <v>IMPRESSÃO</v>
      </c>
    </row>
    <row r="223" ht="17.25" customHeight="1">
      <c r="A223" s="211"/>
      <c r="B223" s="212" t="s">
        <v>1168</v>
      </c>
      <c r="C223" s="215" t="s">
        <v>1163</v>
      </c>
      <c r="D223" s="213">
        <v>87170.0</v>
      </c>
      <c r="E223" s="214" t="s">
        <v>1644</v>
      </c>
      <c r="F223" s="215" t="s">
        <v>1645</v>
      </c>
      <c r="G223" s="215" t="s">
        <v>1646</v>
      </c>
      <c r="H223" s="222" t="s">
        <v>1539</v>
      </c>
      <c r="I223" s="217" t="str">
        <f t="array" ref="I223">IF(E223="", "", _xlfn.XLOOKUP(E223, 'GERAL ENVIOS'!C:C, 'GERAL ENVIOS'!K:K,"NAO ESTA NA PLANILHA"))</f>
        <v>NAO ESTA NA PLANILHA</v>
      </c>
    </row>
    <row r="224" ht="17.25" customHeight="1">
      <c r="A224" s="211"/>
      <c r="B224" s="212" t="s">
        <v>1162</v>
      </c>
      <c r="C224" s="215" t="s">
        <v>1163</v>
      </c>
      <c r="D224" s="213">
        <v>86740.0</v>
      </c>
      <c r="E224" s="214" t="s">
        <v>1647</v>
      </c>
      <c r="F224" s="215" t="s">
        <v>1648</v>
      </c>
      <c r="G224" s="215" t="s">
        <v>1649</v>
      </c>
      <c r="H224" s="222" t="s">
        <v>1539</v>
      </c>
      <c r="I224" s="217" t="str">
        <f t="array" ref="I224">IF(E224="", "", _xlfn.XLOOKUP(E224, 'GERAL ENVIOS'!C:C, 'GERAL ENVIOS'!K:K,"NAO ESTA NA PLANILHA"))</f>
        <v>NAO ESTA NA PLANILHA</v>
      </c>
    </row>
    <row r="225" ht="17.25" customHeight="1">
      <c r="A225" s="211"/>
      <c r="B225" s="212" t="s">
        <v>1168</v>
      </c>
      <c r="C225" s="215" t="s">
        <v>1163</v>
      </c>
      <c r="D225" s="213">
        <v>87152.0</v>
      </c>
      <c r="E225" s="214" t="s">
        <v>1650</v>
      </c>
      <c r="F225" s="215" t="s">
        <v>1651</v>
      </c>
      <c r="G225" s="215" t="s">
        <v>1652</v>
      </c>
      <c r="H225" s="222" t="s">
        <v>1539</v>
      </c>
      <c r="I225" s="217" t="str">
        <f t="array" ref="I225">IF(E225="", "", _xlfn.XLOOKUP(E225, 'GERAL ENVIOS'!C:C, 'GERAL ENVIOS'!K:K,"NAO ESTA NA PLANILHA"))</f>
        <v>NAO ESTA NA PLANILHA</v>
      </c>
    </row>
    <row r="226" ht="17.25" customHeight="1">
      <c r="A226" s="211"/>
      <c r="B226" s="212" t="s">
        <v>1162</v>
      </c>
      <c r="C226" s="215" t="s">
        <v>1235</v>
      </c>
      <c r="D226" s="213">
        <v>87179.0</v>
      </c>
      <c r="E226" s="214" t="s">
        <v>802</v>
      </c>
      <c r="F226" s="215" t="s">
        <v>1653</v>
      </c>
      <c r="G226" s="223">
        <v>9.2986207304E10</v>
      </c>
      <c r="H226" s="222" t="s">
        <v>1539</v>
      </c>
      <c r="I226" s="217" t="str">
        <f t="array" ref="I226">IF(E226="", "", _xlfn.XLOOKUP(E226, 'GERAL ENVIOS'!C:C, 'GERAL ENVIOS'!K:K,"NAO ESTA NA PLANILHA"))</f>
        <v>Finalizado</v>
      </c>
    </row>
    <row r="227" ht="17.25" customHeight="1">
      <c r="A227" s="211"/>
      <c r="B227" s="212" t="s">
        <v>1168</v>
      </c>
      <c r="C227" s="215" t="s">
        <v>1246</v>
      </c>
      <c r="D227" s="213">
        <v>87051.0</v>
      </c>
      <c r="E227" s="214" t="s">
        <v>600</v>
      </c>
      <c r="F227" s="215" t="s">
        <v>1654</v>
      </c>
      <c r="G227" s="215" t="s">
        <v>1655</v>
      </c>
      <c r="H227" s="222" t="s">
        <v>1539</v>
      </c>
      <c r="I227" s="217" t="str">
        <f t="array" ref="I227">IF(E227="", "", _xlfn.XLOOKUP(E227, 'GERAL ENVIOS'!C:C, 'GERAL ENVIOS'!K:K,"NAO ESTA NA PLANILHA"))</f>
        <v>Finalizado</v>
      </c>
    </row>
    <row r="228" ht="17.25" customHeight="1">
      <c r="A228" s="211"/>
      <c r="B228" s="212" t="s">
        <v>1162</v>
      </c>
      <c r="C228" s="215" t="s">
        <v>1163</v>
      </c>
      <c r="D228" s="213">
        <v>85246.0</v>
      </c>
      <c r="E228" s="214" t="s">
        <v>1656</v>
      </c>
      <c r="F228" s="215" t="s">
        <v>1657</v>
      </c>
      <c r="G228" s="215" t="s">
        <v>1658</v>
      </c>
      <c r="H228" s="222" t="s">
        <v>1539</v>
      </c>
      <c r="I228" s="217" t="str">
        <f t="array" ref="I228">IF(E228="", "", _xlfn.XLOOKUP(E228, 'GERAL ENVIOS'!C:C, 'GERAL ENVIOS'!K:K,"NAO ESTA NA PLANILHA"))</f>
        <v>NAO ESTA NA PLANILHA</v>
      </c>
    </row>
    <row r="229" ht="17.25" customHeight="1">
      <c r="A229" s="211"/>
      <c r="B229" s="212" t="s">
        <v>1168</v>
      </c>
      <c r="C229" s="215" t="s">
        <v>1163</v>
      </c>
      <c r="D229" s="213">
        <v>87108.0</v>
      </c>
      <c r="E229" s="214" t="s">
        <v>1659</v>
      </c>
      <c r="F229" s="215" t="s">
        <v>1660</v>
      </c>
      <c r="G229" s="215" t="s">
        <v>1661</v>
      </c>
      <c r="H229" s="222" t="s">
        <v>1539</v>
      </c>
      <c r="I229" s="217" t="str">
        <f t="array" ref="I229">IF(E229="", "", _xlfn.XLOOKUP(E229, 'GERAL ENVIOS'!C:C, 'GERAL ENVIOS'!K:K,"NAO ESTA NA PLANILHA"))</f>
        <v>NAO ESTA NA PLANILHA</v>
      </c>
    </row>
    <row r="230" ht="17.25" customHeight="1">
      <c r="A230" s="211"/>
      <c r="B230" s="212" t="s">
        <v>1168</v>
      </c>
      <c r="C230" s="215" t="s">
        <v>1163</v>
      </c>
      <c r="D230" s="213">
        <v>85677.0</v>
      </c>
      <c r="E230" s="214" t="s">
        <v>1662</v>
      </c>
      <c r="F230" s="215" t="s">
        <v>1663</v>
      </c>
      <c r="G230" s="215" t="s">
        <v>1664</v>
      </c>
      <c r="H230" s="222" t="s">
        <v>1539</v>
      </c>
      <c r="I230" s="217" t="str">
        <f t="array" ref="I230">IF(E230="", "", _xlfn.XLOOKUP(E230, 'GERAL ENVIOS'!C:C, 'GERAL ENVIOS'!K:K,"NAO ESTA NA PLANILHA"))</f>
        <v>NAO ESTA NA PLANILHA</v>
      </c>
    </row>
    <row r="231" ht="17.25" customHeight="1">
      <c r="A231" s="211"/>
      <c r="B231" s="212" t="s">
        <v>1168</v>
      </c>
      <c r="C231" s="215" t="s">
        <v>1163</v>
      </c>
      <c r="D231" s="213">
        <v>86344.0</v>
      </c>
      <c r="E231" s="214" t="s">
        <v>762</v>
      </c>
      <c r="F231" s="215" t="s">
        <v>1665</v>
      </c>
      <c r="G231" s="215" t="s">
        <v>1666</v>
      </c>
      <c r="H231" s="222" t="s">
        <v>1539</v>
      </c>
      <c r="I231" s="217" t="str">
        <f t="array" ref="I231">IF(E231="", "", _xlfn.XLOOKUP(E231, 'GERAL ENVIOS'!C:C, 'GERAL ENVIOS'!K:K,"NAO ESTA NA PLANILHA"))</f>
        <v>Aguardando Aprovação</v>
      </c>
    </row>
    <row r="232" ht="17.25" customHeight="1">
      <c r="A232" s="211"/>
      <c r="B232" s="212" t="s">
        <v>1162</v>
      </c>
      <c r="C232" s="215" t="s">
        <v>1163</v>
      </c>
      <c r="D232" s="213">
        <v>86036.0</v>
      </c>
      <c r="E232" s="214" t="s">
        <v>1667</v>
      </c>
      <c r="F232" s="215" t="s">
        <v>1668</v>
      </c>
      <c r="G232" s="215" t="s">
        <v>1669</v>
      </c>
      <c r="H232" s="222" t="s">
        <v>1539</v>
      </c>
      <c r="I232" s="217" t="str">
        <f t="array" ref="I232">IF(E232="", "", _xlfn.XLOOKUP(E232, 'GERAL ENVIOS'!C:C, 'GERAL ENVIOS'!K:K,"NAO ESTA NA PLANILHA"))</f>
        <v>NAO ESTA NA PLANILHA</v>
      </c>
    </row>
    <row r="233" ht="17.25" customHeight="1">
      <c r="A233" s="211"/>
      <c r="B233" s="212" t="s">
        <v>1168</v>
      </c>
      <c r="C233" s="215" t="s">
        <v>1163</v>
      </c>
      <c r="D233" s="213">
        <v>86998.0</v>
      </c>
      <c r="E233" s="214" t="s">
        <v>580</v>
      </c>
      <c r="F233" s="215" t="s">
        <v>1670</v>
      </c>
      <c r="G233" s="215" t="s">
        <v>1671</v>
      </c>
      <c r="H233" s="222" t="s">
        <v>1539</v>
      </c>
      <c r="I233" s="217" t="str">
        <f t="array" ref="I233">IF(E233="", "", _xlfn.XLOOKUP(E233, 'GERAL ENVIOS'!C:C, 'GERAL ENVIOS'!K:K,"NAO ESTA NA PLANILHA"))</f>
        <v>IMPRESSÃO</v>
      </c>
    </row>
    <row r="234" ht="17.25" customHeight="1">
      <c r="A234" s="211"/>
      <c r="B234" s="212" t="s">
        <v>1168</v>
      </c>
      <c r="C234" s="215" t="s">
        <v>1235</v>
      </c>
      <c r="D234" s="213">
        <v>86682.0</v>
      </c>
      <c r="E234" s="214" t="s">
        <v>372</v>
      </c>
      <c r="F234" s="215" t="s">
        <v>1672</v>
      </c>
      <c r="G234" s="215" t="s">
        <v>1673</v>
      </c>
      <c r="H234" s="222" t="s">
        <v>1539</v>
      </c>
      <c r="I234" s="217" t="str">
        <f t="array" ref="I234">IF(E234="", "", _xlfn.XLOOKUP(E234, 'GERAL ENVIOS'!C:C, 'GERAL ENVIOS'!K:K,"NAO ESTA NA PLANILHA"))</f>
        <v>Finalizado</v>
      </c>
    </row>
    <row r="235" ht="17.25" customHeight="1">
      <c r="A235" s="211"/>
      <c r="B235" s="212" t="s">
        <v>1168</v>
      </c>
      <c r="C235" s="215" t="s">
        <v>1163</v>
      </c>
      <c r="D235" s="213">
        <v>86742.0</v>
      </c>
      <c r="E235" s="214" t="s">
        <v>1674</v>
      </c>
      <c r="F235" s="215" t="s">
        <v>1675</v>
      </c>
      <c r="G235" s="215" t="s">
        <v>1676</v>
      </c>
      <c r="H235" s="222" t="s">
        <v>1539</v>
      </c>
      <c r="I235" s="217" t="str">
        <f t="array" ref="I235">IF(E235="", "", _xlfn.XLOOKUP(E235, 'GERAL ENVIOS'!C:C, 'GERAL ENVIOS'!K:K,"NAO ESTA NA PLANILHA"))</f>
        <v>NAO ESTA NA PLANILHA</v>
      </c>
    </row>
    <row r="236" ht="17.25" customHeight="1">
      <c r="A236" s="211"/>
      <c r="B236" s="212" t="s">
        <v>1168</v>
      </c>
      <c r="C236" s="215" t="s">
        <v>1235</v>
      </c>
      <c r="D236" s="213">
        <v>87141.0</v>
      </c>
      <c r="E236" s="214" t="s">
        <v>596</v>
      </c>
      <c r="F236" s="215" t="s">
        <v>1677</v>
      </c>
      <c r="G236" s="215" t="s">
        <v>1678</v>
      </c>
      <c r="H236" s="222" t="s">
        <v>1539</v>
      </c>
      <c r="I236" s="217" t="str">
        <f t="array" ref="I236">IF(E236="", "", _xlfn.XLOOKUP(E236, 'GERAL ENVIOS'!C:C, 'GERAL ENVIOS'!K:K,"NAO ESTA NA PLANILHA"))</f>
        <v>Finalizado</v>
      </c>
    </row>
    <row r="237" ht="17.25" customHeight="1">
      <c r="A237" s="211"/>
      <c r="B237" s="212" t="s">
        <v>1162</v>
      </c>
      <c r="C237" s="215" t="s">
        <v>1163</v>
      </c>
      <c r="D237" s="213">
        <v>85330.0</v>
      </c>
      <c r="E237" s="214" t="s">
        <v>691</v>
      </c>
      <c r="F237" s="215" t="s">
        <v>1679</v>
      </c>
      <c r="G237" s="215" t="s">
        <v>1680</v>
      </c>
      <c r="H237" s="222" t="s">
        <v>1539</v>
      </c>
      <c r="I237" s="217" t="str">
        <f t="array" ref="I237">IF(E237="", "", _xlfn.XLOOKUP(E237, 'GERAL ENVIOS'!C:C, 'GERAL ENVIOS'!K:K,"NAO ESTA NA PLANILHA"))</f>
        <v>Finalizado</v>
      </c>
    </row>
    <row r="238" ht="17.25" customHeight="1">
      <c r="A238" s="211"/>
      <c r="B238" s="212" t="s">
        <v>1168</v>
      </c>
      <c r="C238" s="215" t="s">
        <v>1163</v>
      </c>
      <c r="D238" s="213">
        <v>86960.0</v>
      </c>
      <c r="E238" s="214" t="s">
        <v>644</v>
      </c>
      <c r="F238" s="215" t="s">
        <v>1681</v>
      </c>
      <c r="G238" s="215" t="s">
        <v>1682</v>
      </c>
      <c r="H238" s="222" t="s">
        <v>1539</v>
      </c>
      <c r="I238" s="217" t="str">
        <f t="array" ref="I238">IF(E238="", "", _xlfn.XLOOKUP(E238, 'GERAL ENVIOS'!C:C, 'GERAL ENVIOS'!K:K,"NAO ESTA NA PLANILHA"))</f>
        <v>Aguardando Aprovação</v>
      </c>
    </row>
    <row r="239" ht="17.25" customHeight="1">
      <c r="A239" s="211"/>
      <c r="B239" s="212" t="s">
        <v>1162</v>
      </c>
      <c r="C239" s="215" t="s">
        <v>1163</v>
      </c>
      <c r="D239" s="213">
        <v>87026.0</v>
      </c>
      <c r="E239" s="214" t="s">
        <v>445</v>
      </c>
      <c r="F239" s="215" t="s">
        <v>1683</v>
      </c>
      <c r="G239" s="215" t="s">
        <v>1684</v>
      </c>
      <c r="H239" s="222" t="s">
        <v>1539</v>
      </c>
      <c r="I239" s="217" t="str">
        <f t="array" ref="I239">IF(E239="", "", _xlfn.XLOOKUP(E239, 'GERAL ENVIOS'!C:C, 'GERAL ENVIOS'!K:K,"NAO ESTA NA PLANILHA"))</f>
        <v>IMPRESSÃO</v>
      </c>
    </row>
    <row r="240" ht="17.25" customHeight="1">
      <c r="A240" s="211"/>
      <c r="B240" s="212" t="s">
        <v>1162</v>
      </c>
      <c r="C240" s="215" t="s">
        <v>1235</v>
      </c>
      <c r="D240" s="213">
        <v>86080.0</v>
      </c>
      <c r="E240" s="214" t="s">
        <v>925</v>
      </c>
      <c r="F240" s="215" t="s">
        <v>1685</v>
      </c>
      <c r="G240" s="215" t="s">
        <v>1686</v>
      </c>
      <c r="H240" s="222" t="s">
        <v>1539</v>
      </c>
      <c r="I240" s="217" t="str">
        <f t="array" ref="I240">IF(E240="", "", _xlfn.XLOOKUP(E240, 'GERAL ENVIOS'!C:C, 'GERAL ENVIOS'!K:K,"NAO ESTA NA PLANILHA"))</f>
        <v>Finalizado</v>
      </c>
    </row>
    <row r="241" ht="17.25" customHeight="1">
      <c r="A241" s="211"/>
      <c r="B241" s="212" t="s">
        <v>1162</v>
      </c>
      <c r="C241" s="215" t="s">
        <v>1235</v>
      </c>
      <c r="D241" s="213">
        <v>86097.0</v>
      </c>
      <c r="E241" s="214" t="s">
        <v>231</v>
      </c>
      <c r="F241" s="215" t="s">
        <v>1687</v>
      </c>
      <c r="G241" s="215" t="s">
        <v>1688</v>
      </c>
      <c r="H241" s="222" t="s">
        <v>1539</v>
      </c>
      <c r="I241" s="217" t="str">
        <f t="array" ref="I241">IF(E241="", "", _xlfn.XLOOKUP(E241, 'GERAL ENVIOS'!C:C, 'GERAL ENVIOS'!K:K,"NAO ESTA NA PLANILHA"))</f>
        <v>Finalizado</v>
      </c>
    </row>
    <row r="242" ht="17.25" customHeight="1">
      <c r="A242" s="211"/>
      <c r="B242" s="212" t="s">
        <v>1168</v>
      </c>
      <c r="C242" s="215" t="s">
        <v>1163</v>
      </c>
      <c r="D242" s="213">
        <v>86534.0</v>
      </c>
      <c r="E242" s="214" t="s">
        <v>985</v>
      </c>
      <c r="F242" s="215" t="s">
        <v>1689</v>
      </c>
      <c r="G242" s="215" t="s">
        <v>1690</v>
      </c>
      <c r="H242" s="222" t="s">
        <v>1539</v>
      </c>
      <c r="I242" s="217" t="str">
        <f t="array" ref="I242">IF(E242="", "", _xlfn.XLOOKUP(E242, 'GERAL ENVIOS'!C:C, 'GERAL ENVIOS'!K:K,"NAO ESTA NA PLANILHA"))</f>
        <v>Aguardando Aprovação</v>
      </c>
    </row>
    <row r="243" ht="17.25" customHeight="1">
      <c r="A243" s="211"/>
      <c r="B243" s="212" t="s">
        <v>1162</v>
      </c>
      <c r="C243" s="215" t="s">
        <v>1163</v>
      </c>
      <c r="D243" s="213">
        <v>86470.0</v>
      </c>
      <c r="E243" s="214" t="s">
        <v>626</v>
      </c>
      <c r="F243" s="215" t="s">
        <v>1691</v>
      </c>
      <c r="G243" s="215" t="s">
        <v>1692</v>
      </c>
      <c r="H243" s="222" t="s">
        <v>1539</v>
      </c>
      <c r="I243" s="217" t="str">
        <f t="array" ref="I243">IF(E243="", "", _xlfn.XLOOKUP(E243, 'GERAL ENVIOS'!C:C, 'GERAL ENVIOS'!K:K,"NAO ESTA NA PLANILHA"))</f>
        <v>Sem álbum</v>
      </c>
    </row>
    <row r="244" ht="17.25" customHeight="1">
      <c r="A244" s="211"/>
      <c r="B244" s="212" t="s">
        <v>1168</v>
      </c>
      <c r="C244" s="215" t="s">
        <v>1163</v>
      </c>
      <c r="D244" s="213">
        <v>86978.0</v>
      </c>
      <c r="E244" s="214" t="s">
        <v>697</v>
      </c>
      <c r="F244" s="215" t="s">
        <v>1693</v>
      </c>
      <c r="G244" s="215" t="s">
        <v>1694</v>
      </c>
      <c r="H244" s="222" t="s">
        <v>1539</v>
      </c>
      <c r="I244" s="217" t="str">
        <f t="array" ref="I244">IF(E244="", "", _xlfn.XLOOKUP(E244, 'GERAL ENVIOS'!C:C, 'GERAL ENVIOS'!K:K,"NAO ESTA NA PLANILHA"))</f>
        <v>IMPRESSÃO</v>
      </c>
    </row>
    <row r="245" ht="17.25" customHeight="1">
      <c r="A245" s="211"/>
      <c r="B245" s="212" t="s">
        <v>1162</v>
      </c>
      <c r="C245" s="215" t="s">
        <v>1235</v>
      </c>
      <c r="D245" s="213">
        <v>87094.0</v>
      </c>
      <c r="E245" s="214" t="s">
        <v>163</v>
      </c>
      <c r="F245" s="215" t="s">
        <v>1695</v>
      </c>
      <c r="G245" s="215" t="s">
        <v>1696</v>
      </c>
      <c r="H245" s="222" t="s">
        <v>1539</v>
      </c>
      <c r="I245" s="217" t="str">
        <f t="array" ref="I245">IF(E245="", "", _xlfn.XLOOKUP(E245, 'GERAL ENVIOS'!C:C, 'GERAL ENVIOS'!K:K,"NAO ESTA NA PLANILHA"))</f>
        <v>Finalizado</v>
      </c>
    </row>
    <row r="246" ht="17.25" customHeight="1">
      <c r="A246" s="211"/>
      <c r="B246" s="212" t="s">
        <v>1162</v>
      </c>
      <c r="C246" s="215" t="s">
        <v>1163</v>
      </c>
      <c r="D246" s="213">
        <v>87110.0</v>
      </c>
      <c r="E246" s="214" t="s">
        <v>1697</v>
      </c>
      <c r="F246" s="215" t="s">
        <v>1698</v>
      </c>
      <c r="G246" s="215" t="s">
        <v>1699</v>
      </c>
      <c r="H246" s="222" t="s">
        <v>1539</v>
      </c>
      <c r="I246" s="217" t="str">
        <f t="array" ref="I246">IF(E246="", "", _xlfn.XLOOKUP(E246, 'GERAL ENVIOS'!C:C, 'GERAL ENVIOS'!K:K,"NAO ESTA NA PLANILHA"))</f>
        <v>NAO ESTA NA PLANILHA</v>
      </c>
    </row>
    <row r="247" ht="17.25" customHeight="1">
      <c r="A247" s="211"/>
      <c r="B247" s="212" t="s">
        <v>1162</v>
      </c>
      <c r="C247" s="215" t="s">
        <v>1163</v>
      </c>
      <c r="D247" s="213">
        <v>85566.0</v>
      </c>
      <c r="E247" s="214" t="s">
        <v>402</v>
      </c>
      <c r="F247" s="215" t="s">
        <v>1700</v>
      </c>
      <c r="G247" s="215" t="s">
        <v>1701</v>
      </c>
      <c r="H247" s="222" t="s">
        <v>1539</v>
      </c>
      <c r="I247" s="217" t="str">
        <f t="array" ref="I247">IF(E247="", "", _xlfn.XLOOKUP(E247, 'GERAL ENVIOS'!C:C, 'GERAL ENVIOS'!K:K,"NAO ESTA NA PLANILHA"))</f>
        <v>Aprovado</v>
      </c>
    </row>
    <row r="248" ht="17.25" customHeight="1">
      <c r="A248" s="211"/>
      <c r="B248" s="212" t="s">
        <v>1162</v>
      </c>
      <c r="C248" s="215" t="s">
        <v>1163</v>
      </c>
      <c r="D248" s="213">
        <v>87041.0</v>
      </c>
      <c r="E248" s="214" t="s">
        <v>1702</v>
      </c>
      <c r="F248" s="215" t="s">
        <v>1703</v>
      </c>
      <c r="G248" s="215" t="s">
        <v>1704</v>
      </c>
      <c r="H248" s="222" t="s">
        <v>1539</v>
      </c>
      <c r="I248" s="217" t="str">
        <f t="array" ref="I248">IF(E248="", "", _xlfn.XLOOKUP(E248, 'GERAL ENVIOS'!C:C, 'GERAL ENVIOS'!K:K,"NAO ESTA NA PLANILHA"))</f>
        <v>NAO ESTA NA PLANILHA</v>
      </c>
    </row>
    <row r="249" ht="17.25" customHeight="1">
      <c r="A249" s="211"/>
      <c r="B249" s="212" t="s">
        <v>1168</v>
      </c>
      <c r="C249" s="215" t="s">
        <v>1163</v>
      </c>
      <c r="D249" s="213">
        <v>86543.0</v>
      </c>
      <c r="E249" s="214" t="s">
        <v>276</v>
      </c>
      <c r="F249" s="215" t="s">
        <v>1705</v>
      </c>
      <c r="G249" s="215" t="s">
        <v>1706</v>
      </c>
      <c r="H249" s="222" t="s">
        <v>1539</v>
      </c>
      <c r="I249" s="217" t="str">
        <f t="array" ref="I249">IF(E249="", "", _xlfn.XLOOKUP(E249, 'GERAL ENVIOS'!C:C, 'GERAL ENVIOS'!K:K,"NAO ESTA NA PLANILHA"))</f>
        <v>Finalizado</v>
      </c>
    </row>
    <row r="250" ht="17.25" customHeight="1">
      <c r="A250" s="211"/>
      <c r="B250" s="212" t="s">
        <v>1168</v>
      </c>
      <c r="C250" s="215" t="s">
        <v>1163</v>
      </c>
      <c r="D250" s="213">
        <v>86990.0</v>
      </c>
      <c r="E250" s="214" t="s">
        <v>1707</v>
      </c>
      <c r="F250" s="215" t="s">
        <v>1708</v>
      </c>
      <c r="G250" s="215" t="s">
        <v>1709</v>
      </c>
      <c r="H250" s="222" t="s">
        <v>1539</v>
      </c>
      <c r="I250" s="217" t="str">
        <f t="array" ref="I250">IF(E250="", "", _xlfn.XLOOKUP(E250, 'GERAL ENVIOS'!C:C, 'GERAL ENVIOS'!K:K,"NAO ESTA NA PLANILHA"))</f>
        <v>NAO ESTA NA PLANILHA</v>
      </c>
    </row>
    <row r="251" ht="17.25" customHeight="1">
      <c r="A251" s="211"/>
      <c r="B251" s="212" t="s">
        <v>1162</v>
      </c>
      <c r="C251" s="215" t="s">
        <v>1163</v>
      </c>
      <c r="D251" s="213">
        <v>86632.0</v>
      </c>
      <c r="E251" s="214" t="s">
        <v>1710</v>
      </c>
      <c r="F251" s="215" t="s">
        <v>1711</v>
      </c>
      <c r="G251" s="215" t="s">
        <v>1712</v>
      </c>
      <c r="H251" s="222" t="s">
        <v>1539</v>
      </c>
      <c r="I251" s="217" t="str">
        <f t="array" ref="I251">IF(E251="", "", _xlfn.XLOOKUP(E251, 'GERAL ENVIOS'!C:C, 'GERAL ENVIOS'!K:K,"NAO ESTA NA PLANILHA"))</f>
        <v>NAO ESTA NA PLANILHA</v>
      </c>
    </row>
    <row r="252" ht="17.25" customHeight="1">
      <c r="A252" s="211"/>
      <c r="B252" s="212" t="s">
        <v>1168</v>
      </c>
      <c r="C252" s="215" t="s">
        <v>1163</v>
      </c>
      <c r="D252" s="213">
        <v>87224.0</v>
      </c>
      <c r="E252" s="214" t="s">
        <v>1713</v>
      </c>
      <c r="F252" s="215" t="s">
        <v>1714</v>
      </c>
      <c r="G252" s="215" t="s">
        <v>1715</v>
      </c>
      <c r="H252" s="222" t="s">
        <v>1539</v>
      </c>
      <c r="I252" s="217" t="str">
        <f t="array" ref="I252">IF(E252="", "", _xlfn.XLOOKUP(E252, 'GERAL ENVIOS'!C:C, 'GERAL ENVIOS'!K:K,"NAO ESTA NA PLANILHA"))</f>
        <v>NAO ESTA NA PLANILHA</v>
      </c>
    </row>
    <row r="253" ht="17.25" customHeight="1">
      <c r="A253" s="211"/>
      <c r="B253" s="212" t="s">
        <v>1168</v>
      </c>
      <c r="C253" s="215" t="s">
        <v>1163</v>
      </c>
      <c r="D253" s="213">
        <v>85322.0</v>
      </c>
      <c r="E253" s="214" t="s">
        <v>959</v>
      </c>
      <c r="F253" s="215" t="s">
        <v>1716</v>
      </c>
      <c r="G253" s="215" t="s">
        <v>1717</v>
      </c>
      <c r="H253" s="222" t="s">
        <v>1539</v>
      </c>
      <c r="I253" s="217" t="str">
        <f t="array" ref="I253">IF(E253="", "", _xlfn.XLOOKUP(E253, 'GERAL ENVIOS'!C:C, 'GERAL ENVIOS'!K:K,"NAO ESTA NA PLANILHA"))</f>
        <v>Finalizado</v>
      </c>
    </row>
    <row r="254" ht="17.25" customHeight="1">
      <c r="A254" s="211"/>
      <c r="B254" s="212" t="s">
        <v>1168</v>
      </c>
      <c r="C254" s="215" t="s">
        <v>1163</v>
      </c>
      <c r="D254" s="213">
        <v>86647.0</v>
      </c>
      <c r="E254" s="214" t="s">
        <v>1718</v>
      </c>
      <c r="F254" s="215" t="s">
        <v>1719</v>
      </c>
      <c r="G254" s="215" t="s">
        <v>1720</v>
      </c>
      <c r="H254" s="222" t="s">
        <v>1539</v>
      </c>
      <c r="I254" s="217" t="str">
        <f t="array" ref="I254">IF(E254="", "", _xlfn.XLOOKUP(E254, 'GERAL ENVIOS'!C:C, 'GERAL ENVIOS'!K:K,"NAO ESTA NA PLANILHA"))</f>
        <v>NAO ESTA NA PLANILHA</v>
      </c>
    </row>
    <row r="255" ht="17.25" customHeight="1">
      <c r="A255" s="211"/>
      <c r="B255" s="212" t="s">
        <v>1168</v>
      </c>
      <c r="C255" s="215" t="s">
        <v>1163</v>
      </c>
      <c r="D255" s="213">
        <v>86616.0</v>
      </c>
      <c r="E255" s="214" t="s">
        <v>766</v>
      </c>
      <c r="F255" s="215" t="s">
        <v>1721</v>
      </c>
      <c r="G255" s="215" t="s">
        <v>1722</v>
      </c>
      <c r="H255" s="222" t="s">
        <v>1539</v>
      </c>
      <c r="I255" s="217" t="str">
        <f t="array" ref="I255">IF(E255="", "", _xlfn.XLOOKUP(E255, 'GERAL ENVIOS'!C:C, 'GERAL ENVIOS'!K:K,"NAO ESTA NA PLANILHA"))</f>
        <v>IMPRESSÃO</v>
      </c>
    </row>
    <row r="256" ht="17.25" customHeight="1">
      <c r="A256" s="211"/>
      <c r="B256" s="212" t="s">
        <v>1168</v>
      </c>
      <c r="C256" s="215" t="s">
        <v>1163</v>
      </c>
      <c r="D256" s="213">
        <v>86516.0</v>
      </c>
      <c r="E256" s="214" t="s">
        <v>1723</v>
      </c>
      <c r="F256" s="215" t="s">
        <v>1724</v>
      </c>
      <c r="G256" s="215" t="s">
        <v>1725</v>
      </c>
      <c r="H256" s="222" t="s">
        <v>1539</v>
      </c>
      <c r="I256" s="217" t="str">
        <f t="array" ref="I256">IF(E256="", "", _xlfn.XLOOKUP(E256, 'GERAL ENVIOS'!C:C, 'GERAL ENVIOS'!K:K,"NAO ESTA NA PLANILHA"))</f>
        <v>NAO ESTA NA PLANILHA</v>
      </c>
    </row>
    <row r="257" ht="17.25" customHeight="1">
      <c r="A257" s="211"/>
      <c r="B257" s="212" t="s">
        <v>1168</v>
      </c>
      <c r="C257" s="215" t="s">
        <v>1163</v>
      </c>
      <c r="D257" s="213">
        <v>87405.0</v>
      </c>
      <c r="E257" s="214" t="s">
        <v>1726</v>
      </c>
      <c r="F257" s="215" t="s">
        <v>1727</v>
      </c>
      <c r="G257" s="215" t="s">
        <v>1728</v>
      </c>
      <c r="H257" s="222" t="s">
        <v>1539</v>
      </c>
      <c r="I257" s="217" t="str">
        <f t="array" ref="I257">IF(E257="", "", _xlfn.XLOOKUP(E257, 'GERAL ENVIOS'!C:C, 'GERAL ENVIOS'!K:K,"NAO ESTA NA PLANILHA"))</f>
        <v>Aguardando Aprovação</v>
      </c>
    </row>
    <row r="258" ht="17.25" customHeight="1">
      <c r="A258" s="211"/>
      <c r="B258" s="212" t="s">
        <v>1162</v>
      </c>
      <c r="C258" s="215" t="s">
        <v>1246</v>
      </c>
      <c r="D258" s="213">
        <v>87042.0</v>
      </c>
      <c r="E258" s="214" t="s">
        <v>405</v>
      </c>
      <c r="F258" s="215" t="s">
        <v>1729</v>
      </c>
      <c r="G258" s="215" t="s">
        <v>1730</v>
      </c>
      <c r="H258" s="222" t="s">
        <v>1539</v>
      </c>
      <c r="I258" s="217" t="str">
        <f t="array" ref="I258">IF(E258="", "", _xlfn.XLOOKUP(E258, 'GERAL ENVIOS'!C:C, 'GERAL ENVIOS'!K:K,"NAO ESTA NA PLANILHA"))</f>
        <v>IMPRESSÃO</v>
      </c>
    </row>
    <row r="259" ht="17.25" customHeight="1">
      <c r="A259" s="211"/>
      <c r="B259" s="212" t="s">
        <v>1168</v>
      </c>
      <c r="C259" s="215" t="s">
        <v>1163</v>
      </c>
      <c r="D259" s="213">
        <v>85573.0</v>
      </c>
      <c r="E259" s="214" t="s">
        <v>219</v>
      </c>
      <c r="F259" s="215" t="s">
        <v>1731</v>
      </c>
      <c r="G259" s="215" t="s">
        <v>1732</v>
      </c>
      <c r="H259" s="222" t="s">
        <v>1539</v>
      </c>
      <c r="I259" s="217" t="str">
        <f t="array" ref="I259">IF(E259="", "", _xlfn.XLOOKUP(E259, 'GERAL ENVIOS'!C:C, 'GERAL ENVIOS'!K:K,"NAO ESTA NA PLANILHA"))</f>
        <v>Finalizado</v>
      </c>
    </row>
    <row r="260" ht="17.25" customHeight="1">
      <c r="A260" s="211"/>
      <c r="B260" s="212" t="s">
        <v>1168</v>
      </c>
      <c r="C260" s="215" t="s">
        <v>1246</v>
      </c>
      <c r="D260" s="213">
        <v>87001.0</v>
      </c>
      <c r="E260" s="214" t="s">
        <v>624</v>
      </c>
      <c r="F260" s="215" t="s">
        <v>1733</v>
      </c>
      <c r="G260" s="215" t="s">
        <v>1734</v>
      </c>
      <c r="H260" s="222" t="s">
        <v>1539</v>
      </c>
      <c r="I260" s="217" t="str">
        <f t="array" ref="I260">IF(E260="", "", _xlfn.XLOOKUP(E260, 'GERAL ENVIOS'!C:C, 'GERAL ENVIOS'!K:K,"NAO ESTA NA PLANILHA"))</f>
        <v>Finalizado</v>
      </c>
    </row>
    <row r="261" ht="17.25" customHeight="1">
      <c r="A261" s="211"/>
      <c r="B261" s="212" t="s">
        <v>1168</v>
      </c>
      <c r="C261" s="215" t="s">
        <v>1163</v>
      </c>
      <c r="D261" s="213">
        <v>86678.0</v>
      </c>
      <c r="E261" s="214" t="s">
        <v>237</v>
      </c>
      <c r="F261" s="215" t="s">
        <v>1735</v>
      </c>
      <c r="G261" s="215" t="s">
        <v>1736</v>
      </c>
      <c r="H261" s="222" t="s">
        <v>1539</v>
      </c>
      <c r="I261" s="217" t="str">
        <f t="array" ref="I261">IF(E261="", "", _xlfn.XLOOKUP(E261, 'GERAL ENVIOS'!C:C, 'GERAL ENVIOS'!K:K,"NAO ESTA NA PLANILHA"))</f>
        <v>DIAGRAMADO</v>
      </c>
    </row>
    <row r="262" ht="17.25" customHeight="1">
      <c r="A262" s="211"/>
      <c r="B262" s="212" t="s">
        <v>1162</v>
      </c>
      <c r="C262" s="215" t="s">
        <v>1163</v>
      </c>
      <c r="D262" s="213">
        <v>87117.0</v>
      </c>
      <c r="E262" s="214" t="s">
        <v>1737</v>
      </c>
      <c r="F262" s="215" t="s">
        <v>1738</v>
      </c>
      <c r="G262" s="215" t="s">
        <v>1739</v>
      </c>
      <c r="H262" s="222" t="s">
        <v>1539</v>
      </c>
      <c r="I262" s="217" t="str">
        <f t="array" ref="I262">IF(E262="", "", _xlfn.XLOOKUP(E262, 'GERAL ENVIOS'!C:C, 'GERAL ENVIOS'!K:K,"NAO ESTA NA PLANILHA"))</f>
        <v>NAO ESTA NA PLANILHA</v>
      </c>
    </row>
    <row r="263" ht="17.25" customHeight="1">
      <c r="A263" s="211"/>
      <c r="B263" s="212" t="s">
        <v>1168</v>
      </c>
      <c r="C263" s="215" t="s">
        <v>1163</v>
      </c>
      <c r="D263" s="213">
        <v>86661.0</v>
      </c>
      <c r="E263" s="214" t="s">
        <v>1740</v>
      </c>
      <c r="F263" s="215" t="s">
        <v>1741</v>
      </c>
      <c r="G263" s="215" t="s">
        <v>1742</v>
      </c>
      <c r="H263" s="222" t="s">
        <v>1539</v>
      </c>
      <c r="I263" s="217" t="str">
        <f t="array" ref="I263">IF(E263="", "", _xlfn.XLOOKUP(E263, 'GERAL ENVIOS'!C:C, 'GERAL ENVIOS'!K:K,"NAO ESTA NA PLANILHA"))</f>
        <v>NAO ESTA NA PLANILHA</v>
      </c>
    </row>
    <row r="264" ht="17.25" customHeight="1">
      <c r="A264" s="211"/>
      <c r="B264" s="212" t="s">
        <v>1168</v>
      </c>
      <c r="C264" s="215" t="s">
        <v>1163</v>
      </c>
      <c r="D264" s="213">
        <v>86595.0</v>
      </c>
      <c r="E264" s="214" t="s">
        <v>1743</v>
      </c>
      <c r="F264" s="215" t="s">
        <v>1744</v>
      </c>
      <c r="G264" s="215" t="s">
        <v>1745</v>
      </c>
      <c r="H264" s="222" t="s">
        <v>1539</v>
      </c>
      <c r="I264" s="217" t="str">
        <f t="array" ref="I264">IF(E264="", "", _xlfn.XLOOKUP(E264, 'GERAL ENVIOS'!C:C, 'GERAL ENVIOS'!K:K,"NAO ESTA NA PLANILHA"))</f>
        <v>NAO ESTA NA PLANILHA</v>
      </c>
    </row>
    <row r="265" ht="17.25" customHeight="1">
      <c r="A265" s="211"/>
      <c r="B265" s="212" t="s">
        <v>1162</v>
      </c>
      <c r="C265" s="215" t="s">
        <v>1163</v>
      </c>
      <c r="D265" s="213">
        <v>87322.0</v>
      </c>
      <c r="E265" s="214" t="s">
        <v>1746</v>
      </c>
      <c r="F265" s="215" t="s">
        <v>1747</v>
      </c>
      <c r="G265" s="215" t="s">
        <v>1748</v>
      </c>
      <c r="H265" s="222" t="s">
        <v>1539</v>
      </c>
      <c r="I265" s="217" t="str">
        <f t="array" ref="I265">IF(E265="", "", _xlfn.XLOOKUP(E265, 'GERAL ENVIOS'!C:C, 'GERAL ENVIOS'!K:K,"NAO ESTA NA PLANILHA"))</f>
        <v>NAO ESTA NA PLANILHA</v>
      </c>
    </row>
    <row r="266" ht="17.25" customHeight="1">
      <c r="A266" s="211"/>
      <c r="B266" s="212" t="s">
        <v>1168</v>
      </c>
      <c r="C266" s="215" t="s">
        <v>1163</v>
      </c>
      <c r="D266" s="213">
        <v>88403.0</v>
      </c>
      <c r="E266" s="214" t="s">
        <v>1749</v>
      </c>
      <c r="F266" s="215" t="s">
        <v>1750</v>
      </c>
      <c r="G266" s="215" t="s">
        <v>1751</v>
      </c>
      <c r="H266" s="222" t="s">
        <v>1539</v>
      </c>
      <c r="I266" s="217" t="str">
        <f t="array" ref="I266">IF(E266="", "", _xlfn.XLOOKUP(E266, 'GERAL ENVIOS'!C:C, 'GERAL ENVIOS'!K:K,"NAO ESTA NA PLANILHA"))</f>
        <v>NAO ESTA NA PLANILHA</v>
      </c>
    </row>
    <row r="267" ht="17.25" customHeight="1">
      <c r="A267" s="211"/>
      <c r="B267" s="212" t="s">
        <v>1162</v>
      </c>
      <c r="C267" s="215" t="s">
        <v>1163</v>
      </c>
      <c r="D267" s="213">
        <v>85691.0</v>
      </c>
      <c r="E267" s="214" t="s">
        <v>950</v>
      </c>
      <c r="F267" s="215" t="s">
        <v>1752</v>
      </c>
      <c r="G267" s="215" t="s">
        <v>1753</v>
      </c>
      <c r="H267" s="222" t="s">
        <v>1539</v>
      </c>
      <c r="I267" s="217" t="str">
        <f t="array" ref="I267">IF(E267="", "", _xlfn.XLOOKUP(E267, 'GERAL ENVIOS'!C:C, 'GERAL ENVIOS'!K:K,"NAO ESTA NA PLANILHA"))</f>
        <v>Finalizado</v>
      </c>
    </row>
    <row r="268" ht="17.25" customHeight="1">
      <c r="A268" s="211"/>
      <c r="B268" s="212" t="s">
        <v>1168</v>
      </c>
      <c r="C268" s="215" t="s">
        <v>1163</v>
      </c>
      <c r="D268" s="213">
        <v>87748.0</v>
      </c>
      <c r="E268" s="214" t="s">
        <v>349</v>
      </c>
      <c r="F268" s="215" t="s">
        <v>1754</v>
      </c>
      <c r="G268" s="215" t="s">
        <v>1755</v>
      </c>
      <c r="H268" s="222" t="s">
        <v>1539</v>
      </c>
      <c r="I268" s="217" t="str">
        <f t="array" ref="I268">IF(E268="", "", _xlfn.XLOOKUP(E268, 'GERAL ENVIOS'!C:C, 'GERAL ENVIOS'!K:K,"NAO ESTA NA PLANILHA"))</f>
        <v>Finalizado</v>
      </c>
    </row>
    <row r="269" ht="17.25" customHeight="1">
      <c r="A269" s="211"/>
      <c r="B269" s="212" t="s">
        <v>1162</v>
      </c>
      <c r="C269" s="215" t="s">
        <v>1163</v>
      </c>
      <c r="D269" s="213">
        <v>86882.0</v>
      </c>
      <c r="E269" s="214" t="s">
        <v>675</v>
      </c>
      <c r="F269" s="215" t="s">
        <v>1756</v>
      </c>
      <c r="G269" s="215" t="s">
        <v>1757</v>
      </c>
      <c r="H269" s="222" t="s">
        <v>1539</v>
      </c>
      <c r="I269" s="217" t="str">
        <f t="array" ref="I269">IF(E269="", "", _xlfn.XLOOKUP(E269, 'GERAL ENVIOS'!C:C, 'GERAL ENVIOS'!K:K,"NAO ESTA NA PLANILHA"))</f>
        <v>Finalizado</v>
      </c>
    </row>
    <row r="270" ht="17.25" customHeight="1">
      <c r="A270" s="211"/>
      <c r="B270" s="212" t="s">
        <v>1168</v>
      </c>
      <c r="C270" s="215" t="s">
        <v>1163</v>
      </c>
      <c r="D270" s="213">
        <v>87361.0</v>
      </c>
      <c r="E270" s="214" t="s">
        <v>1758</v>
      </c>
      <c r="F270" s="215" t="s">
        <v>1759</v>
      </c>
      <c r="G270" s="223">
        <v>9.2993389222E10</v>
      </c>
      <c r="H270" s="222" t="s">
        <v>1539</v>
      </c>
      <c r="I270" s="217" t="str">
        <f t="array" ref="I270">IF(E270="", "", _xlfn.XLOOKUP(E270, 'GERAL ENVIOS'!C:C, 'GERAL ENVIOS'!K:K,"NAO ESTA NA PLANILHA"))</f>
        <v>NAO ESTA NA PLANILHA</v>
      </c>
    </row>
    <row r="271" ht="17.25" customHeight="1">
      <c r="A271" s="211"/>
      <c r="B271" s="212" t="s">
        <v>1168</v>
      </c>
      <c r="C271" s="215" t="s">
        <v>1163</v>
      </c>
      <c r="D271" s="213">
        <v>87093.0</v>
      </c>
      <c r="E271" s="214" t="s">
        <v>1760</v>
      </c>
      <c r="F271" s="215" t="s">
        <v>1761</v>
      </c>
      <c r="G271" s="215" t="s">
        <v>1762</v>
      </c>
      <c r="H271" s="222" t="s">
        <v>1539</v>
      </c>
      <c r="I271" s="217" t="str">
        <f t="array" ref="I271">IF(E271="", "", _xlfn.XLOOKUP(E271, 'GERAL ENVIOS'!C:C, 'GERAL ENVIOS'!K:K,"NAO ESTA NA PLANILHA"))</f>
        <v>NAO ESTA NA PLANILHA</v>
      </c>
    </row>
    <row r="272" ht="17.25" customHeight="1">
      <c r="A272" s="211"/>
      <c r="B272" s="212" t="s">
        <v>1168</v>
      </c>
      <c r="C272" s="215" t="s">
        <v>1163</v>
      </c>
      <c r="D272" s="213">
        <v>87404.0</v>
      </c>
      <c r="E272" s="214" t="s">
        <v>1763</v>
      </c>
      <c r="F272" s="215" t="s">
        <v>1764</v>
      </c>
      <c r="G272" s="215" t="s">
        <v>1765</v>
      </c>
      <c r="H272" s="222" t="s">
        <v>1539</v>
      </c>
      <c r="I272" s="217" t="str">
        <f t="array" ref="I272">IF(E272="", "", _xlfn.XLOOKUP(E272, 'GERAL ENVIOS'!C:C, 'GERAL ENVIOS'!K:K,"NAO ESTA NA PLANILHA"))</f>
        <v>NAO ESTA NA PLANILHA</v>
      </c>
    </row>
    <row r="273" ht="17.25" customHeight="1">
      <c r="A273" s="211"/>
      <c r="B273" s="212" t="s">
        <v>1162</v>
      </c>
      <c r="C273" s="215" t="s">
        <v>1246</v>
      </c>
      <c r="D273" s="213">
        <v>88008.0</v>
      </c>
      <c r="E273" s="214" t="s">
        <v>298</v>
      </c>
      <c r="F273" s="215" t="s">
        <v>1766</v>
      </c>
      <c r="G273" s="215" t="s">
        <v>1767</v>
      </c>
      <c r="H273" s="222" t="s">
        <v>1539</v>
      </c>
      <c r="I273" s="217" t="str">
        <f t="array" ref="I273">IF(E273="", "", _xlfn.XLOOKUP(E273, 'GERAL ENVIOS'!C:C, 'GERAL ENVIOS'!K:K,"NAO ESTA NA PLANILHA"))</f>
        <v>Finalizado</v>
      </c>
    </row>
    <row r="274" ht="17.25" customHeight="1">
      <c r="A274" s="211"/>
      <c r="B274" s="212" t="s">
        <v>1168</v>
      </c>
      <c r="C274" s="215" t="s">
        <v>1163</v>
      </c>
      <c r="D274" s="213">
        <v>87808.0</v>
      </c>
      <c r="E274" s="214" t="s">
        <v>981</v>
      </c>
      <c r="F274" s="215" t="s">
        <v>1768</v>
      </c>
      <c r="G274" s="215" t="s">
        <v>1769</v>
      </c>
      <c r="H274" s="222" t="s">
        <v>1539</v>
      </c>
      <c r="I274" s="217" t="str">
        <f t="array" ref="I274">IF(E274="", "", _xlfn.XLOOKUP(E274, 'GERAL ENVIOS'!C:C, 'GERAL ENVIOS'!K:K,"NAO ESTA NA PLANILHA"))</f>
        <v>IMPRESSÃO</v>
      </c>
    </row>
    <row r="275" ht="17.25" customHeight="1">
      <c r="A275" s="211"/>
      <c r="B275" s="212" t="s">
        <v>1168</v>
      </c>
      <c r="C275" s="215" t="s">
        <v>1163</v>
      </c>
      <c r="D275" s="213">
        <v>87336.0</v>
      </c>
      <c r="E275" s="214" t="s">
        <v>161</v>
      </c>
      <c r="F275" s="215" t="s">
        <v>1770</v>
      </c>
      <c r="G275" s="215" t="s">
        <v>1771</v>
      </c>
      <c r="H275" s="222" t="s">
        <v>1539</v>
      </c>
      <c r="I275" s="217" t="str">
        <f t="array" ref="I275">IF(E275="", "", _xlfn.XLOOKUP(E275, 'GERAL ENVIOS'!C:C, 'GERAL ENVIOS'!K:K,"NAO ESTA NA PLANILHA"))</f>
        <v>AGUARDANDO FOTO</v>
      </c>
    </row>
    <row r="276" ht="17.25" customHeight="1">
      <c r="A276" s="211"/>
      <c r="B276" s="212" t="s">
        <v>1168</v>
      </c>
      <c r="C276" s="215" t="s">
        <v>1179</v>
      </c>
      <c r="D276" s="213">
        <v>87142.0</v>
      </c>
      <c r="E276" s="214" t="s">
        <v>1772</v>
      </c>
      <c r="F276" s="215" t="s">
        <v>1773</v>
      </c>
      <c r="G276" s="215" t="s">
        <v>1774</v>
      </c>
      <c r="H276" s="222" t="s">
        <v>1539</v>
      </c>
      <c r="I276" s="217" t="str">
        <f t="array" ref="I276">IF(E276="", "", _xlfn.XLOOKUP(E276, 'GERAL ENVIOS'!C:C, 'GERAL ENVIOS'!K:K,"NAO ESTA NA PLANILHA"))</f>
        <v>NAO ESTA NA PLANILHA</v>
      </c>
    </row>
    <row r="277" ht="17.25" customHeight="1">
      <c r="A277" s="211"/>
      <c r="B277" s="212" t="s">
        <v>1168</v>
      </c>
      <c r="C277" s="215" t="s">
        <v>1163</v>
      </c>
      <c r="D277" s="213">
        <v>87035.0</v>
      </c>
      <c r="E277" s="214" t="s">
        <v>1775</v>
      </c>
      <c r="F277" s="215" t="s">
        <v>1776</v>
      </c>
      <c r="G277" s="215" t="s">
        <v>1777</v>
      </c>
      <c r="H277" s="222" t="s">
        <v>1539</v>
      </c>
      <c r="I277" s="217" t="str">
        <f t="array" ref="I277">IF(E277="", "", _xlfn.XLOOKUP(E277, 'GERAL ENVIOS'!C:C, 'GERAL ENVIOS'!K:K,"NAO ESTA NA PLANILHA"))</f>
        <v>NAO ESTA NA PLANILHA</v>
      </c>
    </row>
    <row r="278" ht="17.25" customHeight="1">
      <c r="A278" s="211"/>
      <c r="B278" s="212" t="s">
        <v>1168</v>
      </c>
      <c r="C278" s="215" t="s">
        <v>1163</v>
      </c>
      <c r="D278" s="213">
        <v>87329.0</v>
      </c>
      <c r="E278" s="214" t="s">
        <v>1778</v>
      </c>
      <c r="F278" s="215" t="s">
        <v>1779</v>
      </c>
      <c r="G278" s="215" t="s">
        <v>1780</v>
      </c>
      <c r="H278" s="222" t="s">
        <v>1539</v>
      </c>
      <c r="I278" s="217" t="str">
        <f t="array" ref="I278">IF(E278="", "", _xlfn.XLOOKUP(E278, 'GERAL ENVIOS'!C:C, 'GERAL ENVIOS'!K:K,"NAO ESTA NA PLANILHA"))</f>
        <v>NAO ESTA NA PLANILHA</v>
      </c>
    </row>
    <row r="279" ht="17.25" customHeight="1">
      <c r="A279" s="211"/>
      <c r="B279" s="212" t="s">
        <v>1162</v>
      </c>
      <c r="C279" s="215" t="s">
        <v>1163</v>
      </c>
      <c r="D279" s="213">
        <v>87747.0</v>
      </c>
      <c r="E279" s="214" t="s">
        <v>1781</v>
      </c>
      <c r="F279" s="215" t="s">
        <v>1782</v>
      </c>
      <c r="G279" s="215" t="s">
        <v>1783</v>
      </c>
      <c r="H279" s="222" t="s">
        <v>1539</v>
      </c>
      <c r="I279" s="217" t="str">
        <f t="array" ref="I279">IF(E279="", "", _xlfn.XLOOKUP(E279, 'GERAL ENVIOS'!C:C, 'GERAL ENVIOS'!K:K,"NAO ESTA NA PLANILHA"))</f>
        <v>NAO ESTA NA PLANILHA</v>
      </c>
    </row>
    <row r="280" ht="17.25" customHeight="1">
      <c r="A280" s="211"/>
      <c r="B280" s="212" t="s">
        <v>1168</v>
      </c>
      <c r="C280" s="215" t="s">
        <v>1163</v>
      </c>
      <c r="D280" s="213">
        <v>86092.0</v>
      </c>
      <c r="E280" s="214" t="s">
        <v>94</v>
      </c>
      <c r="F280" s="215" t="s">
        <v>1784</v>
      </c>
      <c r="G280" s="215" t="s">
        <v>1785</v>
      </c>
      <c r="H280" s="222" t="s">
        <v>1539</v>
      </c>
      <c r="I280" s="217" t="str">
        <f t="array" ref="I280">IF(E280="", "", _xlfn.XLOOKUP(E280, 'GERAL ENVIOS'!C:C, 'GERAL ENVIOS'!K:K,"NAO ESTA NA PLANILHA"))</f>
        <v>AGUARDANDO FOTO</v>
      </c>
    </row>
    <row r="281" ht="17.25" customHeight="1">
      <c r="A281" s="211"/>
      <c r="B281" s="212" t="s">
        <v>1168</v>
      </c>
      <c r="C281" s="215" t="s">
        <v>1163</v>
      </c>
      <c r="D281" s="213">
        <v>85682.0</v>
      </c>
      <c r="E281" s="214" t="s">
        <v>1786</v>
      </c>
      <c r="F281" s="215" t="s">
        <v>1787</v>
      </c>
      <c r="G281" s="215" t="s">
        <v>1788</v>
      </c>
      <c r="H281" s="222" t="s">
        <v>1539</v>
      </c>
      <c r="I281" s="217" t="str">
        <f t="array" ref="I281">IF(E281="", "", _xlfn.XLOOKUP(E281, 'GERAL ENVIOS'!C:C, 'GERAL ENVIOS'!K:K,"NAO ESTA NA PLANILHA"))</f>
        <v>NAO ESTA NA PLANILHA</v>
      </c>
    </row>
    <row r="282" ht="17.25" customHeight="1">
      <c r="A282" s="211"/>
      <c r="B282" s="212" t="s">
        <v>1162</v>
      </c>
      <c r="C282" s="215" t="s">
        <v>1246</v>
      </c>
      <c r="D282" s="213">
        <v>86095.0</v>
      </c>
      <c r="E282" s="214" t="s">
        <v>638</v>
      </c>
      <c r="F282" s="215" t="s">
        <v>1789</v>
      </c>
      <c r="G282" s="215" t="s">
        <v>1790</v>
      </c>
      <c r="H282" s="222" t="s">
        <v>1539</v>
      </c>
      <c r="I282" s="217" t="str">
        <f t="array" ref="I282">IF(E282="", "", _xlfn.XLOOKUP(E282, 'GERAL ENVIOS'!C:C, 'GERAL ENVIOS'!K:K,"NAO ESTA NA PLANILHA"))</f>
        <v>Finalizado</v>
      </c>
    </row>
    <row r="283" ht="17.25" customHeight="1">
      <c r="A283" s="211"/>
      <c r="B283" s="212" t="s">
        <v>1168</v>
      </c>
      <c r="C283" s="215" t="s">
        <v>1163</v>
      </c>
      <c r="D283" s="213">
        <v>88094.0</v>
      </c>
      <c r="E283" s="214" t="s">
        <v>1791</v>
      </c>
      <c r="F283" s="215" t="s">
        <v>1792</v>
      </c>
      <c r="G283" s="215" t="s">
        <v>1793</v>
      </c>
      <c r="H283" s="222" t="s">
        <v>1539</v>
      </c>
      <c r="I283" s="217" t="str">
        <f t="array" ref="I283">IF(E283="", "", _xlfn.XLOOKUP(E283, 'GERAL ENVIOS'!C:C, 'GERAL ENVIOS'!K:K,"NAO ESTA NA PLANILHA"))</f>
        <v>NAO ESTA NA PLANILHA</v>
      </c>
    </row>
    <row r="284" ht="17.25" customHeight="1">
      <c r="A284" s="211"/>
      <c r="B284" s="212" t="s">
        <v>1162</v>
      </c>
      <c r="C284" s="215" t="s">
        <v>1163</v>
      </c>
      <c r="D284" s="213">
        <v>87675.0</v>
      </c>
      <c r="E284" s="214" t="s">
        <v>496</v>
      </c>
      <c r="F284" s="215" t="s">
        <v>1794</v>
      </c>
      <c r="G284" s="215" t="s">
        <v>1795</v>
      </c>
      <c r="H284" s="222" t="s">
        <v>1539</v>
      </c>
      <c r="I284" s="217" t="str">
        <f t="array" ref="I284">IF(E284="", "", _xlfn.XLOOKUP(E284, 'GERAL ENVIOS'!C:C, 'GERAL ENVIOS'!K:K,"NAO ESTA NA PLANILHA"))</f>
        <v>Aguardando Aprovação</v>
      </c>
    </row>
    <row r="285" ht="17.25" customHeight="1">
      <c r="A285" s="211"/>
      <c r="B285" s="212" t="s">
        <v>1168</v>
      </c>
      <c r="C285" s="215" t="s">
        <v>1163</v>
      </c>
      <c r="D285" s="213">
        <v>85614.0</v>
      </c>
      <c r="E285" s="214" t="s">
        <v>935</v>
      </c>
      <c r="F285" s="215" t="s">
        <v>1796</v>
      </c>
      <c r="G285" s="215" t="s">
        <v>1797</v>
      </c>
      <c r="H285" s="222" t="s">
        <v>1539</v>
      </c>
      <c r="I285" s="217" t="str">
        <f t="array" ref="I285">IF(E285="", "", _xlfn.XLOOKUP(E285, 'GERAL ENVIOS'!C:C, 'GERAL ENVIOS'!K:K,"NAO ESTA NA PLANILHA"))</f>
        <v>Aguardando Aprovação</v>
      </c>
    </row>
    <row r="286" ht="17.25" customHeight="1">
      <c r="A286" s="211"/>
      <c r="B286" s="212" t="s">
        <v>1168</v>
      </c>
      <c r="C286" s="215" t="s">
        <v>1163</v>
      </c>
      <c r="D286" s="213">
        <v>87757.0</v>
      </c>
      <c r="E286" s="214" t="s">
        <v>384</v>
      </c>
      <c r="F286" s="215" t="s">
        <v>1798</v>
      </c>
      <c r="G286" s="215" t="s">
        <v>1799</v>
      </c>
      <c r="H286" s="222" t="s">
        <v>1539</v>
      </c>
      <c r="I286" s="217" t="str">
        <f t="array" ref="I286">IF(E286="", "", _xlfn.XLOOKUP(E286, 'GERAL ENVIOS'!C:C, 'GERAL ENVIOS'!K:K,"NAO ESTA NA PLANILHA"))</f>
        <v>Com Modificações</v>
      </c>
    </row>
    <row r="287" ht="17.25" customHeight="1">
      <c r="A287" s="211"/>
      <c r="B287" s="212" t="s">
        <v>1162</v>
      </c>
      <c r="C287" s="215" t="s">
        <v>1235</v>
      </c>
      <c r="D287" s="213">
        <v>86587.0</v>
      </c>
      <c r="E287" s="214" t="s">
        <v>458</v>
      </c>
      <c r="F287" s="215" t="s">
        <v>1800</v>
      </c>
      <c r="G287" s="215" t="s">
        <v>1801</v>
      </c>
      <c r="H287" s="222" t="s">
        <v>1539</v>
      </c>
      <c r="I287" s="217" t="str">
        <f t="array" ref="I287">IF(E287="", "", _xlfn.XLOOKUP(E287, 'GERAL ENVIOS'!C:C, 'GERAL ENVIOS'!K:K,"NAO ESTA NA PLANILHA"))</f>
        <v>Finalizado</v>
      </c>
    </row>
    <row r="288" ht="17.25" customHeight="1">
      <c r="A288" s="211"/>
      <c r="B288" s="212" t="s">
        <v>1162</v>
      </c>
      <c r="C288" s="215" t="s">
        <v>1163</v>
      </c>
      <c r="D288" s="213">
        <v>87905.0</v>
      </c>
      <c r="E288" s="214" t="s">
        <v>490</v>
      </c>
      <c r="F288" s="215" t="s">
        <v>1802</v>
      </c>
      <c r="G288" s="215" t="s">
        <v>1803</v>
      </c>
      <c r="H288" s="222" t="s">
        <v>1539</v>
      </c>
      <c r="I288" s="217" t="str">
        <f t="array" ref="I288">IF(E288="", "", _xlfn.XLOOKUP(E288, 'GERAL ENVIOS'!C:C, 'GERAL ENVIOS'!K:K,"NAO ESTA NA PLANILHA"))</f>
        <v>Sem álbum</v>
      </c>
    </row>
    <row r="289" ht="17.25" customHeight="1">
      <c r="A289" s="211"/>
      <c r="B289" s="212" t="s">
        <v>1168</v>
      </c>
      <c r="C289" s="215" t="s">
        <v>1235</v>
      </c>
      <c r="D289" s="213">
        <v>87971.0</v>
      </c>
      <c r="E289" s="214" t="s">
        <v>851</v>
      </c>
      <c r="F289" s="215" t="s">
        <v>1804</v>
      </c>
      <c r="G289" s="215" t="s">
        <v>1805</v>
      </c>
      <c r="H289" s="222" t="s">
        <v>1539</v>
      </c>
      <c r="I289" s="217" t="str">
        <f t="array" ref="I289">IF(E289="", "", _xlfn.XLOOKUP(E289, 'GERAL ENVIOS'!C:C, 'GERAL ENVIOS'!K:K,"NAO ESTA NA PLANILHA"))</f>
        <v>Finalizado</v>
      </c>
    </row>
    <row r="290" ht="17.25" customHeight="1">
      <c r="A290" s="211"/>
      <c r="B290" s="212" t="s">
        <v>1168</v>
      </c>
      <c r="C290" s="215" t="s">
        <v>1163</v>
      </c>
      <c r="D290" s="213">
        <v>87209.0</v>
      </c>
      <c r="E290" s="214" t="s">
        <v>1806</v>
      </c>
      <c r="F290" s="215" t="s">
        <v>1807</v>
      </c>
      <c r="G290" s="223">
        <v>9.299236509E10</v>
      </c>
      <c r="H290" s="222" t="s">
        <v>1539</v>
      </c>
      <c r="I290" s="217" t="str">
        <f t="array" ref="I290">IF(E290="", "", _xlfn.XLOOKUP(E290, 'GERAL ENVIOS'!C:C, 'GERAL ENVIOS'!K:K,"NAO ESTA NA PLANILHA"))</f>
        <v>NAO ESTA NA PLANILHA</v>
      </c>
    </row>
    <row r="291" ht="17.25" customHeight="1">
      <c r="A291" s="211"/>
      <c r="B291" s="212" t="s">
        <v>1162</v>
      </c>
      <c r="C291" s="215" t="s">
        <v>1163</v>
      </c>
      <c r="D291" s="213">
        <v>88179.0</v>
      </c>
      <c r="E291" s="214" t="s">
        <v>453</v>
      </c>
      <c r="F291" s="215" t="s">
        <v>1808</v>
      </c>
      <c r="G291" s="215" t="s">
        <v>1809</v>
      </c>
      <c r="H291" s="222" t="s">
        <v>1539</v>
      </c>
      <c r="I291" s="217" t="str">
        <f t="array" ref="I291">IF(E291="", "", _xlfn.XLOOKUP(E291, 'GERAL ENVIOS'!C:C, 'GERAL ENVIOS'!K:K,"NAO ESTA NA PLANILHA"))</f>
        <v>Aguardando Aprovação</v>
      </c>
    </row>
    <row r="292" ht="17.25" customHeight="1">
      <c r="A292" s="211"/>
      <c r="B292" s="212" t="s">
        <v>1168</v>
      </c>
      <c r="C292" s="215" t="s">
        <v>1163</v>
      </c>
      <c r="D292" s="213">
        <v>87811.0</v>
      </c>
      <c r="E292" s="214" t="s">
        <v>1810</v>
      </c>
      <c r="F292" s="215" t="s">
        <v>1811</v>
      </c>
      <c r="G292" s="215" t="s">
        <v>1812</v>
      </c>
      <c r="H292" s="222" t="s">
        <v>1539</v>
      </c>
      <c r="I292" s="217" t="str">
        <f t="array" ref="I292">IF(E292="", "", _xlfn.XLOOKUP(E292, 'GERAL ENVIOS'!C:C, 'GERAL ENVIOS'!K:K,"NAO ESTA NA PLANILHA"))</f>
        <v>NAO ESTA NA PLANILHA</v>
      </c>
    </row>
    <row r="293" ht="17.25" customHeight="1">
      <c r="A293" s="211"/>
      <c r="B293" s="212" t="s">
        <v>1168</v>
      </c>
      <c r="C293" s="215" t="s">
        <v>1163</v>
      </c>
      <c r="D293" s="213">
        <v>85332.0</v>
      </c>
      <c r="E293" s="214" t="s">
        <v>944</v>
      </c>
      <c r="F293" s="215" t="s">
        <v>1813</v>
      </c>
      <c r="G293" s="215" t="s">
        <v>1814</v>
      </c>
      <c r="H293" s="222" t="s">
        <v>1539</v>
      </c>
      <c r="I293" s="217" t="str">
        <f t="array" ref="I293">IF(E293="", "", _xlfn.XLOOKUP(E293, 'GERAL ENVIOS'!C:C, 'GERAL ENVIOS'!K:K,"NAO ESTA NA PLANILHA"))</f>
        <v>Sem álbum</v>
      </c>
    </row>
    <row r="294" ht="17.25" customHeight="1">
      <c r="A294" s="211"/>
      <c r="B294" s="212" t="s">
        <v>1168</v>
      </c>
      <c r="C294" s="215" t="s">
        <v>1163</v>
      </c>
      <c r="D294" s="213">
        <v>87005.0</v>
      </c>
      <c r="E294" s="214" t="s">
        <v>1815</v>
      </c>
      <c r="F294" s="215" t="s">
        <v>1816</v>
      </c>
      <c r="G294" s="215" t="s">
        <v>1817</v>
      </c>
      <c r="H294" s="222" t="s">
        <v>1539</v>
      </c>
      <c r="I294" s="217" t="str">
        <f t="array" ref="I294">IF(E294="", "", _xlfn.XLOOKUP(E294, 'GERAL ENVIOS'!C:C, 'GERAL ENVIOS'!K:K,"NAO ESTA NA PLANILHA"))</f>
        <v>NAO ESTA NA PLANILHA</v>
      </c>
    </row>
    <row r="295" ht="17.25" customHeight="1">
      <c r="A295" s="211"/>
      <c r="B295" s="212" t="s">
        <v>1168</v>
      </c>
      <c r="C295" s="215" t="s">
        <v>1163</v>
      </c>
      <c r="D295" s="213">
        <v>87699.0</v>
      </c>
      <c r="E295" s="214" t="s">
        <v>717</v>
      </c>
      <c r="F295" s="215" t="s">
        <v>1818</v>
      </c>
      <c r="G295" s="215" t="s">
        <v>1819</v>
      </c>
      <c r="H295" s="222" t="s">
        <v>1539</v>
      </c>
      <c r="I295" s="217" t="str">
        <f t="array" ref="I295">IF(E295="", "", _xlfn.XLOOKUP(E295, 'GERAL ENVIOS'!C:C, 'GERAL ENVIOS'!K:K,"NAO ESTA NA PLANILHA"))</f>
        <v>IMPRESSÃO</v>
      </c>
    </row>
    <row r="296" ht="17.25" customHeight="1">
      <c r="A296" s="211"/>
      <c r="B296" s="212" t="s">
        <v>1162</v>
      </c>
      <c r="C296" s="215" t="s">
        <v>1163</v>
      </c>
      <c r="D296" s="213">
        <v>87083.0</v>
      </c>
      <c r="E296" s="214" t="s">
        <v>1820</v>
      </c>
      <c r="F296" s="215" t="s">
        <v>1821</v>
      </c>
      <c r="G296" s="215" t="s">
        <v>1822</v>
      </c>
      <c r="H296" s="222" t="s">
        <v>1539</v>
      </c>
      <c r="I296" s="217" t="str">
        <f t="array" ref="I296">IF(E296="", "", _xlfn.XLOOKUP(E296, 'GERAL ENVIOS'!C:C, 'GERAL ENVIOS'!K:K,"NAO ESTA NA PLANILHA"))</f>
        <v>NAO ESTA NA PLANILHA</v>
      </c>
    </row>
    <row r="297" ht="17.25" customHeight="1">
      <c r="A297" s="211"/>
      <c r="B297" s="212" t="s">
        <v>1162</v>
      </c>
      <c r="C297" s="215" t="s">
        <v>1163</v>
      </c>
      <c r="D297" s="213">
        <v>87973.0</v>
      </c>
      <c r="E297" s="214" t="s">
        <v>1823</v>
      </c>
      <c r="F297" s="215" t="s">
        <v>1824</v>
      </c>
      <c r="G297" s="215" t="s">
        <v>1825</v>
      </c>
      <c r="H297" s="222" t="s">
        <v>1539</v>
      </c>
      <c r="I297" s="217" t="str">
        <f t="array" ref="I297">IF(E297="", "", _xlfn.XLOOKUP(E297, 'GERAL ENVIOS'!C:C, 'GERAL ENVIOS'!K:K,"NAO ESTA NA PLANILHA"))</f>
        <v>NAO ESTA NA PLANILHA</v>
      </c>
    </row>
    <row r="298" ht="17.25" customHeight="1">
      <c r="A298" s="211"/>
      <c r="B298" s="212" t="s">
        <v>1162</v>
      </c>
      <c r="C298" s="215" t="s">
        <v>1163</v>
      </c>
      <c r="D298" s="213">
        <v>88305.0</v>
      </c>
      <c r="E298" s="214" t="s">
        <v>1826</v>
      </c>
      <c r="F298" s="215" t="s">
        <v>1827</v>
      </c>
      <c r="G298" s="215" t="s">
        <v>1828</v>
      </c>
      <c r="H298" s="222" t="s">
        <v>1539</v>
      </c>
      <c r="I298" s="217" t="str">
        <f t="array" ref="I298">IF(E298="", "", _xlfn.XLOOKUP(E298, 'GERAL ENVIOS'!C:C, 'GERAL ENVIOS'!K:K,"NAO ESTA NA PLANILHA"))</f>
        <v>NAO ESTA NA PLANILHA</v>
      </c>
    </row>
    <row r="299" ht="17.25" customHeight="1">
      <c r="A299" s="211"/>
      <c r="B299" s="212" t="s">
        <v>1168</v>
      </c>
      <c r="C299" s="215" t="s">
        <v>1163</v>
      </c>
      <c r="D299" s="213">
        <v>88161.0</v>
      </c>
      <c r="E299" s="214" t="s">
        <v>1829</v>
      </c>
      <c r="F299" s="215" t="s">
        <v>1830</v>
      </c>
      <c r="G299" s="215" t="s">
        <v>1831</v>
      </c>
      <c r="H299" s="222" t="s">
        <v>1539</v>
      </c>
      <c r="I299" s="217" t="str">
        <f t="array" ref="I299">IF(E299="", "", _xlfn.XLOOKUP(E299, 'GERAL ENVIOS'!C:C, 'GERAL ENVIOS'!K:K,"NAO ESTA NA PLANILHA"))</f>
        <v>NAO ESTA NA PLANILHA</v>
      </c>
    </row>
    <row r="300" ht="17.25" customHeight="1">
      <c r="A300" s="211"/>
      <c r="B300" s="212" t="s">
        <v>1162</v>
      </c>
      <c r="C300" s="215" t="s">
        <v>1163</v>
      </c>
      <c r="D300" s="213">
        <v>86038.0</v>
      </c>
      <c r="E300" s="214" t="s">
        <v>1832</v>
      </c>
      <c r="F300" s="215" t="s">
        <v>1833</v>
      </c>
      <c r="G300" s="215" t="s">
        <v>1834</v>
      </c>
      <c r="H300" s="222" t="s">
        <v>1539</v>
      </c>
      <c r="I300" s="217" t="str">
        <f t="array" ref="I300">IF(E300="", "", _xlfn.XLOOKUP(E300, 'GERAL ENVIOS'!C:C, 'GERAL ENVIOS'!K:K,"NAO ESTA NA PLANILHA"))</f>
        <v>NAO ESTA NA PLANILHA</v>
      </c>
    </row>
    <row r="301" ht="17.25" customHeight="1">
      <c r="A301" s="211"/>
      <c r="B301" s="212" t="s">
        <v>1168</v>
      </c>
      <c r="C301" s="215" t="s">
        <v>1163</v>
      </c>
      <c r="D301" s="213">
        <v>85315.0</v>
      </c>
      <c r="E301" s="214" t="s">
        <v>1835</v>
      </c>
      <c r="F301" s="215" t="s">
        <v>1836</v>
      </c>
      <c r="G301" s="215" t="s">
        <v>1837</v>
      </c>
      <c r="H301" s="222" t="s">
        <v>1539</v>
      </c>
      <c r="I301" s="217" t="str">
        <f t="array" ref="I301">IF(E301="", "", _xlfn.XLOOKUP(E301, 'GERAL ENVIOS'!C:C, 'GERAL ENVIOS'!K:K,"NAO ESTA NA PLANILHA"))</f>
        <v>NAO ESTA NA PLANILHA</v>
      </c>
    </row>
    <row r="302" ht="17.25" customHeight="1">
      <c r="A302" s="211"/>
      <c r="B302" s="212" t="s">
        <v>1168</v>
      </c>
      <c r="C302" s="215" t="s">
        <v>1163</v>
      </c>
      <c r="D302" s="213">
        <v>86111.0</v>
      </c>
      <c r="E302" s="214" t="s">
        <v>1838</v>
      </c>
      <c r="F302" s="215" t="s">
        <v>1839</v>
      </c>
      <c r="G302" s="215" t="s">
        <v>1840</v>
      </c>
      <c r="H302" s="222" t="s">
        <v>1539</v>
      </c>
      <c r="I302" s="217" t="str">
        <f t="array" ref="I302">IF(E302="", "", _xlfn.XLOOKUP(E302, 'GERAL ENVIOS'!C:C, 'GERAL ENVIOS'!K:K,"NAO ESTA NA PLANILHA"))</f>
        <v>NAO ESTA NA PLANILHA</v>
      </c>
    </row>
    <row r="303" ht="17.25" customHeight="1">
      <c r="A303" s="211"/>
      <c r="B303" s="212" t="s">
        <v>1168</v>
      </c>
      <c r="C303" s="215" t="s">
        <v>1163</v>
      </c>
      <c r="D303" s="213">
        <v>86378.0</v>
      </c>
      <c r="E303" s="214" t="s">
        <v>987</v>
      </c>
      <c r="F303" s="215" t="s">
        <v>1841</v>
      </c>
      <c r="G303" s="215" t="s">
        <v>1842</v>
      </c>
      <c r="H303" s="222" t="s">
        <v>1539</v>
      </c>
      <c r="I303" s="217" t="str">
        <f t="array" ref="I303">IF(E303="", "", _xlfn.XLOOKUP(E303, 'GERAL ENVIOS'!C:C, 'GERAL ENVIOS'!K:K,"NAO ESTA NA PLANILHA"))</f>
        <v>IMPRESSÃO</v>
      </c>
    </row>
    <row r="304" ht="17.25" customHeight="1">
      <c r="A304" s="211"/>
      <c r="B304" s="212" t="s">
        <v>1162</v>
      </c>
      <c r="C304" s="215" t="s">
        <v>1163</v>
      </c>
      <c r="D304" s="213">
        <v>87029.0</v>
      </c>
      <c r="E304" s="214" t="s">
        <v>760</v>
      </c>
      <c r="F304" s="215" t="s">
        <v>1843</v>
      </c>
      <c r="G304" s="215" t="s">
        <v>1844</v>
      </c>
      <c r="H304" s="222" t="s">
        <v>1539</v>
      </c>
      <c r="I304" s="217" t="str">
        <f t="array" ref="I304">IF(E304="", "", _xlfn.XLOOKUP(E304, 'GERAL ENVIOS'!C:C, 'GERAL ENVIOS'!K:K,"NAO ESTA NA PLANILHA"))</f>
        <v>Aguardando Aprovação</v>
      </c>
    </row>
    <row r="305" ht="17.25" customHeight="1">
      <c r="A305" s="211"/>
      <c r="B305" s="212" t="s">
        <v>1168</v>
      </c>
      <c r="C305" s="215" t="s">
        <v>1163</v>
      </c>
      <c r="D305" s="213">
        <v>88396.0</v>
      </c>
      <c r="E305" s="214" t="s">
        <v>780</v>
      </c>
      <c r="F305" s="215" t="s">
        <v>1845</v>
      </c>
      <c r="G305" s="215" t="s">
        <v>1846</v>
      </c>
      <c r="H305" s="222" t="s">
        <v>1539</v>
      </c>
      <c r="I305" s="217" t="str">
        <f t="array" ref="I305">IF(E305="", "", _xlfn.XLOOKUP(E305, 'GERAL ENVIOS'!C:C, 'GERAL ENVIOS'!K:K,"NAO ESTA NA PLANILHA"))</f>
        <v>Aguardando Aprovação</v>
      </c>
    </row>
    <row r="306" ht="17.25" customHeight="1">
      <c r="A306" s="211"/>
      <c r="B306" s="212" t="s">
        <v>1162</v>
      </c>
      <c r="C306" s="215" t="s">
        <v>1163</v>
      </c>
      <c r="D306" s="213">
        <v>86689.0</v>
      </c>
      <c r="E306" s="214" t="s">
        <v>813</v>
      </c>
      <c r="F306" s="215" t="s">
        <v>1847</v>
      </c>
      <c r="G306" s="215" t="s">
        <v>1848</v>
      </c>
      <c r="H306" s="222" t="s">
        <v>1539</v>
      </c>
      <c r="I306" s="217" t="str">
        <f t="array" ref="I306">IF(E306="", "", _xlfn.XLOOKUP(E306, 'GERAL ENVIOS'!C:C, 'GERAL ENVIOS'!K:K,"NAO ESTA NA PLANILHA"))</f>
        <v>IMPRESSÃO</v>
      </c>
    </row>
    <row r="307" ht="17.25" customHeight="1">
      <c r="A307" s="211"/>
      <c r="B307" s="212" t="s">
        <v>1168</v>
      </c>
      <c r="C307" s="215" t="s">
        <v>1163</v>
      </c>
      <c r="D307" s="213">
        <v>88434.0</v>
      </c>
      <c r="E307" s="214" t="s">
        <v>1849</v>
      </c>
      <c r="F307" s="215" t="s">
        <v>1850</v>
      </c>
      <c r="G307" s="215" t="s">
        <v>1851</v>
      </c>
      <c r="H307" s="222" t="s">
        <v>1539</v>
      </c>
      <c r="I307" s="217" t="str">
        <f t="array" ref="I307">IF(E307="", "", _xlfn.XLOOKUP(E307, 'GERAL ENVIOS'!C:C, 'GERAL ENVIOS'!K:K,"NAO ESTA NA PLANILHA"))</f>
        <v>NAO ESTA NA PLANILHA</v>
      </c>
    </row>
    <row r="308" ht="17.25" customHeight="1">
      <c r="A308" s="211"/>
      <c r="B308" s="212" t="s">
        <v>1168</v>
      </c>
      <c r="C308" s="215" t="s">
        <v>1434</v>
      </c>
      <c r="D308" s="213">
        <v>88863.0</v>
      </c>
      <c r="E308" s="214" t="s">
        <v>873</v>
      </c>
      <c r="F308" s="215" t="s">
        <v>1852</v>
      </c>
      <c r="G308" s="215" t="s">
        <v>1853</v>
      </c>
      <c r="H308" s="222" t="s">
        <v>1539</v>
      </c>
      <c r="I308" s="217" t="str">
        <f t="array" ref="I308">IF(E308="", "", _xlfn.XLOOKUP(E308, 'GERAL ENVIOS'!C:C, 'GERAL ENVIOS'!K:K,"NAO ESTA NA PLANILHA"))</f>
        <v>IMPRESSÃO</v>
      </c>
    </row>
    <row r="309" ht="17.25" customHeight="1">
      <c r="A309" s="211"/>
      <c r="B309" s="212" t="s">
        <v>1162</v>
      </c>
      <c r="C309" s="215" t="s">
        <v>1163</v>
      </c>
      <c r="D309" s="213">
        <v>86889.0</v>
      </c>
      <c r="E309" s="214" t="s">
        <v>1854</v>
      </c>
      <c r="F309" s="215" t="s">
        <v>1855</v>
      </c>
      <c r="G309" s="215" t="s">
        <v>1856</v>
      </c>
      <c r="H309" s="222" t="s">
        <v>1539</v>
      </c>
      <c r="I309" s="217" t="str">
        <f t="array" ref="I309">IF(E309="", "", _xlfn.XLOOKUP(E309, 'GERAL ENVIOS'!C:C, 'GERAL ENVIOS'!K:K,"NAO ESTA NA PLANILHA"))</f>
        <v>NAO ESTA NA PLANILHA</v>
      </c>
    </row>
    <row r="310" ht="17.25" customHeight="1">
      <c r="A310" s="211"/>
      <c r="B310" s="212" t="s">
        <v>1168</v>
      </c>
      <c r="C310" s="215" t="s">
        <v>1163</v>
      </c>
      <c r="D310" s="213">
        <v>88866.0</v>
      </c>
      <c r="E310" s="214" t="s">
        <v>1857</v>
      </c>
      <c r="F310" s="215" t="s">
        <v>1858</v>
      </c>
      <c r="G310" s="215" t="s">
        <v>1859</v>
      </c>
      <c r="H310" s="222" t="s">
        <v>1539</v>
      </c>
      <c r="I310" s="217" t="str">
        <f t="array" ref="I310">IF(E310="", "", _xlfn.XLOOKUP(E310, 'GERAL ENVIOS'!C:C, 'GERAL ENVIOS'!K:K,"NAO ESTA NA PLANILHA"))</f>
        <v>NAO ESTA NA PLANILHA</v>
      </c>
    </row>
    <row r="311" ht="17.25" customHeight="1">
      <c r="A311" s="211"/>
      <c r="B311" s="212" t="s">
        <v>1162</v>
      </c>
      <c r="C311" s="215" t="s">
        <v>1235</v>
      </c>
      <c r="D311" s="213">
        <v>89466.0</v>
      </c>
      <c r="E311" s="214" t="s">
        <v>865</v>
      </c>
      <c r="F311" s="215" t="s">
        <v>1860</v>
      </c>
      <c r="G311" s="215" t="s">
        <v>1861</v>
      </c>
      <c r="H311" s="222" t="s">
        <v>1539</v>
      </c>
      <c r="I311" s="217" t="str">
        <f t="array" ref="I311">IF(E311="", "", _xlfn.XLOOKUP(E311, 'GERAL ENVIOS'!C:C, 'GERAL ENVIOS'!K:K,"NAO ESTA NA PLANILHA"))</f>
        <v>Finalizado</v>
      </c>
    </row>
    <row r="312" ht="17.25" customHeight="1">
      <c r="A312" s="211"/>
      <c r="B312" s="212" t="s">
        <v>1162</v>
      </c>
      <c r="C312" s="215" t="s">
        <v>1163</v>
      </c>
      <c r="D312" s="213">
        <v>89014.0</v>
      </c>
      <c r="E312" s="214" t="s">
        <v>388</v>
      </c>
      <c r="F312" s="215" t="s">
        <v>1862</v>
      </c>
      <c r="G312" s="215" t="s">
        <v>1863</v>
      </c>
      <c r="H312" s="222" t="s">
        <v>1539</v>
      </c>
      <c r="I312" s="217" t="str">
        <f t="array" ref="I312">IF(E312="", "", _xlfn.XLOOKUP(E312, 'GERAL ENVIOS'!C:C, 'GERAL ENVIOS'!K:K,"NAO ESTA NA PLANILHA"))</f>
        <v>Aguardando Aprovação</v>
      </c>
    </row>
    <row r="313" ht="17.25" customHeight="1">
      <c r="A313" s="211"/>
      <c r="B313" s="212" t="s">
        <v>1168</v>
      </c>
      <c r="C313" s="215" t="s">
        <v>1163</v>
      </c>
      <c r="D313" s="213">
        <v>88862.0</v>
      </c>
      <c r="E313" s="214" t="s">
        <v>1864</v>
      </c>
      <c r="F313" s="215" t="s">
        <v>1865</v>
      </c>
      <c r="G313" s="215" t="s">
        <v>1866</v>
      </c>
      <c r="H313" s="222" t="s">
        <v>1539</v>
      </c>
      <c r="I313" s="217" t="str">
        <f t="array" ref="I313">IF(E313="", "", _xlfn.XLOOKUP(E313, 'GERAL ENVIOS'!C:C, 'GERAL ENVIOS'!K:K,"NAO ESTA NA PLANILHA"))</f>
        <v>NAO ESTA NA PLANILHA</v>
      </c>
    </row>
    <row r="314" ht="17.25" customHeight="1">
      <c r="A314" s="211"/>
      <c r="B314" s="212" t="s">
        <v>1168</v>
      </c>
      <c r="C314" s="215" t="s">
        <v>1235</v>
      </c>
      <c r="D314" s="213">
        <v>88569.0</v>
      </c>
      <c r="E314" s="214" t="s">
        <v>772</v>
      </c>
      <c r="F314" s="215" t="s">
        <v>1867</v>
      </c>
      <c r="G314" s="215" t="s">
        <v>1868</v>
      </c>
      <c r="H314" s="222" t="s">
        <v>1539</v>
      </c>
      <c r="I314" s="217" t="str">
        <f t="array" ref="I314">IF(E314="", "", _xlfn.XLOOKUP(E314, 'GERAL ENVIOS'!C:C, 'GERAL ENVIOS'!K:K,"NAO ESTA NA PLANILHA"))</f>
        <v>Finalizado</v>
      </c>
    </row>
    <row r="315" ht="17.25" customHeight="1">
      <c r="A315" s="211"/>
      <c r="B315" s="212" t="s">
        <v>1168</v>
      </c>
      <c r="C315" s="215" t="s">
        <v>1235</v>
      </c>
      <c r="D315" s="213">
        <v>88828.0</v>
      </c>
      <c r="E315" s="214" t="s">
        <v>705</v>
      </c>
      <c r="F315" s="215" t="s">
        <v>1869</v>
      </c>
      <c r="G315" s="215" t="s">
        <v>1870</v>
      </c>
      <c r="H315" s="222" t="s">
        <v>1539</v>
      </c>
      <c r="I315" s="217" t="str">
        <f t="array" ref="I315">IF(E315="", "", _xlfn.XLOOKUP(E315, 'GERAL ENVIOS'!C:C, 'GERAL ENVIOS'!K:K,"NAO ESTA NA PLANILHA"))</f>
        <v>Finalizado</v>
      </c>
    </row>
    <row r="316" ht="17.25" customHeight="1">
      <c r="A316" s="211"/>
      <c r="B316" s="212" t="s">
        <v>1168</v>
      </c>
      <c r="C316" s="215" t="s">
        <v>1163</v>
      </c>
      <c r="D316" s="213">
        <v>88965.0</v>
      </c>
      <c r="E316" s="214" t="s">
        <v>938</v>
      </c>
      <c r="F316" s="215" t="s">
        <v>1871</v>
      </c>
      <c r="G316" s="215" t="s">
        <v>1872</v>
      </c>
      <c r="H316" s="222" t="s">
        <v>1539</v>
      </c>
      <c r="I316" s="217" t="str">
        <f t="array" ref="I316">IF(E316="", "", _xlfn.XLOOKUP(E316, 'GERAL ENVIOS'!C:C, 'GERAL ENVIOS'!K:K,"NAO ESTA NA PLANILHA"))</f>
        <v>AGUARDANDO FOTO</v>
      </c>
    </row>
    <row r="317" ht="17.25" customHeight="1">
      <c r="A317" s="211"/>
      <c r="B317" s="212" t="s">
        <v>1162</v>
      </c>
      <c r="C317" s="215" t="s">
        <v>1235</v>
      </c>
      <c r="D317" s="213">
        <v>86726.0</v>
      </c>
      <c r="E317" s="214" t="s">
        <v>1873</v>
      </c>
      <c r="F317" s="215" t="s">
        <v>1874</v>
      </c>
      <c r="G317" s="215" t="s">
        <v>1875</v>
      </c>
      <c r="H317" s="222" t="s">
        <v>1539</v>
      </c>
      <c r="I317" s="217" t="str">
        <f t="array" ref="I317">IF(E317="", "", _xlfn.XLOOKUP(E317, 'GERAL ENVIOS'!C:C, 'GERAL ENVIOS'!K:K,"NAO ESTA NA PLANILHA"))</f>
        <v>Finalizado</v>
      </c>
    </row>
    <row r="318" ht="17.25" customHeight="1">
      <c r="A318" s="211"/>
      <c r="B318" s="212" t="s">
        <v>1168</v>
      </c>
      <c r="C318" s="215" t="s">
        <v>1163</v>
      </c>
      <c r="D318" s="213">
        <v>86297.0</v>
      </c>
      <c r="E318" s="214" t="s">
        <v>514</v>
      </c>
      <c r="F318" s="215" t="s">
        <v>1876</v>
      </c>
      <c r="G318" s="215" t="s">
        <v>1877</v>
      </c>
      <c r="H318" s="222" t="s">
        <v>1539</v>
      </c>
      <c r="I318" s="217" t="str">
        <f t="array" ref="I318">IF(E318="", "", _xlfn.XLOOKUP(E318, 'GERAL ENVIOS'!C:C, 'GERAL ENVIOS'!K:K,"NAO ESTA NA PLANILHA"))</f>
        <v>Aprovado</v>
      </c>
    </row>
    <row r="319" ht="17.25" customHeight="1">
      <c r="A319" s="211"/>
      <c r="B319" s="212" t="s">
        <v>1162</v>
      </c>
      <c r="C319" s="215" t="s">
        <v>1163</v>
      </c>
      <c r="D319" s="213">
        <v>89054.0</v>
      </c>
      <c r="E319" s="214" t="s">
        <v>294</v>
      </c>
      <c r="F319" s="215" t="s">
        <v>1878</v>
      </c>
      <c r="G319" s="215" t="s">
        <v>1879</v>
      </c>
      <c r="H319" s="222" t="s">
        <v>1539</v>
      </c>
      <c r="I319" s="217" t="str">
        <f t="array" ref="I319">IF(E319="", "", _xlfn.XLOOKUP(E319, 'GERAL ENVIOS'!C:C, 'GERAL ENVIOS'!K:K,"NAO ESTA NA PLANILHA"))</f>
        <v>DIAGRAMADO</v>
      </c>
    </row>
    <row r="320" ht="17.25" customHeight="1">
      <c r="A320" s="211"/>
      <c r="B320" s="212" t="s">
        <v>1168</v>
      </c>
      <c r="C320" s="215" t="s">
        <v>1163</v>
      </c>
      <c r="D320" s="213">
        <v>87048.0</v>
      </c>
      <c r="E320" s="214" t="s">
        <v>1880</v>
      </c>
      <c r="F320" s="215" t="s">
        <v>1881</v>
      </c>
      <c r="G320" s="215" t="s">
        <v>1882</v>
      </c>
      <c r="H320" s="222" t="s">
        <v>1539</v>
      </c>
      <c r="I320" s="217" t="str">
        <f t="array" ref="I320">IF(E320="", "", _xlfn.XLOOKUP(E320, 'GERAL ENVIOS'!C:C, 'GERAL ENVIOS'!K:K,"NAO ESTA NA PLANILHA"))</f>
        <v>NAO ESTA NA PLANILHA</v>
      </c>
    </row>
    <row r="321" ht="17.25" customHeight="1">
      <c r="A321" s="211"/>
      <c r="B321" s="212" t="s">
        <v>1162</v>
      </c>
      <c r="C321" s="215" t="s">
        <v>1163</v>
      </c>
      <c r="D321" s="213">
        <v>88585.0</v>
      </c>
      <c r="E321" s="214" t="s">
        <v>189</v>
      </c>
      <c r="F321" s="215" t="s">
        <v>1883</v>
      </c>
      <c r="G321" s="215" t="s">
        <v>1884</v>
      </c>
      <c r="H321" s="222" t="s">
        <v>1539</v>
      </c>
      <c r="I321" s="217" t="str">
        <f t="array" ref="I321">IF(E321="", "", _xlfn.XLOOKUP(E321, 'GERAL ENVIOS'!C:C, 'GERAL ENVIOS'!K:K,"NAO ESTA NA PLANILHA"))</f>
        <v>Finalizado</v>
      </c>
    </row>
    <row r="322" ht="17.25" customHeight="1">
      <c r="A322" s="211"/>
      <c r="B322" s="212" t="s">
        <v>1168</v>
      </c>
      <c r="C322" s="215" t="s">
        <v>1163</v>
      </c>
      <c r="D322" s="213">
        <v>89599.0</v>
      </c>
      <c r="E322" s="214" t="s">
        <v>1885</v>
      </c>
      <c r="F322" s="215" t="s">
        <v>1886</v>
      </c>
      <c r="G322" s="215" t="s">
        <v>1887</v>
      </c>
      <c r="H322" s="222" t="s">
        <v>1539</v>
      </c>
      <c r="I322" s="217" t="str">
        <f t="array" ref="I322">IF(E322="", "", _xlfn.XLOOKUP(E322, 'GERAL ENVIOS'!C:C, 'GERAL ENVIOS'!K:K,"NAO ESTA NA PLANILHA"))</f>
        <v>NAO ESTA NA PLANILHA</v>
      </c>
    </row>
    <row r="323" ht="17.25" customHeight="1">
      <c r="A323" s="211"/>
      <c r="B323" s="212" t="s">
        <v>1168</v>
      </c>
      <c r="C323" s="215" t="s">
        <v>1163</v>
      </c>
      <c r="D323" s="213">
        <v>89847.0</v>
      </c>
      <c r="E323" s="214" t="s">
        <v>153</v>
      </c>
      <c r="F323" s="215" t="s">
        <v>1888</v>
      </c>
      <c r="G323" s="215" t="s">
        <v>1889</v>
      </c>
      <c r="H323" s="222" t="s">
        <v>1539</v>
      </c>
      <c r="I323" s="217" t="str">
        <f t="array" ref="I323">IF(E323="", "", _xlfn.XLOOKUP(E323, 'GERAL ENVIOS'!C:C, 'GERAL ENVIOS'!K:K,"NAO ESTA NA PLANILHA"))</f>
        <v>IMPRESSÃO</v>
      </c>
    </row>
    <row r="324" ht="17.25" customHeight="1">
      <c r="A324" s="211"/>
      <c r="B324" s="212" t="s">
        <v>1437</v>
      </c>
      <c r="C324" s="215" t="s">
        <v>1235</v>
      </c>
      <c r="D324" s="213">
        <v>88924.0</v>
      </c>
      <c r="E324" s="214" t="s">
        <v>572</v>
      </c>
      <c r="F324" s="215" t="s">
        <v>1890</v>
      </c>
      <c r="G324" s="215" t="s">
        <v>1891</v>
      </c>
      <c r="H324" s="222" t="s">
        <v>1539</v>
      </c>
      <c r="I324" s="217" t="str">
        <f t="array" ref="I324">IF(E324="", "", _xlfn.XLOOKUP(E324, 'GERAL ENVIOS'!C:C, 'GERAL ENVIOS'!K:K,"NAO ESTA NA PLANILHA"))</f>
        <v>Finalizado</v>
      </c>
    </row>
    <row r="325" ht="17.25" customHeight="1">
      <c r="A325" s="211"/>
      <c r="B325" s="212" t="s">
        <v>1330</v>
      </c>
      <c r="C325" s="215" t="s">
        <v>1179</v>
      </c>
      <c r="D325" s="213">
        <v>90085.0</v>
      </c>
      <c r="E325" s="214" t="s">
        <v>1892</v>
      </c>
      <c r="F325" s="215" t="s">
        <v>1893</v>
      </c>
      <c r="G325" s="215" t="s">
        <v>1894</v>
      </c>
      <c r="H325" s="222" t="s">
        <v>1539</v>
      </c>
      <c r="I325" s="217" t="str">
        <f t="array" ref="I325">IF(E325="", "", _xlfn.XLOOKUP(E325, 'GERAL ENVIOS'!C:C, 'GERAL ENVIOS'!K:K,"NAO ESTA NA PLANILHA"))</f>
        <v>NAO ESTA NA PLANILHA</v>
      </c>
    </row>
    <row r="326" ht="17.25" customHeight="1">
      <c r="A326" s="211"/>
      <c r="B326" s="212" t="s">
        <v>1437</v>
      </c>
      <c r="C326" s="215" t="s">
        <v>1179</v>
      </c>
      <c r="D326" s="213">
        <v>89339.0</v>
      </c>
      <c r="E326" s="224" t="s">
        <v>1895</v>
      </c>
      <c r="F326" s="215" t="s">
        <v>1896</v>
      </c>
      <c r="G326" s="215" t="s">
        <v>1897</v>
      </c>
      <c r="H326" s="222" t="s">
        <v>1539</v>
      </c>
      <c r="I326" s="217" t="str">
        <f t="array" ref="I326">IF(E326="", "", _xlfn.XLOOKUP(E326, 'GERAL ENVIOS'!C:C, 'GERAL ENVIOS'!K:K,"NAO ESTA NA PLANILHA"))</f>
        <v>NAO ESTA NA PLANILHA</v>
      </c>
    </row>
    <row r="327" ht="17.25" customHeight="1">
      <c r="A327" s="211"/>
      <c r="B327" s="212" t="s">
        <v>1178</v>
      </c>
      <c r="C327" s="215" t="s">
        <v>1179</v>
      </c>
      <c r="D327" s="213">
        <v>89437.0</v>
      </c>
      <c r="E327" s="214" t="s">
        <v>1898</v>
      </c>
      <c r="F327" s="215" t="s">
        <v>1899</v>
      </c>
      <c r="G327" s="215" t="s">
        <v>1900</v>
      </c>
      <c r="H327" s="222" t="s">
        <v>1539</v>
      </c>
      <c r="I327" s="217" t="str">
        <f t="array" ref="I327">IF(E327="", "", _xlfn.XLOOKUP(E327, 'GERAL ENVIOS'!C:C, 'GERAL ENVIOS'!K:K,"NAO ESTA NA PLANILHA"))</f>
        <v>NAO ESTA NA PLANILHA</v>
      </c>
    </row>
    <row r="328" ht="17.25" customHeight="1">
      <c r="A328" s="211"/>
      <c r="B328" s="212" t="s">
        <v>1178</v>
      </c>
      <c r="C328" s="215" t="s">
        <v>1179</v>
      </c>
      <c r="D328" s="213">
        <v>89862.0</v>
      </c>
      <c r="E328" s="214" t="s">
        <v>125</v>
      </c>
      <c r="F328" s="215" t="s">
        <v>1901</v>
      </c>
      <c r="G328" s="215" t="s">
        <v>1902</v>
      </c>
      <c r="H328" s="222" t="s">
        <v>1539</v>
      </c>
      <c r="I328" s="217" t="str">
        <f t="array" ref="I328">IF(E328="", "", _xlfn.XLOOKUP(E328, 'GERAL ENVIOS'!C:C, 'GERAL ENVIOS'!K:K,"NAO ESTA NA PLANILHA"))</f>
        <v>AGUARDANDO FOTO</v>
      </c>
    </row>
    <row r="329" ht="17.25" customHeight="1">
      <c r="A329" s="211"/>
      <c r="B329" s="212" t="s">
        <v>1178</v>
      </c>
      <c r="C329" s="215" t="s">
        <v>1163</v>
      </c>
      <c r="D329" s="213">
        <v>85665.0</v>
      </c>
      <c r="E329" s="214" t="s">
        <v>1111</v>
      </c>
      <c r="F329" s="215" t="s">
        <v>1903</v>
      </c>
      <c r="G329" s="215" t="s">
        <v>1904</v>
      </c>
      <c r="H329" s="222" t="s">
        <v>1539</v>
      </c>
      <c r="I329" s="217" t="str">
        <f t="array" ref="I329">IF(E329="", "", _xlfn.XLOOKUP(E329, 'GERAL ENVIOS'!C:C, 'GERAL ENVIOS'!K:K,"NAO ESTA NA PLANILHA"))</f>
        <v>AGUARDANDO FOTO</v>
      </c>
    </row>
    <row r="330" ht="17.25" customHeight="1">
      <c r="A330" s="211"/>
      <c r="B330" s="212" t="s">
        <v>1437</v>
      </c>
      <c r="C330" s="215" t="s">
        <v>1179</v>
      </c>
      <c r="D330" s="213">
        <v>90358.0</v>
      </c>
      <c r="E330" s="214" t="s">
        <v>784</v>
      </c>
      <c r="F330" s="215" t="s">
        <v>1905</v>
      </c>
      <c r="G330" s="215" t="s">
        <v>1906</v>
      </c>
      <c r="H330" s="222" t="s">
        <v>1539</v>
      </c>
      <c r="I330" s="217" t="str">
        <f t="array" ref="I330">IF(E330="", "", _xlfn.XLOOKUP(E330, 'GERAL ENVIOS'!C:C, 'GERAL ENVIOS'!K:K,"NAO ESTA NA PLANILHA"))</f>
        <v>AGUARDANDO FOTO</v>
      </c>
    </row>
    <row r="331" ht="17.25" customHeight="1">
      <c r="A331" s="211"/>
      <c r="B331" s="212" t="s">
        <v>1437</v>
      </c>
      <c r="C331" s="215" t="s">
        <v>1163</v>
      </c>
      <c r="D331" s="213">
        <v>88825.0</v>
      </c>
      <c r="E331" s="214" t="s">
        <v>494</v>
      </c>
      <c r="F331" s="215" t="s">
        <v>1907</v>
      </c>
      <c r="G331" s="215" t="s">
        <v>1908</v>
      </c>
      <c r="H331" s="222" t="s">
        <v>1539</v>
      </c>
      <c r="I331" s="217" t="str">
        <f t="array" ref="I331">IF(E331="", "", _xlfn.XLOOKUP(E331, 'GERAL ENVIOS'!C:C, 'GERAL ENVIOS'!K:K,"NAO ESTA NA PLANILHA"))</f>
        <v>Finalizado</v>
      </c>
    </row>
    <row r="332" ht="17.25" customHeight="1">
      <c r="A332" s="211"/>
      <c r="B332" s="212" t="s">
        <v>1178</v>
      </c>
      <c r="C332" s="215" t="s">
        <v>1235</v>
      </c>
      <c r="D332" s="213">
        <v>87743.0</v>
      </c>
      <c r="E332" s="214" t="s">
        <v>604</v>
      </c>
      <c r="F332" s="215" t="s">
        <v>1909</v>
      </c>
      <c r="G332" s="215" t="s">
        <v>1910</v>
      </c>
      <c r="H332" s="222" t="s">
        <v>1539</v>
      </c>
      <c r="I332" s="217" t="str">
        <f t="array" ref="I332">IF(E332="", "", _xlfn.XLOOKUP(E332, 'GERAL ENVIOS'!C:C, 'GERAL ENVIOS'!K:K,"NAO ESTA NA PLANILHA"))</f>
        <v>Finalizado</v>
      </c>
    </row>
    <row r="333" ht="17.25" customHeight="1">
      <c r="A333" s="211"/>
      <c r="B333" s="212" t="s">
        <v>1437</v>
      </c>
      <c r="C333" s="215" t="s">
        <v>1163</v>
      </c>
      <c r="D333" s="213">
        <v>87075.0</v>
      </c>
      <c r="E333" s="214" t="s">
        <v>642</v>
      </c>
      <c r="F333" s="215" t="s">
        <v>1911</v>
      </c>
      <c r="G333" s="215" t="s">
        <v>1912</v>
      </c>
      <c r="H333" s="222" t="s">
        <v>1539</v>
      </c>
      <c r="I333" s="217" t="str">
        <f t="array" ref="I333">IF(E333="", "", _xlfn.XLOOKUP(E333, 'GERAL ENVIOS'!C:C, 'GERAL ENVIOS'!K:K,"NAO ESTA NA PLANILHA"))</f>
        <v>Finalizado</v>
      </c>
    </row>
    <row r="334" ht="17.25" customHeight="1">
      <c r="A334" s="211"/>
      <c r="B334" s="212" t="s">
        <v>1178</v>
      </c>
      <c r="C334" s="215" t="s">
        <v>1179</v>
      </c>
      <c r="D334" s="213">
        <v>90016.0</v>
      </c>
      <c r="E334" s="214" t="s">
        <v>1913</v>
      </c>
      <c r="F334" s="215" t="s">
        <v>1914</v>
      </c>
      <c r="G334" s="215" t="s">
        <v>1915</v>
      </c>
      <c r="H334" s="222" t="s">
        <v>1539</v>
      </c>
      <c r="I334" s="217" t="str">
        <f t="array" ref="I334">IF(E334="", "", _xlfn.XLOOKUP(E334, 'GERAL ENVIOS'!C:C, 'GERAL ENVIOS'!K:K,"NAO ESTA NA PLANILHA"))</f>
        <v>NAO ESTA NA PLANILHA</v>
      </c>
    </row>
    <row r="335" ht="17.25" customHeight="1">
      <c r="A335" s="211"/>
      <c r="B335" s="212" t="s">
        <v>1330</v>
      </c>
      <c r="C335" s="215" t="s">
        <v>1179</v>
      </c>
      <c r="D335" s="213">
        <v>90442.0</v>
      </c>
      <c r="E335" s="214" t="s">
        <v>1916</v>
      </c>
      <c r="F335" s="215" t="s">
        <v>1917</v>
      </c>
      <c r="G335" s="215" t="s">
        <v>1918</v>
      </c>
      <c r="H335" s="222" t="s">
        <v>1539</v>
      </c>
      <c r="I335" s="217" t="str">
        <f t="array" ref="I335">IF(E335="", "", _xlfn.XLOOKUP(E335, 'GERAL ENVIOS'!C:C, 'GERAL ENVIOS'!K:K,"NAO ESTA NA PLANILHA"))</f>
        <v>NAO ESTA NA PLANILHA</v>
      </c>
    </row>
    <row r="336" ht="17.25" customHeight="1">
      <c r="A336" s="211"/>
      <c r="B336" s="212" t="s">
        <v>1437</v>
      </c>
      <c r="C336" s="215" t="s">
        <v>1179</v>
      </c>
      <c r="D336" s="213">
        <v>90023.0</v>
      </c>
      <c r="E336" s="214" t="s">
        <v>550</v>
      </c>
      <c r="F336" s="215" t="s">
        <v>1919</v>
      </c>
      <c r="G336" s="215" t="s">
        <v>1920</v>
      </c>
      <c r="H336" s="222" t="s">
        <v>1539</v>
      </c>
      <c r="I336" s="217" t="str">
        <f t="array" ref="I336">IF(E336="", "", _xlfn.XLOOKUP(E336, 'GERAL ENVIOS'!C:C, 'GERAL ENVIOS'!K:K,"NAO ESTA NA PLANILHA"))</f>
        <v>IMPRESSÃO</v>
      </c>
    </row>
    <row r="337" ht="17.25" customHeight="1">
      <c r="A337" s="211"/>
      <c r="B337" s="212" t="s">
        <v>1437</v>
      </c>
      <c r="C337" s="215" t="s">
        <v>1179</v>
      </c>
      <c r="D337" s="213">
        <v>89932.0</v>
      </c>
      <c r="E337" s="214" t="s">
        <v>271</v>
      </c>
      <c r="F337" s="215" t="s">
        <v>1921</v>
      </c>
      <c r="G337" s="215" t="s">
        <v>1922</v>
      </c>
      <c r="H337" s="222" t="s">
        <v>1539</v>
      </c>
      <c r="I337" s="217" t="str">
        <f t="array" ref="I337">IF(E337="", "", _xlfn.XLOOKUP(E337, 'GERAL ENVIOS'!C:C, 'GERAL ENVIOS'!K:K,"NAO ESTA NA PLANILHA"))</f>
        <v>Aguardando Aprovação</v>
      </c>
    </row>
    <row r="338" ht="17.25" customHeight="1">
      <c r="A338" s="211"/>
      <c r="B338" s="212" t="s">
        <v>1437</v>
      </c>
      <c r="C338" s="215" t="s">
        <v>1179</v>
      </c>
      <c r="D338" s="213">
        <v>90018.0</v>
      </c>
      <c r="E338" s="214" t="s">
        <v>449</v>
      </c>
      <c r="F338" s="215" t="s">
        <v>1923</v>
      </c>
      <c r="G338" s="223">
        <v>9.299286348E10</v>
      </c>
      <c r="H338" s="222" t="s">
        <v>1539</v>
      </c>
      <c r="I338" s="217" t="str">
        <f t="array" ref="I338">IF(E338="", "", _xlfn.XLOOKUP(E338, 'GERAL ENVIOS'!C:C, 'GERAL ENVIOS'!K:K,"NAO ESTA NA PLANILHA"))</f>
        <v>Finalizado</v>
      </c>
    </row>
    <row r="339" ht="17.25" customHeight="1">
      <c r="A339" s="211"/>
      <c r="B339" s="212" t="s">
        <v>1437</v>
      </c>
      <c r="C339" s="215" t="s">
        <v>1179</v>
      </c>
      <c r="D339" s="213">
        <v>90153.0</v>
      </c>
      <c r="E339" s="214" t="s">
        <v>1924</v>
      </c>
      <c r="F339" s="215" t="s">
        <v>1925</v>
      </c>
      <c r="G339" s="215" t="s">
        <v>1926</v>
      </c>
      <c r="H339" s="222" t="s">
        <v>1539</v>
      </c>
      <c r="I339" s="217" t="str">
        <f t="array" ref="I339">IF(E339="", "", _xlfn.XLOOKUP(E339, 'GERAL ENVIOS'!C:C, 'GERAL ENVIOS'!K:K,"NAO ESTA NA PLANILHA"))</f>
        <v>NAO ESTA NA PLANILHA</v>
      </c>
    </row>
    <row r="340" ht="17.25" customHeight="1">
      <c r="A340" s="211"/>
      <c r="B340" s="212" t="s">
        <v>1437</v>
      </c>
      <c r="C340" s="215" t="s">
        <v>1179</v>
      </c>
      <c r="D340" s="213">
        <v>89886.0</v>
      </c>
      <c r="E340" s="214" t="s">
        <v>632</v>
      </c>
      <c r="F340" s="215" t="s">
        <v>1927</v>
      </c>
      <c r="G340" s="215" t="s">
        <v>1928</v>
      </c>
      <c r="H340" s="222" t="s">
        <v>1539</v>
      </c>
      <c r="I340" s="217" t="str">
        <f t="array" ref="I340">IF(E340="", "", _xlfn.XLOOKUP(E340, 'GERAL ENVIOS'!C:C, 'GERAL ENVIOS'!K:K,"NAO ESTA NA PLANILHA"))</f>
        <v>Com Modificações</v>
      </c>
    </row>
    <row r="341" ht="17.25" customHeight="1">
      <c r="A341" s="211"/>
      <c r="B341" s="212" t="s">
        <v>1437</v>
      </c>
      <c r="C341" s="215" t="s">
        <v>1179</v>
      </c>
      <c r="D341" s="213">
        <v>90738.0</v>
      </c>
      <c r="E341" s="214" t="s">
        <v>568</v>
      </c>
      <c r="F341" s="215" t="s">
        <v>1929</v>
      </c>
      <c r="G341" s="215" t="s">
        <v>1930</v>
      </c>
      <c r="H341" s="222" t="s">
        <v>1539</v>
      </c>
      <c r="I341" s="217" t="str">
        <f t="array" ref="I341">IF(E341="", "", _xlfn.XLOOKUP(E341, 'GERAL ENVIOS'!C:C, 'GERAL ENVIOS'!K:K,"NAO ESTA NA PLANILHA"))</f>
        <v>Sem álbum</v>
      </c>
    </row>
    <row r="342" ht="17.25" customHeight="1">
      <c r="A342" s="211"/>
      <c r="B342" s="212" t="s">
        <v>1330</v>
      </c>
      <c r="C342" s="215" t="s">
        <v>1235</v>
      </c>
      <c r="D342" s="213">
        <v>86899.0</v>
      </c>
      <c r="E342" s="214" t="s">
        <v>586</v>
      </c>
      <c r="F342" s="215" t="s">
        <v>1931</v>
      </c>
      <c r="G342" s="215" t="s">
        <v>1932</v>
      </c>
      <c r="H342" s="222" t="s">
        <v>1539</v>
      </c>
      <c r="I342" s="217" t="str">
        <f t="array" ref="I342">IF(E342="", "", _xlfn.XLOOKUP(E342, 'GERAL ENVIOS'!C:C, 'GERAL ENVIOS'!K:K,"NAO ESTA NA PLANILHA"))</f>
        <v>Finalizado</v>
      </c>
    </row>
    <row r="343" ht="17.25" customHeight="1">
      <c r="A343" s="211"/>
      <c r="B343" s="219" t="s">
        <v>1484</v>
      </c>
      <c r="C343" s="219" t="s">
        <v>1179</v>
      </c>
      <c r="D343" s="213">
        <v>67849.0</v>
      </c>
      <c r="E343" s="221" t="s">
        <v>43</v>
      </c>
      <c r="F343" s="219" t="s">
        <v>1933</v>
      </c>
      <c r="G343" s="215" t="s">
        <v>1934</v>
      </c>
      <c r="H343" s="222" t="s">
        <v>1935</v>
      </c>
      <c r="I343" s="217" t="str">
        <f t="array" ref="I343">IF(E343="", "", _xlfn.XLOOKUP(E343, 'GERAL ENVIOS'!C:C, 'GERAL ENVIOS'!K:K,"NAO ESTA NA PLANILHA"))</f>
        <v>Finalizado</v>
      </c>
    </row>
    <row r="344" ht="17.25" customHeight="1">
      <c r="A344" s="211"/>
      <c r="B344" s="219" t="s">
        <v>1168</v>
      </c>
      <c r="C344" s="219" t="s">
        <v>1163</v>
      </c>
      <c r="D344" s="213">
        <v>88031.0</v>
      </c>
      <c r="E344" s="221" t="s">
        <v>1936</v>
      </c>
      <c r="F344" s="219" t="s">
        <v>1937</v>
      </c>
      <c r="G344" s="215" t="s">
        <v>1938</v>
      </c>
      <c r="H344" s="222" t="s">
        <v>1935</v>
      </c>
      <c r="I344" s="217" t="str">
        <f t="array" ref="I344">IF(E344="", "", _xlfn.XLOOKUP(E344, 'GERAL ENVIOS'!C:C, 'GERAL ENVIOS'!K:K,"NAO ESTA NA PLANILHA"))</f>
        <v>NAO ESTA NA PLANILHA</v>
      </c>
    </row>
    <row r="345" ht="17.25" customHeight="1">
      <c r="A345" s="211"/>
      <c r="B345" s="219" t="s">
        <v>1162</v>
      </c>
      <c r="C345" s="219" t="s">
        <v>1163</v>
      </c>
      <c r="D345" s="213">
        <v>67766.0</v>
      </c>
      <c r="E345" s="221" t="s">
        <v>1939</v>
      </c>
      <c r="F345" s="219" t="s">
        <v>1940</v>
      </c>
      <c r="G345" s="215" t="s">
        <v>1941</v>
      </c>
      <c r="H345" s="222" t="s">
        <v>1935</v>
      </c>
      <c r="I345" s="217" t="str">
        <f t="array" ref="I345">IF(E345="", "", _xlfn.XLOOKUP(E345, 'GERAL ENVIOS'!C:C, 'GERAL ENVIOS'!K:K,"NAO ESTA NA PLANILHA"))</f>
        <v>NAO ESTA NA PLANILHA</v>
      </c>
    </row>
    <row r="346" ht="17.25" customHeight="1">
      <c r="A346" s="211"/>
      <c r="B346" s="219" t="s">
        <v>1162</v>
      </c>
      <c r="C346" s="219" t="s">
        <v>1163</v>
      </c>
      <c r="D346" s="213">
        <v>80361.0</v>
      </c>
      <c r="E346" s="221" t="s">
        <v>1942</v>
      </c>
      <c r="F346" s="219" t="s">
        <v>1943</v>
      </c>
      <c r="G346" s="215" t="s">
        <v>1944</v>
      </c>
      <c r="H346" s="222" t="s">
        <v>1935</v>
      </c>
      <c r="I346" s="217" t="str">
        <f t="array" ref="I346">IF(E346="", "", _xlfn.XLOOKUP(E346, 'GERAL ENVIOS'!C:C, 'GERAL ENVIOS'!K:K,"NAO ESTA NA PLANILHA"))</f>
        <v>NAO ESTA NA PLANILHA</v>
      </c>
    </row>
    <row r="347" ht="17.25" customHeight="1">
      <c r="A347" s="211"/>
      <c r="B347" s="219" t="s">
        <v>1178</v>
      </c>
      <c r="C347" s="225" t="s">
        <v>1163</v>
      </c>
      <c r="D347" s="213">
        <v>86533.0</v>
      </c>
      <c r="E347" s="221" t="s">
        <v>1945</v>
      </c>
      <c r="F347" s="219" t="s">
        <v>1946</v>
      </c>
      <c r="G347" s="215" t="s">
        <v>1947</v>
      </c>
      <c r="H347" s="222" t="s">
        <v>1935</v>
      </c>
      <c r="I347" s="217" t="str">
        <f t="array" ref="I347">IF(E347="", "", _xlfn.XLOOKUP(E347, 'GERAL ENVIOS'!C:C, 'GERAL ENVIOS'!K:K,"NAO ESTA NA PLANILHA"))</f>
        <v>NAO ESTA NA PLANILHA</v>
      </c>
    </row>
    <row r="348" ht="17.25" customHeight="1">
      <c r="A348" s="211"/>
      <c r="B348" s="219" t="s">
        <v>1162</v>
      </c>
      <c r="C348" s="219" t="s">
        <v>1163</v>
      </c>
      <c r="D348" s="213">
        <v>87088.0</v>
      </c>
      <c r="E348" s="221" t="s">
        <v>1948</v>
      </c>
      <c r="F348" s="219" t="s">
        <v>1949</v>
      </c>
      <c r="G348" s="215" t="s">
        <v>1950</v>
      </c>
      <c r="H348" s="222" t="s">
        <v>1935</v>
      </c>
      <c r="I348" s="217" t="str">
        <f t="array" ref="I348">IF(E348="", "", _xlfn.XLOOKUP(E348, 'GERAL ENVIOS'!C:C, 'GERAL ENVIOS'!K:K,"NAO ESTA NA PLANILHA"))</f>
        <v>NAO ESTA NA PLANILHA</v>
      </c>
    </row>
    <row r="349" ht="17.25" customHeight="1">
      <c r="A349" s="211"/>
      <c r="B349" s="219" t="s">
        <v>1168</v>
      </c>
      <c r="C349" s="219" t="s">
        <v>1163</v>
      </c>
      <c r="D349" s="213">
        <v>88124.0</v>
      </c>
      <c r="E349" s="221" t="s">
        <v>1951</v>
      </c>
      <c r="F349" s="219" t="s">
        <v>1952</v>
      </c>
      <c r="G349" s="215" t="s">
        <v>1953</v>
      </c>
      <c r="H349" s="222" t="s">
        <v>1935</v>
      </c>
      <c r="I349" s="217" t="str">
        <f t="array" ref="I349">IF(E349="", "", _xlfn.XLOOKUP(E349, 'GERAL ENVIOS'!C:C, 'GERAL ENVIOS'!K:K,"NAO ESTA NA PLANILHA"))</f>
        <v>NAO ESTA NA PLANILHA</v>
      </c>
    </row>
    <row r="350" ht="17.25" customHeight="1">
      <c r="A350" s="211"/>
      <c r="B350" s="219" t="s">
        <v>1168</v>
      </c>
      <c r="C350" s="219" t="s">
        <v>1163</v>
      </c>
      <c r="D350" s="213">
        <v>87575.0</v>
      </c>
      <c r="E350" s="221" t="s">
        <v>1954</v>
      </c>
      <c r="F350" s="219" t="s">
        <v>1955</v>
      </c>
      <c r="G350" s="215" t="s">
        <v>1956</v>
      </c>
      <c r="H350" s="222" t="s">
        <v>1935</v>
      </c>
      <c r="I350" s="217" t="str">
        <f t="array" ref="I350">IF(E350="", "", _xlfn.XLOOKUP(E350, 'GERAL ENVIOS'!C:C, 'GERAL ENVIOS'!K:K,"NAO ESTA NA PLANILHA"))</f>
        <v>NAO ESTA NA PLANILHA</v>
      </c>
    </row>
    <row r="351" ht="17.25" customHeight="1">
      <c r="A351" s="211"/>
      <c r="B351" s="219" t="s">
        <v>1162</v>
      </c>
      <c r="C351" s="219" t="s">
        <v>1163</v>
      </c>
      <c r="D351" s="213">
        <v>73560.0</v>
      </c>
      <c r="E351" s="221" t="s">
        <v>1957</v>
      </c>
      <c r="F351" s="219" t="s">
        <v>1958</v>
      </c>
      <c r="G351" s="215" t="s">
        <v>1959</v>
      </c>
      <c r="H351" s="222" t="s">
        <v>1935</v>
      </c>
      <c r="I351" s="217" t="str">
        <f t="array" ref="I351">IF(E351="", "", _xlfn.XLOOKUP(E351, 'GERAL ENVIOS'!C:C, 'GERAL ENVIOS'!K:K,"NAO ESTA NA PLANILHA"))</f>
        <v>NAO ESTA NA PLANILHA</v>
      </c>
    </row>
    <row r="352" ht="17.25" customHeight="1">
      <c r="A352" s="211"/>
      <c r="B352" s="219" t="s">
        <v>1162</v>
      </c>
      <c r="C352" s="219" t="s">
        <v>1163</v>
      </c>
      <c r="D352" s="213">
        <v>87609.0</v>
      </c>
      <c r="E352" s="221" t="s">
        <v>1960</v>
      </c>
      <c r="F352" s="219" t="s">
        <v>1961</v>
      </c>
      <c r="G352" s="215" t="s">
        <v>1962</v>
      </c>
      <c r="H352" s="222" t="s">
        <v>1935</v>
      </c>
      <c r="I352" s="217" t="str">
        <f t="array" ref="I352">IF(E352="", "", _xlfn.XLOOKUP(E352, 'GERAL ENVIOS'!C:C, 'GERAL ENVIOS'!K:K,"NAO ESTA NA PLANILHA"))</f>
        <v>NAO ESTA NA PLANILHA</v>
      </c>
    </row>
    <row r="353" ht="17.25" customHeight="1">
      <c r="A353" s="211"/>
      <c r="B353" s="219" t="s">
        <v>1168</v>
      </c>
      <c r="C353" s="219" t="s">
        <v>1163</v>
      </c>
      <c r="D353" s="213">
        <v>88164.0</v>
      </c>
      <c r="E353" s="221" t="s">
        <v>1963</v>
      </c>
      <c r="F353" s="219" t="s">
        <v>1964</v>
      </c>
      <c r="G353" s="215" t="s">
        <v>1965</v>
      </c>
      <c r="H353" s="222" t="s">
        <v>1935</v>
      </c>
      <c r="I353" s="217" t="str">
        <f t="array" ref="I353">IF(E353="", "", _xlfn.XLOOKUP(E353, 'GERAL ENVIOS'!C:C, 'GERAL ENVIOS'!K:K,"NAO ESTA NA PLANILHA"))</f>
        <v>NAO ESTA NA PLANILHA</v>
      </c>
    </row>
    <row r="354" ht="17.25" customHeight="1">
      <c r="A354" s="211"/>
      <c r="B354" s="219" t="s">
        <v>1168</v>
      </c>
      <c r="C354" s="219" t="s">
        <v>1163</v>
      </c>
      <c r="D354" s="213">
        <v>69561.0</v>
      </c>
      <c r="E354" s="221" t="s">
        <v>1966</v>
      </c>
      <c r="F354" s="219" t="s">
        <v>1967</v>
      </c>
      <c r="G354" s="215" t="s">
        <v>1968</v>
      </c>
      <c r="H354" s="222" t="s">
        <v>1935</v>
      </c>
      <c r="I354" s="217" t="str">
        <f t="array" ref="I354">IF(E354="", "", _xlfn.XLOOKUP(E354, 'GERAL ENVIOS'!C:C, 'GERAL ENVIOS'!K:K,"NAO ESTA NA PLANILHA"))</f>
        <v>NAO ESTA NA PLANILHA</v>
      </c>
    </row>
    <row r="355" ht="17.25" customHeight="1">
      <c r="A355" s="211"/>
      <c r="B355" s="219" t="s">
        <v>1330</v>
      </c>
      <c r="C355" s="219" t="s">
        <v>1163</v>
      </c>
      <c r="D355" s="213">
        <v>77517.0</v>
      </c>
      <c r="E355" s="221" t="s">
        <v>1969</v>
      </c>
      <c r="F355" s="219" t="s">
        <v>1970</v>
      </c>
      <c r="G355" s="215" t="s">
        <v>1971</v>
      </c>
      <c r="H355" s="222" t="s">
        <v>1935</v>
      </c>
      <c r="I355" s="217" t="str">
        <f t="array" ref="I355">IF(E355="", "", _xlfn.XLOOKUP(E355, 'GERAL ENVIOS'!C:C, 'GERAL ENVIOS'!K:K,"NAO ESTA NA PLANILHA"))</f>
        <v>NAO ESTA NA PLANILHA</v>
      </c>
    </row>
    <row r="356" ht="17.25" customHeight="1">
      <c r="A356" s="211"/>
      <c r="B356" s="219" t="s">
        <v>1168</v>
      </c>
      <c r="C356" s="219" t="s">
        <v>1163</v>
      </c>
      <c r="D356" s="213">
        <v>71006.0</v>
      </c>
      <c r="E356" s="221" t="s">
        <v>877</v>
      </c>
      <c r="F356" s="219" t="s">
        <v>1972</v>
      </c>
      <c r="G356" s="215" t="s">
        <v>1973</v>
      </c>
      <c r="H356" s="222" t="s">
        <v>1935</v>
      </c>
      <c r="I356" s="217" t="str">
        <f t="array" ref="I356">IF(E356="", "", _xlfn.XLOOKUP(E356, 'GERAL ENVIOS'!C:C, 'GERAL ENVIOS'!K:K,"NAO ESTA NA PLANILHA"))</f>
        <v>Aguardando Aprovação</v>
      </c>
    </row>
    <row r="357" ht="17.25" customHeight="1">
      <c r="A357" s="211"/>
      <c r="B357" s="219" t="s">
        <v>1168</v>
      </c>
      <c r="C357" s="219" t="s">
        <v>1163</v>
      </c>
      <c r="D357" s="213">
        <v>88016.0</v>
      </c>
      <c r="E357" s="221" t="s">
        <v>1974</v>
      </c>
      <c r="F357" s="219" t="s">
        <v>1975</v>
      </c>
      <c r="G357" s="215" t="s">
        <v>1976</v>
      </c>
      <c r="H357" s="222" t="s">
        <v>1935</v>
      </c>
      <c r="I357" s="217" t="str">
        <f t="array" ref="I357">IF(E357="", "", _xlfn.XLOOKUP(E357, 'GERAL ENVIOS'!C:C, 'GERAL ENVIOS'!K:K,"NAO ESTA NA PLANILHA"))</f>
        <v>NAO ESTA NA PLANILHA</v>
      </c>
    </row>
    <row r="358" ht="17.25" customHeight="1">
      <c r="A358" s="211"/>
      <c r="B358" s="219" t="s">
        <v>1168</v>
      </c>
      <c r="C358" s="219" t="s">
        <v>1163</v>
      </c>
      <c r="D358" s="213">
        <v>88256.0</v>
      </c>
      <c r="E358" s="221" t="s">
        <v>1977</v>
      </c>
      <c r="F358" s="219" t="s">
        <v>1978</v>
      </c>
      <c r="G358" s="215" t="s">
        <v>1979</v>
      </c>
      <c r="H358" s="222" t="s">
        <v>1935</v>
      </c>
      <c r="I358" s="217" t="str">
        <f t="array" ref="I358">IF(E358="", "", _xlfn.XLOOKUP(E358, 'GERAL ENVIOS'!C:C, 'GERAL ENVIOS'!K:K,"NAO ESTA NA PLANILHA"))</f>
        <v>NAO ESTA NA PLANILHA</v>
      </c>
    </row>
    <row r="359" ht="17.25" customHeight="1">
      <c r="A359" s="211"/>
      <c r="B359" s="219" t="s">
        <v>1168</v>
      </c>
      <c r="C359" s="219" t="s">
        <v>1163</v>
      </c>
      <c r="D359" s="213">
        <v>88556.0</v>
      </c>
      <c r="E359" s="221" t="s">
        <v>1980</v>
      </c>
      <c r="F359" s="219" t="s">
        <v>1981</v>
      </c>
      <c r="G359" s="215" t="s">
        <v>1982</v>
      </c>
      <c r="H359" s="222" t="s">
        <v>1935</v>
      </c>
      <c r="I359" s="217" t="str">
        <f t="array" ref="I359">IF(E359="", "", _xlfn.XLOOKUP(E359, 'GERAL ENVIOS'!C:C, 'GERAL ENVIOS'!K:K,"NAO ESTA NA PLANILHA"))</f>
        <v>NAO ESTA NA PLANILHA</v>
      </c>
    </row>
    <row r="360" ht="17.25" customHeight="1">
      <c r="A360" s="211"/>
      <c r="B360" s="219" t="s">
        <v>1168</v>
      </c>
      <c r="C360" s="219" t="s">
        <v>1163</v>
      </c>
      <c r="D360" s="213">
        <v>87588.0</v>
      </c>
      <c r="E360" s="221" t="s">
        <v>1983</v>
      </c>
      <c r="F360" s="219" t="s">
        <v>1984</v>
      </c>
      <c r="G360" s="215" t="s">
        <v>1985</v>
      </c>
      <c r="H360" s="222" t="s">
        <v>1935</v>
      </c>
      <c r="I360" s="217" t="str">
        <f t="array" ref="I360">IF(E360="", "", _xlfn.XLOOKUP(E360, 'GERAL ENVIOS'!C:C, 'GERAL ENVIOS'!K:K,"NAO ESTA NA PLANILHA"))</f>
        <v>NAO ESTA NA PLANILHA</v>
      </c>
    </row>
    <row r="361" ht="17.25" customHeight="1">
      <c r="A361" s="211"/>
      <c r="B361" s="219" t="s">
        <v>1330</v>
      </c>
      <c r="C361" s="219" t="s">
        <v>1163</v>
      </c>
      <c r="D361" s="213">
        <v>74171.0</v>
      </c>
      <c r="E361" s="221" t="s">
        <v>1986</v>
      </c>
      <c r="F361" s="219" t="s">
        <v>1987</v>
      </c>
      <c r="G361" s="215" t="s">
        <v>1988</v>
      </c>
      <c r="H361" s="222" t="s">
        <v>1935</v>
      </c>
      <c r="I361" s="217" t="str">
        <f t="array" ref="I361">IF(E361="", "", _xlfn.XLOOKUP(E361, 'GERAL ENVIOS'!C:C, 'GERAL ENVIOS'!K:K,"NAO ESTA NA PLANILHA"))</f>
        <v>NAO ESTA NA PLANILHA</v>
      </c>
    </row>
    <row r="362" ht="17.25" customHeight="1">
      <c r="A362" s="211"/>
      <c r="B362" s="219" t="s">
        <v>1168</v>
      </c>
      <c r="C362" s="219" t="s">
        <v>1548</v>
      </c>
      <c r="D362" s="213">
        <v>88030.0</v>
      </c>
      <c r="E362" s="221" t="s">
        <v>1989</v>
      </c>
      <c r="F362" s="219" t="s">
        <v>1990</v>
      </c>
      <c r="G362" s="215" t="s">
        <v>1991</v>
      </c>
      <c r="H362" s="222" t="s">
        <v>1935</v>
      </c>
      <c r="I362" s="217" t="str">
        <f t="array" ref="I362">IF(E362="", "", _xlfn.XLOOKUP(E362, 'GERAL ENVIOS'!C:C, 'GERAL ENVIOS'!K:K,"NAO ESTA NA PLANILHA"))</f>
        <v>NAO ESTA NA PLANILHA</v>
      </c>
    </row>
    <row r="363" ht="17.25" customHeight="1">
      <c r="A363" s="211"/>
      <c r="B363" s="219" t="s">
        <v>1437</v>
      </c>
      <c r="C363" s="219" t="s">
        <v>1235</v>
      </c>
      <c r="D363" s="213">
        <v>67849.0</v>
      </c>
      <c r="E363" s="221" t="s">
        <v>43</v>
      </c>
      <c r="F363" s="219" t="s">
        <v>1933</v>
      </c>
      <c r="G363" s="215" t="s">
        <v>1934</v>
      </c>
      <c r="H363" s="222" t="s">
        <v>1935</v>
      </c>
      <c r="I363" s="217" t="str">
        <f t="array" ref="I363">IF(E363="", "", _xlfn.XLOOKUP(E363, 'GERAL ENVIOS'!C:C, 'GERAL ENVIOS'!K:K,"NAO ESTA NA PLANILHA"))</f>
        <v>Finalizado</v>
      </c>
    </row>
    <row r="364" ht="17.25" customHeight="1">
      <c r="A364" s="211"/>
      <c r="B364" s="219" t="s">
        <v>1168</v>
      </c>
      <c r="C364" s="219" t="s">
        <v>1992</v>
      </c>
      <c r="D364" s="213">
        <v>87894.0</v>
      </c>
      <c r="E364" s="221" t="s">
        <v>48</v>
      </c>
      <c r="F364" s="219" t="s">
        <v>1993</v>
      </c>
      <c r="G364" s="215" t="s">
        <v>1994</v>
      </c>
      <c r="H364" s="222" t="s">
        <v>1935</v>
      </c>
      <c r="I364" s="217" t="str">
        <f t="array" ref="I364">IF(E364="", "", _xlfn.XLOOKUP(E364, 'GERAL ENVIOS'!C:C, 'GERAL ENVIOS'!K:K,"NAO ESTA NA PLANILHA"))</f>
        <v>Finalizado</v>
      </c>
    </row>
    <row r="365" ht="17.25" customHeight="1">
      <c r="A365" s="211"/>
      <c r="B365" s="219" t="s">
        <v>1168</v>
      </c>
      <c r="C365" s="219" t="s">
        <v>1163</v>
      </c>
      <c r="D365" s="213">
        <v>87901.0</v>
      </c>
      <c r="E365" s="221" t="s">
        <v>213</v>
      </c>
      <c r="F365" s="219" t="s">
        <v>1995</v>
      </c>
      <c r="G365" s="215" t="s">
        <v>1996</v>
      </c>
      <c r="H365" s="222" t="s">
        <v>1935</v>
      </c>
      <c r="I365" s="217" t="str">
        <f t="array" ref="I365">IF(E365="", "", _xlfn.XLOOKUP(E365, 'GERAL ENVIOS'!C:C, 'GERAL ENVIOS'!K:K,"NAO ESTA NA PLANILHA"))</f>
        <v>Aguardando Aprovação</v>
      </c>
    </row>
    <row r="366" ht="17.25" customHeight="1">
      <c r="A366" s="211"/>
      <c r="B366" s="219" t="s">
        <v>1168</v>
      </c>
      <c r="C366" s="219" t="s">
        <v>1997</v>
      </c>
      <c r="D366" s="213">
        <v>88931.0</v>
      </c>
      <c r="E366" s="221" t="s">
        <v>300</v>
      </c>
      <c r="F366" s="219" t="s">
        <v>1998</v>
      </c>
      <c r="G366" s="215" t="s">
        <v>1999</v>
      </c>
      <c r="H366" s="222" t="s">
        <v>1935</v>
      </c>
      <c r="I366" s="217" t="str">
        <f t="array" ref="I366">IF(E366="", "", _xlfn.XLOOKUP(E366, 'GERAL ENVIOS'!C:C, 'GERAL ENVIOS'!K:K,"NAO ESTA NA PLANILHA"))</f>
        <v>Finalizado</v>
      </c>
    </row>
    <row r="367" ht="17.25" customHeight="1">
      <c r="A367" s="211"/>
      <c r="B367" s="219" t="s">
        <v>1168</v>
      </c>
      <c r="C367" s="219" t="s">
        <v>1235</v>
      </c>
      <c r="D367" s="213">
        <v>86513.0</v>
      </c>
      <c r="E367" s="221" t="s">
        <v>312</v>
      </c>
      <c r="F367" s="219" t="s">
        <v>2000</v>
      </c>
      <c r="G367" s="215" t="s">
        <v>2001</v>
      </c>
      <c r="H367" s="222" t="s">
        <v>1935</v>
      </c>
      <c r="I367" s="217" t="str">
        <f t="array" ref="I367">IF(E367="", "", _xlfn.XLOOKUP(E367, 'GERAL ENVIOS'!C:C, 'GERAL ENVIOS'!K:K,"NAO ESTA NA PLANILHA"))</f>
        <v>Finalizado</v>
      </c>
    </row>
    <row r="368" ht="17.25" customHeight="1">
      <c r="A368" s="211"/>
      <c r="B368" s="219" t="s">
        <v>1330</v>
      </c>
      <c r="C368" s="219" t="s">
        <v>1179</v>
      </c>
      <c r="D368" s="213">
        <v>78399.0</v>
      </c>
      <c r="E368" s="221" t="s">
        <v>2002</v>
      </c>
      <c r="F368" s="219" t="s">
        <v>2003</v>
      </c>
      <c r="G368" s="215" t="s">
        <v>2004</v>
      </c>
      <c r="H368" s="222" t="s">
        <v>1935</v>
      </c>
      <c r="I368" s="217" t="str">
        <f t="array" ref="I368">IF(E368="", "", _xlfn.XLOOKUP(E368, 'GERAL ENVIOS'!C:C, 'GERAL ENVIOS'!K:K,"NAO ESTA NA PLANILHA"))</f>
        <v>NAO ESTA NA PLANILHA</v>
      </c>
    </row>
    <row r="369" ht="17.25" customHeight="1">
      <c r="A369" s="211"/>
      <c r="B369" s="219" t="s">
        <v>1168</v>
      </c>
      <c r="C369" s="219" t="s">
        <v>1235</v>
      </c>
      <c r="D369" s="213">
        <v>81298.0</v>
      </c>
      <c r="E369" s="221" t="s">
        <v>354</v>
      </c>
      <c r="F369" s="219" t="s">
        <v>2005</v>
      </c>
      <c r="G369" s="215" t="s">
        <v>2006</v>
      </c>
      <c r="H369" s="222" t="s">
        <v>1935</v>
      </c>
      <c r="I369" s="217" t="str">
        <f t="array" ref="I369">IF(E369="", "", _xlfn.XLOOKUP(E369, 'GERAL ENVIOS'!C:C, 'GERAL ENVIOS'!K:K,"NAO ESTA NA PLANILHA"))</f>
        <v>Finalizado</v>
      </c>
    </row>
    <row r="370" ht="17.25" customHeight="1">
      <c r="A370" s="211"/>
      <c r="B370" s="219" t="s">
        <v>1168</v>
      </c>
      <c r="C370" s="219" t="s">
        <v>1235</v>
      </c>
      <c r="D370" s="213">
        <v>87223.0</v>
      </c>
      <c r="E370" s="221" t="s">
        <v>368</v>
      </c>
      <c r="F370" s="219" t="s">
        <v>2007</v>
      </c>
      <c r="G370" s="215" t="s">
        <v>2008</v>
      </c>
      <c r="H370" s="222" t="s">
        <v>1935</v>
      </c>
      <c r="I370" s="217" t="str">
        <f t="array" ref="I370">IF(E370="", "", _xlfn.XLOOKUP(E370, 'GERAL ENVIOS'!C:C, 'GERAL ENVIOS'!K:K,"NAO ESTA NA PLANILHA"))</f>
        <v>Finalizado</v>
      </c>
    </row>
    <row r="371" ht="17.25" customHeight="1">
      <c r="A371" s="211"/>
      <c r="B371" s="219" t="s">
        <v>1168</v>
      </c>
      <c r="C371" s="219" t="s">
        <v>1235</v>
      </c>
      <c r="D371" s="213">
        <v>87347.0</v>
      </c>
      <c r="E371" s="221" t="s">
        <v>392</v>
      </c>
      <c r="F371" s="219" t="s">
        <v>2009</v>
      </c>
      <c r="G371" s="215" t="s">
        <v>2010</v>
      </c>
      <c r="H371" s="222" t="s">
        <v>1935</v>
      </c>
      <c r="I371" s="217" t="str">
        <f t="array" ref="I371">IF(E371="", "", _xlfn.XLOOKUP(E371, 'GERAL ENVIOS'!C:C, 'GERAL ENVIOS'!K:K,"NAO ESTA NA PLANILHA"))</f>
        <v>Finalizado</v>
      </c>
    </row>
    <row r="372" ht="17.25" customHeight="1">
      <c r="A372" s="211"/>
      <c r="B372" s="219" t="s">
        <v>1168</v>
      </c>
      <c r="C372" s="219" t="s">
        <v>1235</v>
      </c>
      <c r="D372" s="213">
        <v>87352.0</v>
      </c>
      <c r="E372" s="221" t="s">
        <v>415</v>
      </c>
      <c r="F372" s="219" t="s">
        <v>2011</v>
      </c>
      <c r="G372" s="215" t="s">
        <v>2012</v>
      </c>
      <c r="H372" s="222" t="s">
        <v>1935</v>
      </c>
      <c r="I372" s="217" t="str">
        <f t="array" ref="I372">IF(E372="", "", _xlfn.XLOOKUP(E372, 'GERAL ENVIOS'!C:C, 'GERAL ENVIOS'!K:K,"NAO ESTA NA PLANILHA"))</f>
        <v>Finalizado</v>
      </c>
    </row>
    <row r="373" ht="17.25" customHeight="1">
      <c r="A373" s="211"/>
      <c r="B373" s="219" t="s">
        <v>1162</v>
      </c>
      <c r="C373" s="219" t="s">
        <v>1235</v>
      </c>
      <c r="D373" s="213">
        <v>87340.0</v>
      </c>
      <c r="E373" s="221" t="s">
        <v>425</v>
      </c>
      <c r="F373" s="219" t="s">
        <v>2013</v>
      </c>
      <c r="G373" s="215" t="s">
        <v>2014</v>
      </c>
      <c r="H373" s="222" t="s">
        <v>1935</v>
      </c>
      <c r="I373" s="217" t="str">
        <f t="array" ref="I373">IF(E373="", "", _xlfn.XLOOKUP(E373, 'GERAL ENVIOS'!C:C, 'GERAL ENVIOS'!K:K,"NAO ESTA NA PLANILHA"))</f>
        <v>Finalizado</v>
      </c>
    </row>
    <row r="374" ht="17.25" customHeight="1">
      <c r="A374" s="211"/>
      <c r="B374" s="219" t="s">
        <v>1162</v>
      </c>
      <c r="C374" s="219" t="s">
        <v>1246</v>
      </c>
      <c r="D374" s="213">
        <v>87350.0</v>
      </c>
      <c r="E374" s="221" t="s">
        <v>427</v>
      </c>
      <c r="F374" s="219" t="s">
        <v>2015</v>
      </c>
      <c r="G374" s="215" t="s">
        <v>2016</v>
      </c>
      <c r="H374" s="222" t="s">
        <v>1935</v>
      </c>
      <c r="I374" s="217" t="str">
        <f t="array" ref="I374">IF(E374="", "", _xlfn.XLOOKUP(E374, 'GERAL ENVIOS'!C:C, 'GERAL ENVIOS'!K:K,"NAO ESTA NA PLANILHA"))</f>
        <v>Finalizado</v>
      </c>
    </row>
    <row r="375" ht="17.25" customHeight="1">
      <c r="A375" s="211"/>
      <c r="B375" s="219" t="s">
        <v>1162</v>
      </c>
      <c r="C375" s="219" t="s">
        <v>1246</v>
      </c>
      <c r="D375" s="213">
        <v>87705.0</v>
      </c>
      <c r="E375" s="221" t="s">
        <v>431</v>
      </c>
      <c r="F375" s="219" t="s">
        <v>2017</v>
      </c>
      <c r="G375" s="215" t="s">
        <v>2018</v>
      </c>
      <c r="H375" s="222" t="s">
        <v>1935</v>
      </c>
      <c r="I375" s="217" t="str">
        <f t="array" ref="I375">IF(E375="", "", _xlfn.XLOOKUP(E375, 'GERAL ENVIOS'!C:C, 'GERAL ENVIOS'!K:K,"NAO ESTA NA PLANILHA"))</f>
        <v>Finalizado</v>
      </c>
    </row>
    <row r="376" ht="17.25" customHeight="1">
      <c r="A376" s="211"/>
      <c r="B376" s="219" t="s">
        <v>1168</v>
      </c>
      <c r="C376" s="219" t="s">
        <v>1123</v>
      </c>
      <c r="D376" s="213">
        <v>88044.0</v>
      </c>
      <c r="E376" s="221" t="s">
        <v>441</v>
      </c>
      <c r="F376" s="219" t="s">
        <v>2019</v>
      </c>
      <c r="G376" s="215" t="s">
        <v>2020</v>
      </c>
      <c r="H376" s="222" t="s">
        <v>1935</v>
      </c>
      <c r="I376" s="217" t="str">
        <f t="array" ref="I376">IF(E376="", "", _xlfn.XLOOKUP(E376, 'GERAL ENVIOS'!C:C, 'GERAL ENVIOS'!K:K,"NAO ESTA NA PLANILHA"))</f>
        <v>Finalizado</v>
      </c>
    </row>
    <row r="377" ht="17.25" customHeight="1">
      <c r="A377" s="211"/>
      <c r="B377" s="219" t="s">
        <v>1178</v>
      </c>
      <c r="C377" s="219" t="s">
        <v>1179</v>
      </c>
      <c r="D377" s="213">
        <v>88335.0</v>
      </c>
      <c r="E377" s="221" t="s">
        <v>2021</v>
      </c>
      <c r="F377" s="219" t="s">
        <v>2022</v>
      </c>
      <c r="G377" s="215" t="s">
        <v>2023</v>
      </c>
      <c r="H377" s="222" t="s">
        <v>1935</v>
      </c>
      <c r="I377" s="217" t="str">
        <f t="array" ref="I377">IF(E377="", "", _xlfn.XLOOKUP(E377, 'GERAL ENVIOS'!C:C, 'GERAL ENVIOS'!K:K,"NAO ESTA NA PLANILHA"))</f>
        <v>NAO ESTA NA PLANILHA</v>
      </c>
    </row>
    <row r="378" ht="17.25" customHeight="1">
      <c r="A378" s="211"/>
      <c r="B378" s="219" t="s">
        <v>1162</v>
      </c>
      <c r="C378" s="219" t="s">
        <v>1179</v>
      </c>
      <c r="D378" s="213">
        <v>87358.0</v>
      </c>
      <c r="E378" s="221" t="s">
        <v>510</v>
      </c>
      <c r="F378" s="219" t="s">
        <v>2024</v>
      </c>
      <c r="G378" s="215" t="s">
        <v>2025</v>
      </c>
      <c r="H378" s="222" t="s">
        <v>1935</v>
      </c>
      <c r="I378" s="217" t="str">
        <f t="array" ref="I378">IF(E378="", "", _xlfn.XLOOKUP(E378, 'GERAL ENVIOS'!C:C, 'GERAL ENVIOS'!K:K,"NAO ESTA NA PLANILHA"))</f>
        <v>Finalizado</v>
      </c>
    </row>
    <row r="379" ht="17.25" customHeight="1">
      <c r="A379" s="211"/>
      <c r="B379" s="219" t="s">
        <v>1162</v>
      </c>
      <c r="C379" s="219" t="s">
        <v>1246</v>
      </c>
      <c r="D379" s="213">
        <v>87358.0</v>
      </c>
      <c r="E379" s="221" t="s">
        <v>510</v>
      </c>
      <c r="F379" s="219" t="s">
        <v>2024</v>
      </c>
      <c r="G379" s="215" t="s">
        <v>2025</v>
      </c>
      <c r="H379" s="222" t="s">
        <v>1935</v>
      </c>
      <c r="I379" s="217" t="str">
        <f t="array" ref="I379">IF(E379="", "", _xlfn.XLOOKUP(E379, 'GERAL ENVIOS'!C:C, 'GERAL ENVIOS'!K:K,"NAO ESTA NA PLANILHA"))</f>
        <v>Finalizado</v>
      </c>
    </row>
    <row r="380" ht="17.25" customHeight="1">
      <c r="A380" s="211"/>
      <c r="B380" s="219" t="s">
        <v>1330</v>
      </c>
      <c r="C380" s="219" t="s">
        <v>1179</v>
      </c>
      <c r="D380" s="213">
        <v>87965.0</v>
      </c>
      <c r="E380" s="221" t="s">
        <v>2026</v>
      </c>
      <c r="F380" s="219" t="s">
        <v>2027</v>
      </c>
      <c r="G380" s="215" t="s">
        <v>2028</v>
      </c>
      <c r="H380" s="222" t="s">
        <v>1935</v>
      </c>
      <c r="I380" s="217" t="str">
        <f t="array" ref="I380">IF(E380="", "", _xlfn.XLOOKUP(E380, 'GERAL ENVIOS'!C:C, 'GERAL ENVIOS'!K:K,"NAO ESTA NA PLANILHA"))</f>
        <v>NAO ESTA NA PLANILHA</v>
      </c>
    </row>
    <row r="381" ht="17.25" customHeight="1">
      <c r="A381" s="211"/>
      <c r="B381" s="219" t="s">
        <v>1168</v>
      </c>
      <c r="C381" s="219" t="s">
        <v>1123</v>
      </c>
      <c r="D381" s="213">
        <v>79025.0</v>
      </c>
      <c r="E381" s="221" t="s">
        <v>532</v>
      </c>
      <c r="F381" s="219" t="s">
        <v>2029</v>
      </c>
      <c r="G381" s="215" t="s">
        <v>2030</v>
      </c>
      <c r="H381" s="222" t="s">
        <v>1935</v>
      </c>
      <c r="I381" s="217" t="str">
        <f t="array" ref="I381">IF(E381="", "", _xlfn.XLOOKUP(E381, 'GERAL ENVIOS'!C:C, 'GERAL ENVIOS'!K:K,"NAO ESTA NA PLANILHA"))</f>
        <v>Finalizado</v>
      </c>
    </row>
    <row r="382" ht="17.25" customHeight="1">
      <c r="A382" s="211"/>
      <c r="B382" s="219" t="s">
        <v>1168</v>
      </c>
      <c r="C382" s="219" t="s">
        <v>1235</v>
      </c>
      <c r="D382" s="213">
        <v>87379.0</v>
      </c>
      <c r="E382" s="221" t="s">
        <v>542</v>
      </c>
      <c r="F382" s="219" t="s">
        <v>2031</v>
      </c>
      <c r="G382" s="215" t="s">
        <v>2032</v>
      </c>
      <c r="H382" s="222" t="s">
        <v>1935</v>
      </c>
      <c r="I382" s="217" t="str">
        <f t="array" ref="I382">IF(E382="", "", _xlfn.XLOOKUP(E382, 'GERAL ENVIOS'!C:C, 'GERAL ENVIOS'!K:K,"NAO ESTA NA PLANILHA"))</f>
        <v>Finalizado</v>
      </c>
    </row>
    <row r="383" ht="17.25" customHeight="1">
      <c r="A383" s="211"/>
      <c r="B383" s="219" t="s">
        <v>1168</v>
      </c>
      <c r="C383" s="219" t="s">
        <v>1246</v>
      </c>
      <c r="D383" s="213">
        <v>87611.0</v>
      </c>
      <c r="E383" s="221" t="s">
        <v>554</v>
      </c>
      <c r="F383" s="219" t="s">
        <v>2033</v>
      </c>
      <c r="G383" s="215" t="s">
        <v>2034</v>
      </c>
      <c r="H383" s="222" t="s">
        <v>1935</v>
      </c>
      <c r="I383" s="217" t="str">
        <f t="array" ref="I383">IF(E383="", "", _xlfn.XLOOKUP(E383, 'GERAL ENVIOS'!C:C, 'GERAL ENVIOS'!K:K,"NAO ESTA NA PLANILHA"))</f>
        <v>Finalizado</v>
      </c>
    </row>
    <row r="384" ht="17.25" customHeight="1">
      <c r="A384" s="211"/>
      <c r="B384" s="219" t="s">
        <v>1168</v>
      </c>
      <c r="C384" s="219" t="s">
        <v>1163</v>
      </c>
      <c r="D384" s="213">
        <v>88916.0</v>
      </c>
      <c r="E384" s="221" t="s">
        <v>588</v>
      </c>
      <c r="F384" s="219" t="s">
        <v>2035</v>
      </c>
      <c r="G384" s="215" t="s">
        <v>2036</v>
      </c>
      <c r="H384" s="222" t="s">
        <v>1935</v>
      </c>
      <c r="I384" s="217" t="str">
        <f t="array" ref="I384">IF(E384="", "", _xlfn.XLOOKUP(E384, 'GERAL ENVIOS'!C:C, 'GERAL ENVIOS'!K:K,"NAO ESTA NA PLANILHA"))</f>
        <v>Aguardando Aprovação</v>
      </c>
    </row>
    <row r="385" ht="17.25" customHeight="1">
      <c r="A385" s="211"/>
      <c r="B385" s="219" t="s">
        <v>1168</v>
      </c>
      <c r="C385" s="219" t="s">
        <v>1235</v>
      </c>
      <c r="D385" s="213">
        <v>86766.0</v>
      </c>
      <c r="E385" s="221" t="s">
        <v>614</v>
      </c>
      <c r="F385" s="219" t="s">
        <v>2037</v>
      </c>
      <c r="G385" s="215" t="s">
        <v>2038</v>
      </c>
      <c r="H385" s="222" t="s">
        <v>1935</v>
      </c>
      <c r="I385" s="217" t="str">
        <f t="array" ref="I385">IF(E385="", "", _xlfn.XLOOKUP(E385, 'GERAL ENVIOS'!C:C, 'GERAL ENVIOS'!K:K,"NAO ESTA NA PLANILHA"))</f>
        <v>Finalizado</v>
      </c>
    </row>
    <row r="386" ht="17.25" customHeight="1">
      <c r="A386" s="211"/>
      <c r="B386" s="219" t="s">
        <v>1168</v>
      </c>
      <c r="C386" s="219" t="s">
        <v>1246</v>
      </c>
      <c r="D386" s="213">
        <v>87503.0</v>
      </c>
      <c r="E386" s="221" t="s">
        <v>616</v>
      </c>
      <c r="F386" s="219" t="s">
        <v>2039</v>
      </c>
      <c r="G386" s="215" t="s">
        <v>2040</v>
      </c>
      <c r="H386" s="222" t="s">
        <v>1935</v>
      </c>
      <c r="I386" s="217" t="str">
        <f t="array" ref="I386">IF(E386="", "", _xlfn.XLOOKUP(E386, 'GERAL ENVIOS'!C:C, 'GERAL ENVIOS'!K:K,"NAO ESTA NA PLANILHA"))</f>
        <v>Finalizado</v>
      </c>
    </row>
    <row r="387" ht="17.25" customHeight="1">
      <c r="A387" s="211"/>
      <c r="B387" s="219" t="s">
        <v>1168</v>
      </c>
      <c r="C387" s="219" t="s">
        <v>1246</v>
      </c>
      <c r="D387" s="213">
        <v>88514.0</v>
      </c>
      <c r="E387" s="221" t="s">
        <v>652</v>
      </c>
      <c r="F387" s="219" t="s">
        <v>2041</v>
      </c>
      <c r="G387" s="215" t="s">
        <v>2042</v>
      </c>
      <c r="H387" s="222" t="s">
        <v>1935</v>
      </c>
      <c r="I387" s="217" t="str">
        <f t="array" ref="I387">IF(E387="", "", _xlfn.XLOOKUP(E387, 'GERAL ENVIOS'!C:C, 'GERAL ENVIOS'!K:K,"NAO ESTA NA PLANILHA"))</f>
        <v>Finalizado</v>
      </c>
    </row>
    <row r="388" ht="17.25" customHeight="1">
      <c r="A388" s="211"/>
      <c r="B388" s="219" t="s">
        <v>1162</v>
      </c>
      <c r="C388" s="219" t="s">
        <v>1246</v>
      </c>
      <c r="D388" s="213">
        <v>88202.0</v>
      </c>
      <c r="E388" s="221" t="s">
        <v>693</v>
      </c>
      <c r="F388" s="219" t="s">
        <v>2043</v>
      </c>
      <c r="G388" s="215" t="s">
        <v>2044</v>
      </c>
      <c r="H388" s="222" t="s">
        <v>1935</v>
      </c>
      <c r="I388" s="217" t="str">
        <f t="array" ref="I388">IF(E388="", "", _xlfn.XLOOKUP(E388, 'GERAL ENVIOS'!C:C, 'GERAL ENVIOS'!K:K,"NAO ESTA NA PLANILHA"))</f>
        <v>Finalizado</v>
      </c>
    </row>
    <row r="389" ht="17.25" customHeight="1">
      <c r="A389" s="211"/>
      <c r="B389" s="219" t="s">
        <v>1168</v>
      </c>
      <c r="C389" s="219" t="s">
        <v>1163</v>
      </c>
      <c r="D389" s="213">
        <v>87467.0</v>
      </c>
      <c r="E389" s="221" t="s">
        <v>707</v>
      </c>
      <c r="F389" s="219" t="s">
        <v>2045</v>
      </c>
      <c r="G389" s="215" t="s">
        <v>2046</v>
      </c>
      <c r="H389" s="222" t="s">
        <v>1935</v>
      </c>
      <c r="I389" s="217" t="str">
        <f t="array" ref="I389">IF(E389="", "", _xlfn.XLOOKUP(E389, 'GERAL ENVIOS'!C:C, 'GERAL ENVIOS'!K:K,"NAO ESTA NA PLANILHA"))</f>
        <v>Finalizado</v>
      </c>
    </row>
    <row r="390" ht="17.25" customHeight="1">
      <c r="A390" s="211"/>
      <c r="B390" s="219" t="s">
        <v>1168</v>
      </c>
      <c r="C390" s="219" t="s">
        <v>1163</v>
      </c>
      <c r="D390" s="213">
        <v>88795.0</v>
      </c>
      <c r="E390" s="221" t="s">
        <v>768</v>
      </c>
      <c r="F390" s="219" t="s">
        <v>2047</v>
      </c>
      <c r="G390" s="215" t="s">
        <v>2048</v>
      </c>
      <c r="H390" s="222" t="s">
        <v>1935</v>
      </c>
      <c r="I390" s="217" t="str">
        <f t="array" ref="I390">IF(E390="", "", _xlfn.XLOOKUP(E390, 'GERAL ENVIOS'!C:C, 'GERAL ENVIOS'!K:K,"NAO ESTA NA PLANILHA"))</f>
        <v>IMPRESSÃO</v>
      </c>
    </row>
    <row r="391" ht="17.25" customHeight="1">
      <c r="A391" s="211"/>
      <c r="B391" s="219" t="s">
        <v>1162</v>
      </c>
      <c r="C391" s="219" t="s">
        <v>1235</v>
      </c>
      <c r="D391" s="213">
        <v>87376.0</v>
      </c>
      <c r="E391" s="221" t="s">
        <v>776</v>
      </c>
      <c r="F391" s="219" t="s">
        <v>2049</v>
      </c>
      <c r="G391" s="215" t="s">
        <v>2050</v>
      </c>
      <c r="H391" s="222" t="s">
        <v>1935</v>
      </c>
      <c r="I391" s="217" t="str">
        <f t="array" ref="I391">IF(E391="", "", _xlfn.XLOOKUP(E391, 'GERAL ENVIOS'!C:C, 'GERAL ENVIOS'!K:K,"NAO ESTA NA PLANILHA"))</f>
        <v>Finalizado</v>
      </c>
    </row>
    <row r="392" ht="17.25" customHeight="1">
      <c r="A392" s="211"/>
      <c r="B392" s="219" t="s">
        <v>1168</v>
      </c>
      <c r="C392" s="219" t="s">
        <v>1246</v>
      </c>
      <c r="D392" s="213">
        <v>89079.0</v>
      </c>
      <c r="E392" s="221" t="s">
        <v>794</v>
      </c>
      <c r="F392" s="219" t="s">
        <v>2051</v>
      </c>
      <c r="G392" s="215" t="s">
        <v>2052</v>
      </c>
      <c r="H392" s="222" t="s">
        <v>1935</v>
      </c>
      <c r="I392" s="217" t="str">
        <f t="array" ref="I392">IF(E392="", "", _xlfn.XLOOKUP(E392, 'GERAL ENVIOS'!C:C, 'GERAL ENVIOS'!K:K,"NAO ESTA NA PLANILHA"))</f>
        <v>Finalizado</v>
      </c>
    </row>
    <row r="393" ht="17.25" customHeight="1">
      <c r="A393" s="211"/>
      <c r="B393" s="219" t="s">
        <v>1168</v>
      </c>
      <c r="C393" s="219" t="s">
        <v>1123</v>
      </c>
      <c r="D393" s="213">
        <v>87380.0</v>
      </c>
      <c r="E393" s="221" t="s">
        <v>808</v>
      </c>
      <c r="F393" s="219" t="s">
        <v>2053</v>
      </c>
      <c r="G393" s="215" t="s">
        <v>2054</v>
      </c>
      <c r="H393" s="222" t="s">
        <v>1935</v>
      </c>
      <c r="I393" s="217" t="str">
        <f t="array" ref="I393">IF(E393="", "", _xlfn.XLOOKUP(E393, 'GERAL ENVIOS'!C:C, 'GERAL ENVIOS'!K:K,"NAO ESTA NA PLANILHA"))</f>
        <v>Finalizado</v>
      </c>
    </row>
    <row r="394" ht="17.25" customHeight="1">
      <c r="A394" s="211"/>
      <c r="B394" s="219" t="s">
        <v>1168</v>
      </c>
      <c r="C394" s="219" t="s">
        <v>1235</v>
      </c>
      <c r="D394" s="213">
        <v>89012.0</v>
      </c>
      <c r="E394" s="221" t="s">
        <v>808</v>
      </c>
      <c r="F394" s="219" t="s">
        <v>2055</v>
      </c>
      <c r="G394" s="215" t="s">
        <v>2056</v>
      </c>
      <c r="H394" s="222" t="s">
        <v>1935</v>
      </c>
      <c r="I394" s="217" t="str">
        <f t="array" ref="I394">IF(E394="", "", _xlfn.XLOOKUP(E394, 'GERAL ENVIOS'!C:C, 'GERAL ENVIOS'!K:K,"NAO ESTA NA PLANILHA"))</f>
        <v>Finalizado</v>
      </c>
    </row>
    <row r="395" ht="17.25" customHeight="1">
      <c r="A395" s="211"/>
      <c r="B395" s="219" t="s">
        <v>1437</v>
      </c>
      <c r="C395" s="219" t="s">
        <v>1235</v>
      </c>
      <c r="D395" s="213">
        <v>88658.0</v>
      </c>
      <c r="E395" s="221" t="s">
        <v>835</v>
      </c>
      <c r="F395" s="219" t="s">
        <v>2057</v>
      </c>
      <c r="G395" s="215" t="s">
        <v>2058</v>
      </c>
      <c r="H395" s="222" t="s">
        <v>1935</v>
      </c>
      <c r="I395" s="217" t="str">
        <f t="array" ref="I395">IF(E395="", "", _xlfn.XLOOKUP(E395, 'GERAL ENVIOS'!C:C, 'GERAL ENVIOS'!K:K,"NAO ESTA NA PLANILHA"))</f>
        <v>Finalizado</v>
      </c>
    </row>
    <row r="396" ht="17.25" customHeight="1">
      <c r="A396" s="211"/>
      <c r="B396" s="219" t="s">
        <v>1162</v>
      </c>
      <c r="C396" s="219" t="s">
        <v>1246</v>
      </c>
      <c r="D396" s="213">
        <v>82761.0</v>
      </c>
      <c r="E396" s="221" t="s">
        <v>2059</v>
      </c>
      <c r="F396" s="219" t="s">
        <v>2060</v>
      </c>
      <c r="G396" s="215" t="s">
        <v>2061</v>
      </c>
      <c r="H396" s="222" t="s">
        <v>1935</v>
      </c>
      <c r="I396" s="217" t="str">
        <f t="array" ref="I396">IF(E396="", "", _xlfn.XLOOKUP(E396, 'GERAL ENVIOS'!C:C, 'GERAL ENVIOS'!K:K,"NAO ESTA NA PLANILHA"))</f>
        <v>Aprovado</v>
      </c>
    </row>
    <row r="397" ht="17.25" customHeight="1">
      <c r="A397" s="211"/>
      <c r="B397" s="219" t="s">
        <v>1168</v>
      </c>
      <c r="C397" s="219" t="s">
        <v>1246</v>
      </c>
      <c r="D397" s="213">
        <v>88726.0</v>
      </c>
      <c r="E397" s="221" t="s">
        <v>859</v>
      </c>
      <c r="F397" s="219" t="s">
        <v>2062</v>
      </c>
      <c r="G397" s="215" t="s">
        <v>2063</v>
      </c>
      <c r="H397" s="222" t="s">
        <v>1935</v>
      </c>
      <c r="I397" s="217" t="str">
        <f t="array" ref="I397">IF(E397="", "", _xlfn.XLOOKUP(E397, 'GERAL ENVIOS'!C:C, 'GERAL ENVIOS'!K:K,"NAO ESTA NA PLANILHA"))</f>
        <v>Aguardando Aprovação</v>
      </c>
    </row>
    <row r="398" ht="17.25" customHeight="1">
      <c r="A398" s="211"/>
      <c r="B398" s="219" t="s">
        <v>1168</v>
      </c>
      <c r="C398" s="219" t="s">
        <v>1235</v>
      </c>
      <c r="D398" s="213">
        <v>87334.0</v>
      </c>
      <c r="E398" s="221" t="s">
        <v>875</v>
      </c>
      <c r="F398" s="219" t="s">
        <v>2064</v>
      </c>
      <c r="G398" s="215" t="s">
        <v>2065</v>
      </c>
      <c r="H398" s="222" t="s">
        <v>1935</v>
      </c>
      <c r="I398" s="217" t="str">
        <f t="array" ref="I398">IF(E398="", "", _xlfn.XLOOKUP(E398, 'GERAL ENVIOS'!C:C, 'GERAL ENVIOS'!K:K,"NAO ESTA NA PLANILHA"))</f>
        <v>Finalizado</v>
      </c>
    </row>
    <row r="399" ht="17.25" customHeight="1">
      <c r="A399" s="211"/>
      <c r="B399" s="219" t="s">
        <v>1168</v>
      </c>
      <c r="C399" s="219" t="s">
        <v>1163</v>
      </c>
      <c r="D399" s="213">
        <v>85771.0</v>
      </c>
      <c r="E399" s="221" t="s">
        <v>895</v>
      </c>
      <c r="F399" s="219" t="s">
        <v>2066</v>
      </c>
      <c r="G399" s="215" t="s">
        <v>2067</v>
      </c>
      <c r="H399" s="222" t="s">
        <v>1935</v>
      </c>
      <c r="I399" s="217" t="str">
        <f t="array" ref="I399">IF(E399="", "", _xlfn.XLOOKUP(E399, 'GERAL ENVIOS'!C:C, 'GERAL ENVIOS'!K:K,"NAO ESTA NA PLANILHA"))</f>
        <v>IMPRESSÃO</v>
      </c>
    </row>
    <row r="400" ht="17.25" customHeight="1">
      <c r="A400" s="211"/>
      <c r="B400" s="219" t="s">
        <v>1168</v>
      </c>
      <c r="C400" s="219" t="s">
        <v>1235</v>
      </c>
      <c r="D400" s="213">
        <v>88984.0</v>
      </c>
      <c r="E400" s="221" t="s">
        <v>2068</v>
      </c>
      <c r="F400" s="219" t="s">
        <v>2069</v>
      </c>
      <c r="G400" s="215" t="s">
        <v>2070</v>
      </c>
      <c r="H400" s="222" t="s">
        <v>1935</v>
      </c>
      <c r="I400" s="217" t="str">
        <f t="array" ref="I400">IF(E400="", "", _xlfn.XLOOKUP(E400, 'GERAL ENVIOS'!C:C, 'GERAL ENVIOS'!K:K,"NAO ESTA NA PLANILHA"))</f>
        <v>Finalizado</v>
      </c>
    </row>
    <row r="401" ht="17.25" customHeight="1">
      <c r="A401" s="211"/>
      <c r="B401" s="219" t="s">
        <v>1168</v>
      </c>
      <c r="C401" s="219" t="s">
        <v>1235</v>
      </c>
      <c r="D401" s="213">
        <v>70140.0</v>
      </c>
      <c r="E401" s="221" t="s">
        <v>977</v>
      </c>
      <c r="F401" s="219" t="s">
        <v>2071</v>
      </c>
      <c r="G401" s="215" t="s">
        <v>2072</v>
      </c>
      <c r="H401" s="222" t="s">
        <v>1935</v>
      </c>
      <c r="I401" s="217" t="str">
        <f t="array" ref="I401">IF(E401="", "", _xlfn.XLOOKUP(E401, 'GERAL ENVIOS'!C:C, 'GERAL ENVIOS'!K:K,"NAO ESTA NA PLANILHA"))</f>
        <v>Finalizado</v>
      </c>
    </row>
    <row r="402" ht="17.25" customHeight="1">
      <c r="A402" s="211"/>
      <c r="B402" s="219" t="s">
        <v>1168</v>
      </c>
      <c r="C402" s="219" t="s">
        <v>1235</v>
      </c>
      <c r="D402" s="213">
        <v>88189.0</v>
      </c>
      <c r="E402" s="221" t="s">
        <v>1003</v>
      </c>
      <c r="F402" s="219" t="s">
        <v>2073</v>
      </c>
      <c r="G402" s="215" t="s">
        <v>2074</v>
      </c>
      <c r="H402" s="222" t="s">
        <v>1935</v>
      </c>
      <c r="I402" s="217" t="str">
        <f t="array" ref="I402">IF(E402="", "", _xlfn.XLOOKUP(E402, 'GERAL ENVIOS'!C:C, 'GERAL ENVIOS'!K:K,"NAO ESTA NA PLANILHA"))</f>
        <v>Finalizado</v>
      </c>
    </row>
    <row r="403" ht="17.25" customHeight="1">
      <c r="A403" s="211"/>
      <c r="B403" s="219" t="s">
        <v>1330</v>
      </c>
      <c r="C403" s="219" t="s">
        <v>1179</v>
      </c>
      <c r="D403" s="213">
        <v>87996.0</v>
      </c>
      <c r="E403" s="221" t="s">
        <v>200</v>
      </c>
      <c r="F403" s="219" t="s">
        <v>2075</v>
      </c>
      <c r="G403" s="215" t="s">
        <v>2076</v>
      </c>
      <c r="H403" s="226" t="s">
        <v>2077</v>
      </c>
      <c r="I403" s="217" t="str">
        <f t="array" ref="I403">IF(E403="", "", _xlfn.XLOOKUP(E403, 'GERAL ENVIOS'!C:C, 'GERAL ENVIOS'!K:K,"NAO ESTA NA PLANILHA"))</f>
        <v>Aguardando Aprovação</v>
      </c>
    </row>
    <row r="404" ht="17.25" customHeight="1">
      <c r="A404" s="211"/>
      <c r="B404" s="219" t="s">
        <v>1168</v>
      </c>
      <c r="C404" s="219" t="s">
        <v>1163</v>
      </c>
      <c r="D404" s="213">
        <v>87486.0</v>
      </c>
      <c r="E404" s="221" t="s">
        <v>2078</v>
      </c>
      <c r="F404" s="219" t="s">
        <v>2079</v>
      </c>
      <c r="G404" s="215" t="s">
        <v>2080</v>
      </c>
      <c r="H404" s="226" t="s">
        <v>2077</v>
      </c>
      <c r="I404" s="217" t="str">
        <f t="array" ref="I404">IF(E404="", "", _xlfn.XLOOKUP(E404, 'GERAL ENVIOS'!C:C, 'GERAL ENVIOS'!K:K,"NAO ESTA NA PLANILHA"))</f>
        <v>NAO ESTA NA PLANILHA</v>
      </c>
    </row>
    <row r="405" ht="17.25" customHeight="1">
      <c r="A405" s="211"/>
      <c r="B405" s="219" t="s">
        <v>1168</v>
      </c>
      <c r="C405" s="219" t="s">
        <v>2081</v>
      </c>
      <c r="D405" s="213">
        <v>87610.0</v>
      </c>
      <c r="E405" s="221" t="s">
        <v>308</v>
      </c>
      <c r="F405" s="219" t="s">
        <v>2082</v>
      </c>
      <c r="G405" s="215" t="s">
        <v>2083</v>
      </c>
      <c r="H405" s="226" t="s">
        <v>2077</v>
      </c>
      <c r="I405" s="217" t="str">
        <f t="array" ref="I405">IF(E405="", "", _xlfn.XLOOKUP(E405, 'GERAL ENVIOS'!C:C, 'GERAL ENVIOS'!K:K,"NAO ESTA NA PLANILHA"))</f>
        <v>Finalizado</v>
      </c>
    </row>
    <row r="406" ht="17.25" customHeight="1">
      <c r="A406" s="211"/>
      <c r="B406" s="219" t="s">
        <v>1168</v>
      </c>
      <c r="C406" s="219" t="s">
        <v>1163</v>
      </c>
      <c r="D406" s="213">
        <v>88309.0</v>
      </c>
      <c r="E406" s="221" t="s">
        <v>2084</v>
      </c>
      <c r="F406" s="219" t="s">
        <v>2085</v>
      </c>
      <c r="G406" s="215" t="s">
        <v>2086</v>
      </c>
      <c r="H406" s="226" t="s">
        <v>2077</v>
      </c>
      <c r="I406" s="217" t="str">
        <f t="array" ref="I406">IF(E406="", "", _xlfn.XLOOKUP(E406, 'GERAL ENVIOS'!C:C, 'GERAL ENVIOS'!K:K,"NAO ESTA NA PLANILHA"))</f>
        <v>NAO ESTA NA PLANILHA</v>
      </c>
    </row>
    <row r="407" ht="17.25" customHeight="1">
      <c r="A407" s="211"/>
      <c r="B407" s="219" t="s">
        <v>1168</v>
      </c>
      <c r="C407" s="219" t="s">
        <v>1163</v>
      </c>
      <c r="D407" s="213">
        <v>86769.0</v>
      </c>
      <c r="E407" s="221" t="s">
        <v>2087</v>
      </c>
      <c r="F407" s="219" t="s">
        <v>2088</v>
      </c>
      <c r="G407" s="215" t="s">
        <v>2089</v>
      </c>
      <c r="H407" s="226" t="s">
        <v>2077</v>
      </c>
      <c r="I407" s="217" t="str">
        <f t="array" ref="I407">IF(E407="", "", _xlfn.XLOOKUP(E407, 'GERAL ENVIOS'!C:C, 'GERAL ENVIOS'!K:K,"NAO ESTA NA PLANILHA"))</f>
        <v>NAO ESTA NA PLANILHA</v>
      </c>
    </row>
    <row r="408" ht="17.25" customHeight="1">
      <c r="A408" s="211"/>
      <c r="B408" s="219" t="s">
        <v>1168</v>
      </c>
      <c r="C408" s="219" t="s">
        <v>1163</v>
      </c>
      <c r="D408" s="213">
        <v>84840.0</v>
      </c>
      <c r="E408" s="221" t="s">
        <v>2090</v>
      </c>
      <c r="F408" s="219" t="s">
        <v>2091</v>
      </c>
      <c r="G408" s="215" t="s">
        <v>2092</v>
      </c>
      <c r="H408" s="226" t="s">
        <v>2077</v>
      </c>
      <c r="I408" s="217" t="str">
        <f t="array" ref="I408">IF(E408="", "", _xlfn.XLOOKUP(E408, 'GERAL ENVIOS'!C:C, 'GERAL ENVIOS'!K:K,"NAO ESTA NA PLANILHA"))</f>
        <v>NAO ESTA NA PLANILHA</v>
      </c>
    </row>
    <row r="409" ht="17.25" customHeight="1">
      <c r="A409" s="211"/>
      <c r="B409" s="219" t="s">
        <v>1168</v>
      </c>
      <c r="C409" s="219" t="s">
        <v>1163</v>
      </c>
      <c r="D409" s="213">
        <v>75225.0</v>
      </c>
      <c r="E409" s="221" t="s">
        <v>2093</v>
      </c>
      <c r="F409" s="219" t="s">
        <v>2094</v>
      </c>
      <c r="G409" s="215" t="s">
        <v>2095</v>
      </c>
      <c r="H409" s="226" t="s">
        <v>2077</v>
      </c>
      <c r="I409" s="217" t="str">
        <f t="array" ref="I409">IF(E409="", "", _xlfn.XLOOKUP(E409, 'GERAL ENVIOS'!C:C, 'GERAL ENVIOS'!K:K,"NAO ESTA NA PLANILHA"))</f>
        <v>NAO ESTA NA PLANILHA</v>
      </c>
    </row>
    <row r="410" ht="17.25" customHeight="1">
      <c r="A410" s="211"/>
      <c r="B410" s="219" t="s">
        <v>1437</v>
      </c>
      <c r="C410" s="219" t="s">
        <v>1179</v>
      </c>
      <c r="D410" s="213">
        <v>79981.0</v>
      </c>
      <c r="E410" s="221" t="s">
        <v>2096</v>
      </c>
      <c r="F410" s="219" t="s">
        <v>2097</v>
      </c>
      <c r="G410" s="215" t="s">
        <v>2098</v>
      </c>
      <c r="H410" s="226" t="s">
        <v>2077</v>
      </c>
      <c r="I410" s="217" t="str">
        <f t="array" ref="I410">IF(E410="", "", _xlfn.XLOOKUP(E410, 'GERAL ENVIOS'!C:C, 'GERAL ENVIOS'!K:K,"NAO ESTA NA PLANILHA"))</f>
        <v>NAO ESTA NA PLANILHA</v>
      </c>
    </row>
    <row r="411" ht="17.25" customHeight="1">
      <c r="A411" s="211"/>
      <c r="B411" s="219" t="s">
        <v>1168</v>
      </c>
      <c r="C411" s="219" t="s">
        <v>1163</v>
      </c>
      <c r="D411" s="213">
        <v>81653.0</v>
      </c>
      <c r="E411" s="221" t="s">
        <v>2099</v>
      </c>
      <c r="F411" s="219" t="s">
        <v>2100</v>
      </c>
      <c r="G411" s="215" t="s">
        <v>2101</v>
      </c>
      <c r="H411" s="226" t="s">
        <v>2077</v>
      </c>
      <c r="I411" s="217" t="str">
        <f t="array" ref="I411">IF(E411="", "", _xlfn.XLOOKUP(E411, 'GERAL ENVIOS'!C:C, 'GERAL ENVIOS'!K:K,"NAO ESTA NA PLANILHA"))</f>
        <v>NAO ESTA NA PLANILHA</v>
      </c>
    </row>
    <row r="412" ht="17.25" customHeight="1">
      <c r="A412" s="211"/>
      <c r="B412" s="219" t="s">
        <v>1168</v>
      </c>
      <c r="C412" s="219" t="s">
        <v>1163</v>
      </c>
      <c r="D412" s="213">
        <v>86751.0</v>
      </c>
      <c r="E412" s="221" t="s">
        <v>2102</v>
      </c>
      <c r="F412" s="219" t="s">
        <v>2103</v>
      </c>
      <c r="G412" s="215" t="s">
        <v>2104</v>
      </c>
      <c r="H412" s="226" t="s">
        <v>2077</v>
      </c>
      <c r="I412" s="217" t="str">
        <f t="array" ref="I412">IF(E412="", "", _xlfn.XLOOKUP(E412, 'GERAL ENVIOS'!C:C, 'GERAL ENVIOS'!K:K,"NAO ESTA NA PLANILHA"))</f>
        <v>NAO ESTA NA PLANILHA</v>
      </c>
    </row>
    <row r="413" ht="17.25" customHeight="1">
      <c r="A413" s="211"/>
      <c r="B413" s="219" t="s">
        <v>1168</v>
      </c>
      <c r="C413" s="219" t="s">
        <v>1163</v>
      </c>
      <c r="D413" s="213">
        <v>86906.0</v>
      </c>
      <c r="E413" s="221" t="s">
        <v>2105</v>
      </c>
      <c r="F413" s="219" t="s">
        <v>2106</v>
      </c>
      <c r="G413" s="215" t="s">
        <v>2107</v>
      </c>
      <c r="H413" s="226" t="s">
        <v>2077</v>
      </c>
      <c r="I413" s="217" t="str">
        <f t="array" ref="I413">IF(E413="", "", _xlfn.XLOOKUP(E413, 'GERAL ENVIOS'!C:C, 'GERAL ENVIOS'!K:K,"NAO ESTA NA PLANILHA"))</f>
        <v>NAO ESTA NA PLANILHA</v>
      </c>
    </row>
    <row r="414" ht="17.25" customHeight="1">
      <c r="A414" s="211"/>
      <c r="B414" s="219" t="s">
        <v>1162</v>
      </c>
      <c r="C414" s="219" t="s">
        <v>1235</v>
      </c>
      <c r="D414" s="213">
        <v>86914.0</v>
      </c>
      <c r="E414" s="221" t="s">
        <v>660</v>
      </c>
      <c r="F414" s="219" t="s">
        <v>2108</v>
      </c>
      <c r="G414" s="215" t="s">
        <v>2109</v>
      </c>
      <c r="H414" s="226" t="s">
        <v>2077</v>
      </c>
      <c r="I414" s="217" t="str">
        <f t="array" ref="I414">IF(E414="", "", _xlfn.XLOOKUP(E414, 'GERAL ENVIOS'!C:C, 'GERAL ENVIOS'!K:K,"NAO ESTA NA PLANILHA"))</f>
        <v>Finalizado</v>
      </c>
    </row>
    <row r="415" ht="17.25" customHeight="1">
      <c r="A415" s="211"/>
      <c r="B415" s="219" t="s">
        <v>1168</v>
      </c>
      <c r="C415" s="219" t="s">
        <v>1163</v>
      </c>
      <c r="D415" s="213">
        <v>87461.0</v>
      </c>
      <c r="E415" s="221" t="s">
        <v>2110</v>
      </c>
      <c r="F415" s="219" t="s">
        <v>2111</v>
      </c>
      <c r="G415" s="215" t="s">
        <v>2112</v>
      </c>
      <c r="H415" s="226" t="s">
        <v>2077</v>
      </c>
      <c r="I415" s="217" t="str">
        <f t="array" ref="I415">IF(E415="", "", _xlfn.XLOOKUP(E415, 'GERAL ENVIOS'!C:C, 'GERAL ENVIOS'!K:K,"NAO ESTA NA PLANILHA"))</f>
        <v>NAO ESTA NA PLANILHA</v>
      </c>
    </row>
    <row r="416" ht="17.25" customHeight="1">
      <c r="A416" s="211"/>
      <c r="B416" s="219" t="s">
        <v>1168</v>
      </c>
      <c r="C416" s="219" t="s">
        <v>1163</v>
      </c>
      <c r="D416" s="213">
        <v>74026.0</v>
      </c>
      <c r="E416" s="221" t="s">
        <v>2113</v>
      </c>
      <c r="F416" s="219" t="s">
        <v>2114</v>
      </c>
      <c r="G416" s="215" t="s">
        <v>2115</v>
      </c>
      <c r="H416" s="226" t="s">
        <v>2077</v>
      </c>
      <c r="I416" s="217" t="str">
        <f t="array" ref="I416">IF(E416="", "", _xlfn.XLOOKUP(E416, 'GERAL ENVIOS'!C:C, 'GERAL ENVIOS'!K:K,"NAO ESTA NA PLANILHA"))</f>
        <v>NAO ESTA NA PLANILHA</v>
      </c>
    </row>
    <row r="417" ht="17.25" customHeight="1">
      <c r="A417" s="211"/>
      <c r="B417" s="219" t="s">
        <v>1168</v>
      </c>
      <c r="C417" s="219" t="s">
        <v>1163</v>
      </c>
      <c r="D417" s="213">
        <v>87729.0</v>
      </c>
      <c r="E417" s="221" t="s">
        <v>778</v>
      </c>
      <c r="F417" s="219" t="s">
        <v>2116</v>
      </c>
      <c r="G417" s="215" t="s">
        <v>2117</v>
      </c>
      <c r="H417" s="226" t="s">
        <v>2077</v>
      </c>
      <c r="I417" s="217" t="str">
        <f t="array" ref="I417">IF(E417="", "", _xlfn.XLOOKUP(E417, 'GERAL ENVIOS'!C:C, 'GERAL ENVIOS'!K:K,"NAO ESTA NA PLANILHA"))</f>
        <v>Aguardando Aprovação</v>
      </c>
    </row>
    <row r="418" ht="17.25" customHeight="1">
      <c r="A418" s="211"/>
      <c r="B418" s="219" t="s">
        <v>1162</v>
      </c>
      <c r="C418" s="219" t="s">
        <v>1163</v>
      </c>
      <c r="D418" s="213">
        <v>86867.0</v>
      </c>
      <c r="E418" s="221" t="s">
        <v>2118</v>
      </c>
      <c r="F418" s="219" t="s">
        <v>2119</v>
      </c>
      <c r="G418" s="215" t="s">
        <v>2120</v>
      </c>
      <c r="H418" s="226" t="s">
        <v>2077</v>
      </c>
      <c r="I418" s="217" t="str">
        <f t="array" ref="I418">IF(E418="", "", _xlfn.XLOOKUP(E418, 'GERAL ENVIOS'!C:C, 'GERAL ENVIOS'!K:K,"NAO ESTA NA PLANILHA"))</f>
        <v>NAO ESTA NA PLANILHA</v>
      </c>
    </row>
    <row r="419" ht="17.25" customHeight="1">
      <c r="A419" s="211"/>
      <c r="B419" s="219" t="s">
        <v>1162</v>
      </c>
      <c r="C419" s="219" t="s">
        <v>1163</v>
      </c>
      <c r="D419" s="213">
        <v>86749.0</v>
      </c>
      <c r="E419" s="221" t="s">
        <v>2121</v>
      </c>
      <c r="F419" s="219" t="s">
        <v>2122</v>
      </c>
      <c r="G419" s="215" t="s">
        <v>2123</v>
      </c>
      <c r="H419" s="226" t="s">
        <v>2077</v>
      </c>
      <c r="I419" s="217" t="str">
        <f t="array" ref="I419">IF(E419="", "", _xlfn.XLOOKUP(E419, 'GERAL ENVIOS'!C:C, 'GERAL ENVIOS'!K:K,"NAO ESTA NA PLANILHA"))</f>
        <v>NAO ESTA NA PLANILHA</v>
      </c>
    </row>
    <row r="420" ht="17.25" customHeight="1">
      <c r="A420" s="211"/>
      <c r="B420" s="219" t="s">
        <v>1168</v>
      </c>
      <c r="C420" s="219" t="s">
        <v>1163</v>
      </c>
      <c r="D420" s="213">
        <v>84837.0</v>
      </c>
      <c r="E420" s="221" t="s">
        <v>2124</v>
      </c>
      <c r="F420" s="219" t="s">
        <v>2125</v>
      </c>
      <c r="G420" s="215" t="s">
        <v>2126</v>
      </c>
      <c r="H420" s="226" t="s">
        <v>2077</v>
      </c>
      <c r="I420" s="217" t="str">
        <f t="array" ref="I420">IF(E420="", "", _xlfn.XLOOKUP(E420, 'GERAL ENVIOS'!C:C, 'GERAL ENVIOS'!K:K,"NAO ESTA NA PLANILHA"))</f>
        <v>NAO ESTA NA PLANILHA</v>
      </c>
    </row>
    <row r="421" ht="17.25" customHeight="1">
      <c r="A421" s="211"/>
      <c r="B421" s="219" t="s">
        <v>1178</v>
      </c>
      <c r="C421" s="219" t="s">
        <v>1235</v>
      </c>
      <c r="D421" s="213">
        <v>74456.0</v>
      </c>
      <c r="E421" s="221" t="s">
        <v>891</v>
      </c>
      <c r="F421" s="219" t="s">
        <v>2127</v>
      </c>
      <c r="G421" s="215" t="s">
        <v>2128</v>
      </c>
      <c r="H421" s="226" t="s">
        <v>2077</v>
      </c>
      <c r="I421" s="217" t="str">
        <f t="array" ref="I421">IF(E421="", "", _xlfn.XLOOKUP(E421, 'GERAL ENVIOS'!C:C, 'GERAL ENVIOS'!K:K,"NAO ESTA NA PLANILHA"))</f>
        <v>Finalizado</v>
      </c>
    </row>
    <row r="422" ht="17.25" customHeight="1">
      <c r="A422" s="211"/>
      <c r="B422" s="219" t="s">
        <v>1162</v>
      </c>
      <c r="C422" s="219" t="s">
        <v>1163</v>
      </c>
      <c r="D422" s="213">
        <v>73836.0</v>
      </c>
      <c r="E422" s="221" t="s">
        <v>893</v>
      </c>
      <c r="F422" s="219" t="s">
        <v>2129</v>
      </c>
      <c r="G422" s="215" t="s">
        <v>2130</v>
      </c>
      <c r="H422" s="226" t="s">
        <v>2077</v>
      </c>
      <c r="I422" s="217" t="str">
        <f t="array" ref="I422">IF(E422="", "", _xlfn.XLOOKUP(E422, 'GERAL ENVIOS'!C:C, 'GERAL ENVIOS'!K:K,"NAO ESTA NA PLANILHA"))</f>
        <v>Sem álbum</v>
      </c>
    </row>
    <row r="423" ht="17.25" customHeight="1">
      <c r="A423" s="211"/>
      <c r="B423" s="219" t="s">
        <v>1168</v>
      </c>
      <c r="C423" s="219" t="s">
        <v>1163</v>
      </c>
      <c r="D423" s="213">
        <v>86812.0</v>
      </c>
      <c r="E423" s="221" t="s">
        <v>2131</v>
      </c>
      <c r="F423" s="219" t="s">
        <v>2132</v>
      </c>
      <c r="G423" s="215" t="s">
        <v>2133</v>
      </c>
      <c r="H423" s="226" t="s">
        <v>2077</v>
      </c>
      <c r="I423" s="217" t="str">
        <f t="array" ref="I423">IF(E423="", "", _xlfn.XLOOKUP(E423, 'GERAL ENVIOS'!C:C, 'GERAL ENVIOS'!K:K,"NAO ESTA NA PLANILHA"))</f>
        <v>NAO ESTA NA PLANILHA</v>
      </c>
    </row>
    <row r="424" ht="17.25" customHeight="1">
      <c r="A424" s="211"/>
      <c r="B424" s="219" t="s">
        <v>1168</v>
      </c>
      <c r="C424" s="219" t="s">
        <v>1163</v>
      </c>
      <c r="D424" s="213">
        <v>87124.0</v>
      </c>
      <c r="E424" s="221" t="s">
        <v>2134</v>
      </c>
      <c r="F424" s="219" t="s">
        <v>2135</v>
      </c>
      <c r="G424" s="215" t="s">
        <v>2136</v>
      </c>
      <c r="H424" s="226" t="s">
        <v>2077</v>
      </c>
      <c r="I424" s="217" t="str">
        <f t="array" ref="I424">IF(E424="", "", _xlfn.XLOOKUP(E424, 'GERAL ENVIOS'!C:C, 'GERAL ENVIOS'!K:K,"NAO ESTA NA PLANILHA"))</f>
        <v>NAO ESTA NA PLANILHA</v>
      </c>
    </row>
    <row r="425" ht="17.25" customHeight="1">
      <c r="A425" s="211"/>
      <c r="B425" s="219" t="s">
        <v>1162</v>
      </c>
      <c r="C425" s="219" t="s">
        <v>1163</v>
      </c>
      <c r="D425" s="213">
        <v>86814.0</v>
      </c>
      <c r="E425" s="221" t="s">
        <v>2137</v>
      </c>
      <c r="F425" s="219" t="s">
        <v>2138</v>
      </c>
      <c r="G425" s="215" t="s">
        <v>2139</v>
      </c>
      <c r="H425" s="226" t="s">
        <v>2077</v>
      </c>
      <c r="I425" s="217" t="str">
        <f t="array" ref="I425">IF(E425="", "", _xlfn.XLOOKUP(E425, 'GERAL ENVIOS'!C:C, 'GERAL ENVIOS'!K:K,"NAO ESTA NA PLANILHA"))</f>
        <v>NAO ESTA NA PLANILHA</v>
      </c>
    </row>
    <row r="426" ht="17.25" customHeight="1">
      <c r="A426" s="211"/>
      <c r="B426" s="219" t="s">
        <v>1162</v>
      </c>
      <c r="C426" s="219" t="s">
        <v>1163</v>
      </c>
      <c r="D426" s="213">
        <v>87622.0</v>
      </c>
      <c r="E426" s="221" t="s">
        <v>2140</v>
      </c>
      <c r="F426" s="219" t="s">
        <v>2141</v>
      </c>
      <c r="G426" s="215" t="s">
        <v>2142</v>
      </c>
      <c r="H426" s="226" t="s">
        <v>2077</v>
      </c>
      <c r="I426" s="217" t="str">
        <f t="array" ref="I426">IF(E426="", "", _xlfn.XLOOKUP(E426, 'GERAL ENVIOS'!C:C, 'GERAL ENVIOS'!K:K,"NAO ESTA NA PLANILHA"))</f>
        <v>NAO ESTA NA PLANILHA</v>
      </c>
    </row>
    <row r="427" ht="17.25" customHeight="1">
      <c r="A427" s="211"/>
      <c r="B427" s="219" t="s">
        <v>1168</v>
      </c>
      <c r="C427" s="219" t="s">
        <v>1163</v>
      </c>
      <c r="D427" s="213">
        <v>86373.0</v>
      </c>
      <c r="E427" s="221" t="s">
        <v>933</v>
      </c>
      <c r="F427" s="219" t="s">
        <v>2143</v>
      </c>
      <c r="G427" s="215" t="s">
        <v>2144</v>
      </c>
      <c r="H427" s="226" t="s">
        <v>2077</v>
      </c>
      <c r="I427" s="217" t="str">
        <f t="array" ref="I427">IF(E427="", "", _xlfn.XLOOKUP(E427, 'GERAL ENVIOS'!C:C, 'GERAL ENVIOS'!K:K,"NAO ESTA NA PLANILHA"))</f>
        <v>Aguardando Aprovação</v>
      </c>
    </row>
    <row r="428" ht="17.25" customHeight="1">
      <c r="A428" s="211"/>
      <c r="B428" s="219" t="s">
        <v>1168</v>
      </c>
      <c r="C428" s="219" t="s">
        <v>1163</v>
      </c>
      <c r="D428" s="213">
        <v>87521.0</v>
      </c>
      <c r="E428" s="221" t="s">
        <v>2145</v>
      </c>
      <c r="F428" s="219" t="s">
        <v>2146</v>
      </c>
      <c r="G428" s="215" t="s">
        <v>2147</v>
      </c>
      <c r="H428" s="226" t="s">
        <v>2077</v>
      </c>
      <c r="I428" s="217" t="str">
        <f t="array" ref="I428">IF(E428="", "", _xlfn.XLOOKUP(E428, 'GERAL ENVIOS'!C:C, 'GERAL ENVIOS'!K:K,"NAO ESTA NA PLANILHA"))</f>
        <v>NAO ESTA NA PLANILHA</v>
      </c>
    </row>
    <row r="429" ht="17.25" customHeight="1">
      <c r="A429" s="211"/>
      <c r="B429" s="219" t="s">
        <v>1168</v>
      </c>
      <c r="C429" s="227" t="s">
        <v>1163</v>
      </c>
      <c r="D429" s="213">
        <v>73597.0</v>
      </c>
      <c r="E429" s="221" t="s">
        <v>51</v>
      </c>
      <c r="F429" s="219" t="s">
        <v>2148</v>
      </c>
      <c r="G429" s="215" t="s">
        <v>2149</v>
      </c>
      <c r="H429" s="226" t="s">
        <v>2077</v>
      </c>
      <c r="I429" s="217" t="str">
        <f t="array" ref="I429">IF(E429="", "", _xlfn.XLOOKUP(E429, 'GERAL ENVIOS'!C:C, 'GERAL ENVIOS'!K:K,"NAO ESTA NA PLANILHA"))</f>
        <v>Finalizado</v>
      </c>
    </row>
    <row r="430" ht="17.25" customHeight="1">
      <c r="A430" s="211"/>
      <c r="B430" s="219" t="s">
        <v>1330</v>
      </c>
      <c r="C430" s="227" t="s">
        <v>1246</v>
      </c>
      <c r="D430" s="213">
        <v>77138.0</v>
      </c>
      <c r="E430" s="221" t="s">
        <v>130</v>
      </c>
      <c r="F430" s="219" t="s">
        <v>2150</v>
      </c>
      <c r="G430" s="215" t="s">
        <v>2151</v>
      </c>
      <c r="H430" s="226" t="s">
        <v>2077</v>
      </c>
      <c r="I430" s="217" t="str">
        <f t="array" ref="I430">IF(E430="", "", _xlfn.XLOOKUP(E430, 'GERAL ENVIOS'!C:C, 'GERAL ENVIOS'!K:K,"NAO ESTA NA PLANILHA"))</f>
        <v>IMPRESSÃO</v>
      </c>
    </row>
    <row r="431" ht="17.25" customHeight="1">
      <c r="A431" s="211"/>
      <c r="B431" s="219" t="s">
        <v>1168</v>
      </c>
      <c r="C431" s="227" t="s">
        <v>1163</v>
      </c>
      <c r="D431" s="213">
        <v>86778.0</v>
      </c>
      <c r="E431" s="221" t="s">
        <v>133</v>
      </c>
      <c r="F431" s="219" t="s">
        <v>2152</v>
      </c>
      <c r="G431" s="215" t="s">
        <v>2153</v>
      </c>
      <c r="H431" s="226" t="s">
        <v>2077</v>
      </c>
      <c r="I431" s="217" t="str">
        <f t="array" ref="I431">IF(E431="", "", _xlfn.XLOOKUP(E431, 'GERAL ENVIOS'!C:C, 'GERAL ENVIOS'!K:K,"NAO ESTA NA PLANILHA"))</f>
        <v>Aguardando Aprovação</v>
      </c>
    </row>
    <row r="432" ht="17.25" customHeight="1">
      <c r="A432" s="211"/>
      <c r="B432" s="219" t="s">
        <v>1162</v>
      </c>
      <c r="C432" s="219" t="s">
        <v>2154</v>
      </c>
      <c r="D432" s="213">
        <v>79477.0</v>
      </c>
      <c r="E432" s="221" t="s">
        <v>145</v>
      </c>
      <c r="F432" s="219" t="s">
        <v>2155</v>
      </c>
      <c r="G432" s="215" t="s">
        <v>2156</v>
      </c>
      <c r="H432" s="226" t="s">
        <v>2077</v>
      </c>
      <c r="I432" s="217" t="str">
        <f t="array" ref="I432">IF(E432="", "", _xlfn.XLOOKUP(E432, 'GERAL ENVIOS'!C:C, 'GERAL ENVIOS'!K:K,"NAO ESTA NA PLANILHA"))</f>
        <v>Finalizado</v>
      </c>
    </row>
    <row r="433" ht="17.25" customHeight="1">
      <c r="A433" s="211"/>
      <c r="B433" s="219" t="s">
        <v>1168</v>
      </c>
      <c r="C433" s="219" t="s">
        <v>1235</v>
      </c>
      <c r="D433" s="213">
        <v>80929.0</v>
      </c>
      <c r="E433" s="221" t="s">
        <v>202</v>
      </c>
      <c r="F433" s="219" t="s">
        <v>2157</v>
      </c>
      <c r="G433" s="215" t="s">
        <v>2158</v>
      </c>
      <c r="H433" s="226" t="s">
        <v>2077</v>
      </c>
      <c r="I433" s="217" t="str">
        <f t="array" ref="I433">IF(E433="", "", _xlfn.XLOOKUP(E433, 'GERAL ENVIOS'!C:C, 'GERAL ENVIOS'!K:K,"NAO ESTA NA PLANILHA"))</f>
        <v>Finalizado</v>
      </c>
    </row>
    <row r="434" ht="17.25" customHeight="1">
      <c r="A434" s="211"/>
      <c r="B434" s="219" t="s">
        <v>1168</v>
      </c>
      <c r="C434" s="219" t="s">
        <v>1163</v>
      </c>
      <c r="D434" s="213">
        <v>87476.0</v>
      </c>
      <c r="E434" s="221" t="s">
        <v>225</v>
      </c>
      <c r="F434" s="219" t="s">
        <v>2159</v>
      </c>
      <c r="G434" s="215" t="s">
        <v>2160</v>
      </c>
      <c r="H434" s="226" t="s">
        <v>2077</v>
      </c>
      <c r="I434" s="217" t="str">
        <f t="array" ref="I434">IF(E434="", "", _xlfn.XLOOKUP(E434, 'GERAL ENVIOS'!C:C, 'GERAL ENVIOS'!K:K,"NAO ESTA NA PLANILHA"))</f>
        <v>Finalizado</v>
      </c>
    </row>
    <row r="435" ht="17.25" customHeight="1">
      <c r="A435" s="211"/>
      <c r="B435" s="219" t="s">
        <v>1168</v>
      </c>
      <c r="C435" s="219" t="s">
        <v>1235</v>
      </c>
      <c r="D435" s="213">
        <v>86842.0</v>
      </c>
      <c r="E435" s="221" t="s">
        <v>227</v>
      </c>
      <c r="F435" s="219" t="s">
        <v>2161</v>
      </c>
      <c r="G435" s="215" t="s">
        <v>2162</v>
      </c>
      <c r="H435" s="226" t="s">
        <v>2077</v>
      </c>
      <c r="I435" s="217" t="str">
        <f t="array" ref="I435">IF(E435="", "", _xlfn.XLOOKUP(E435, 'GERAL ENVIOS'!C:C, 'GERAL ENVIOS'!K:K,"NAO ESTA NA PLANILHA"))</f>
        <v>Finalizado</v>
      </c>
    </row>
    <row r="436" ht="17.25" customHeight="1">
      <c r="A436" s="211"/>
      <c r="B436" s="219" t="s">
        <v>1168</v>
      </c>
      <c r="C436" s="219" t="s">
        <v>2154</v>
      </c>
      <c r="D436" s="213">
        <v>86643.0</v>
      </c>
      <c r="E436" s="221" t="s">
        <v>229</v>
      </c>
      <c r="F436" s="219" t="s">
        <v>2163</v>
      </c>
      <c r="G436" s="215" t="s">
        <v>2164</v>
      </c>
      <c r="H436" s="226" t="s">
        <v>2077</v>
      </c>
      <c r="I436" s="217" t="str">
        <f t="array" ref="I436">IF(E436="", "", _xlfn.XLOOKUP(E436, 'GERAL ENVIOS'!C:C, 'GERAL ENVIOS'!K:K,"NAO ESTA NA PLANILHA"))</f>
        <v>Finalizado</v>
      </c>
    </row>
    <row r="437" ht="17.25" customHeight="1">
      <c r="A437" s="211"/>
      <c r="B437" s="219" t="s">
        <v>1168</v>
      </c>
      <c r="C437" s="219" t="s">
        <v>2165</v>
      </c>
      <c r="D437" s="213">
        <v>88426.0</v>
      </c>
      <c r="E437" s="221" t="s">
        <v>257</v>
      </c>
      <c r="F437" s="219" t="s">
        <v>2166</v>
      </c>
      <c r="G437" s="215" t="s">
        <v>2167</v>
      </c>
      <c r="H437" s="226" t="s">
        <v>2077</v>
      </c>
      <c r="I437" s="217" t="str">
        <f t="array" ref="I437">IF(E437="", "", _xlfn.XLOOKUP(E437, 'GERAL ENVIOS'!C:C, 'GERAL ENVIOS'!K:K,"NAO ESTA NA PLANILHA"))</f>
        <v>Finalizado</v>
      </c>
    </row>
    <row r="438" ht="17.25" customHeight="1">
      <c r="A438" s="211"/>
      <c r="B438" s="219" t="s">
        <v>1178</v>
      </c>
      <c r="C438" s="219" t="s">
        <v>1179</v>
      </c>
      <c r="D438" s="213">
        <v>89860.0</v>
      </c>
      <c r="E438" s="221" t="s">
        <v>265</v>
      </c>
      <c r="F438" s="219" t="s">
        <v>2168</v>
      </c>
      <c r="G438" s="215" t="s">
        <v>2169</v>
      </c>
      <c r="H438" s="226" t="s">
        <v>2077</v>
      </c>
      <c r="I438" s="217" t="str">
        <f t="array" ref="I438">IF(E438="", "", _xlfn.XLOOKUP(E438, 'GERAL ENVIOS'!C:C, 'GERAL ENVIOS'!K:K,"NAO ESTA NA PLANILHA"))</f>
        <v>Finalizado</v>
      </c>
    </row>
    <row r="439" ht="17.25" customHeight="1">
      <c r="A439" s="211"/>
      <c r="B439" s="219" t="s">
        <v>1168</v>
      </c>
      <c r="C439" s="219" t="s">
        <v>1426</v>
      </c>
      <c r="D439" s="213">
        <v>79479.0</v>
      </c>
      <c r="E439" s="221" t="s">
        <v>325</v>
      </c>
      <c r="F439" s="219" t="s">
        <v>2170</v>
      </c>
      <c r="G439" s="215" t="s">
        <v>2171</v>
      </c>
      <c r="H439" s="226" t="s">
        <v>2077</v>
      </c>
      <c r="I439" s="217" t="str">
        <f t="array" ref="I439">IF(E439="", "", _xlfn.XLOOKUP(E439, 'GERAL ENVIOS'!C:C, 'GERAL ENVIOS'!K:K,"NAO ESTA NA PLANILHA"))</f>
        <v>Finalizado</v>
      </c>
    </row>
    <row r="440" ht="17.25" customHeight="1">
      <c r="A440" s="211"/>
      <c r="B440" s="219" t="s">
        <v>1168</v>
      </c>
      <c r="C440" s="219" t="s">
        <v>14</v>
      </c>
      <c r="D440" s="213">
        <v>76559.0</v>
      </c>
      <c r="E440" s="221" t="s">
        <v>362</v>
      </c>
      <c r="F440" s="219" t="s">
        <v>2172</v>
      </c>
      <c r="G440" s="215" t="s">
        <v>2173</v>
      </c>
      <c r="H440" s="226" t="s">
        <v>2077</v>
      </c>
      <c r="I440" s="217" t="str">
        <f t="array" ref="I440">IF(E440="", "", _xlfn.XLOOKUP(E440, 'GERAL ENVIOS'!C:C, 'GERAL ENVIOS'!K:K,"NAO ESTA NA PLANILHA"))</f>
        <v>Finalizado</v>
      </c>
    </row>
    <row r="441" ht="17.25" customHeight="1">
      <c r="A441" s="211"/>
      <c r="B441" s="219" t="s">
        <v>1168</v>
      </c>
      <c r="C441" s="219" t="s">
        <v>1163</v>
      </c>
      <c r="D441" s="213">
        <v>86272.0</v>
      </c>
      <c r="E441" s="221" t="s">
        <v>382</v>
      </c>
      <c r="F441" s="219" t="s">
        <v>2174</v>
      </c>
      <c r="G441" s="215" t="s">
        <v>2175</v>
      </c>
      <c r="H441" s="226" t="s">
        <v>2077</v>
      </c>
      <c r="I441" s="217" t="str">
        <f t="array" ref="I441">IF(E441="", "", _xlfn.XLOOKUP(E441, 'GERAL ENVIOS'!C:C, 'GERAL ENVIOS'!K:K,"NAO ESTA NA PLANILHA"))</f>
        <v>Finalizado</v>
      </c>
    </row>
    <row r="442" ht="17.25" customHeight="1">
      <c r="A442" s="211"/>
      <c r="B442" s="219" t="s">
        <v>1437</v>
      </c>
      <c r="C442" s="219" t="s">
        <v>2176</v>
      </c>
      <c r="D442" s="213">
        <v>88418.0</v>
      </c>
      <c r="E442" s="221" t="s">
        <v>396</v>
      </c>
      <c r="F442" s="219" t="s">
        <v>2177</v>
      </c>
      <c r="G442" s="215" t="s">
        <v>2178</v>
      </c>
      <c r="H442" s="226" t="s">
        <v>2077</v>
      </c>
      <c r="I442" s="217" t="str">
        <f t="array" ref="I442">IF(E442="", "", _xlfn.XLOOKUP(E442, 'GERAL ENVIOS'!C:C, 'GERAL ENVIOS'!K:K,"NAO ESTA NA PLANILHA"))</f>
        <v>Finalizado</v>
      </c>
    </row>
    <row r="443" ht="17.25" customHeight="1">
      <c r="A443" s="211"/>
      <c r="B443" s="219" t="s">
        <v>1168</v>
      </c>
      <c r="C443" s="219" t="s">
        <v>2179</v>
      </c>
      <c r="D443" s="213">
        <v>84827.0</v>
      </c>
      <c r="E443" s="221" t="s">
        <v>433</v>
      </c>
      <c r="F443" s="219" t="s">
        <v>2180</v>
      </c>
      <c r="G443" s="215" t="s">
        <v>2181</v>
      </c>
      <c r="H443" s="226" t="s">
        <v>2077</v>
      </c>
      <c r="I443" s="217" t="str">
        <f t="array" ref="I443">IF(E443="", "", _xlfn.XLOOKUP(E443, 'GERAL ENVIOS'!C:C, 'GERAL ENVIOS'!K:K,"NAO ESTA NA PLANILHA"))</f>
        <v>Finalizado</v>
      </c>
    </row>
    <row r="444" ht="17.25" customHeight="1">
      <c r="A444" s="211"/>
      <c r="B444" s="219" t="s">
        <v>1168</v>
      </c>
      <c r="C444" s="219" t="s">
        <v>1163</v>
      </c>
      <c r="D444" s="213">
        <v>84984.0</v>
      </c>
      <c r="E444" s="221" t="s">
        <v>435</v>
      </c>
      <c r="F444" s="219" t="s">
        <v>2182</v>
      </c>
      <c r="G444" s="215" t="s">
        <v>2183</v>
      </c>
      <c r="H444" s="226" t="s">
        <v>2077</v>
      </c>
      <c r="I444" s="217" t="str">
        <f t="array" ref="I444">IF(E444="", "", _xlfn.XLOOKUP(E444, 'GERAL ENVIOS'!C:C, 'GERAL ENVIOS'!K:K,"NAO ESTA NA PLANILHA"))</f>
        <v>Aguardando Aprovação</v>
      </c>
    </row>
    <row r="445" ht="17.25" customHeight="1">
      <c r="A445" s="211"/>
      <c r="B445" s="219" t="s">
        <v>1168</v>
      </c>
      <c r="C445" s="219" t="s">
        <v>1246</v>
      </c>
      <c r="D445" s="213">
        <v>86474.0</v>
      </c>
      <c r="E445" s="221" t="s">
        <v>443</v>
      </c>
      <c r="F445" s="219" t="s">
        <v>2184</v>
      </c>
      <c r="G445" s="215" t="s">
        <v>2185</v>
      </c>
      <c r="H445" s="226" t="s">
        <v>2077</v>
      </c>
      <c r="I445" s="217" t="str">
        <f t="array" ref="I445">IF(E445="", "", _xlfn.XLOOKUP(E445, 'GERAL ENVIOS'!C:C, 'GERAL ENVIOS'!K:K,"NAO ESTA NA PLANILHA"))</f>
        <v>Finalizado</v>
      </c>
    </row>
    <row r="446" ht="17.25" customHeight="1">
      <c r="A446" s="211"/>
      <c r="B446" s="219" t="s">
        <v>1168</v>
      </c>
      <c r="C446" s="219" t="s">
        <v>1235</v>
      </c>
      <c r="D446" s="213">
        <v>85655.0</v>
      </c>
      <c r="E446" s="221" t="s">
        <v>451</v>
      </c>
      <c r="F446" s="219" t="s">
        <v>2186</v>
      </c>
      <c r="G446" s="215" t="s">
        <v>2187</v>
      </c>
      <c r="H446" s="226" t="s">
        <v>2077</v>
      </c>
      <c r="I446" s="217" t="str">
        <f t="array" ref="I446">IF(E446="", "", _xlfn.XLOOKUP(E446, 'GERAL ENVIOS'!C:C, 'GERAL ENVIOS'!K:K,"NAO ESTA NA PLANILHA"))</f>
        <v>Finalizado</v>
      </c>
    </row>
    <row r="447" ht="17.25" customHeight="1">
      <c r="A447" s="211"/>
      <c r="B447" s="219" t="s">
        <v>1168</v>
      </c>
      <c r="C447" s="219" t="s">
        <v>1434</v>
      </c>
      <c r="D447" s="213">
        <v>86700.0</v>
      </c>
      <c r="E447" s="221" t="s">
        <v>455</v>
      </c>
      <c r="F447" s="219" t="s">
        <v>2188</v>
      </c>
      <c r="G447" s="215" t="s">
        <v>2189</v>
      </c>
      <c r="H447" s="226" t="s">
        <v>2077</v>
      </c>
      <c r="I447" s="217" t="str">
        <f t="array" ref="I447">IF(E447="", "", _xlfn.XLOOKUP(E447, 'GERAL ENVIOS'!C:C, 'GERAL ENVIOS'!K:K,"NAO ESTA NA PLANILHA"))</f>
        <v>Aguardando Aprovação</v>
      </c>
    </row>
    <row r="448" ht="17.25" customHeight="1">
      <c r="A448" s="211"/>
      <c r="B448" s="219" t="s">
        <v>1168</v>
      </c>
      <c r="C448" s="219" t="s">
        <v>1246</v>
      </c>
      <c r="D448" s="213">
        <v>86719.0</v>
      </c>
      <c r="E448" s="221" t="s">
        <v>482</v>
      </c>
      <c r="F448" s="219" t="s">
        <v>2190</v>
      </c>
      <c r="G448" s="215" t="s">
        <v>2191</v>
      </c>
      <c r="H448" s="226" t="s">
        <v>2077</v>
      </c>
      <c r="I448" s="217" t="str">
        <f t="array" ref="I448">IF(E448="", "", _xlfn.XLOOKUP(E448, 'GERAL ENVIOS'!C:C, 'GERAL ENVIOS'!K:K,"NAO ESTA NA PLANILHA"))</f>
        <v>Com Modificações</v>
      </c>
    </row>
    <row r="449" ht="17.25" customHeight="1">
      <c r="A449" s="211"/>
      <c r="B449" s="219" t="s">
        <v>1168</v>
      </c>
      <c r="C449" s="219" t="s">
        <v>1235</v>
      </c>
      <c r="D449" s="213">
        <v>88197.0</v>
      </c>
      <c r="E449" s="221" t="s">
        <v>518</v>
      </c>
      <c r="F449" s="219" t="s">
        <v>2192</v>
      </c>
      <c r="G449" s="215" t="s">
        <v>2193</v>
      </c>
      <c r="H449" s="226" t="s">
        <v>2077</v>
      </c>
      <c r="I449" s="217" t="str">
        <f t="array" ref="I449">IF(E449="", "", _xlfn.XLOOKUP(E449, 'GERAL ENVIOS'!C:C, 'GERAL ENVIOS'!K:K,"NAO ESTA NA PLANILHA"))</f>
        <v>Finalizado</v>
      </c>
    </row>
    <row r="450" ht="17.25" customHeight="1">
      <c r="A450" s="211"/>
      <c r="B450" s="219" t="s">
        <v>1162</v>
      </c>
      <c r="C450" s="219" t="s">
        <v>1246</v>
      </c>
      <c r="D450" s="213">
        <v>74792.0</v>
      </c>
      <c r="E450" s="221" t="s">
        <v>520</v>
      </c>
      <c r="F450" s="219" t="s">
        <v>2194</v>
      </c>
      <c r="G450" s="215" t="s">
        <v>2195</v>
      </c>
      <c r="H450" s="226" t="s">
        <v>2077</v>
      </c>
      <c r="I450" s="217" t="str">
        <f t="array" ref="I450">IF(E450="", "", _xlfn.XLOOKUP(E450, 'GERAL ENVIOS'!C:C, 'GERAL ENVIOS'!K:K,"NAO ESTA NA PLANILHA"))</f>
        <v>Finalizado</v>
      </c>
    </row>
    <row r="451" ht="17.25" customHeight="1">
      <c r="A451" s="211"/>
      <c r="B451" s="219" t="s">
        <v>1168</v>
      </c>
      <c r="C451" s="219" t="s">
        <v>1123</v>
      </c>
      <c r="D451" s="213">
        <v>75514.0</v>
      </c>
      <c r="E451" s="221" t="s">
        <v>544</v>
      </c>
      <c r="F451" s="219" t="s">
        <v>2196</v>
      </c>
      <c r="G451" s="215" t="s">
        <v>2197</v>
      </c>
      <c r="H451" s="226" t="s">
        <v>2077</v>
      </c>
      <c r="I451" s="217" t="str">
        <f t="array" ref="I451">IF(E451="", "", _xlfn.XLOOKUP(E451, 'GERAL ENVIOS'!C:C, 'GERAL ENVIOS'!K:K,"NAO ESTA NA PLANILHA"))</f>
        <v>Finalizado</v>
      </c>
    </row>
    <row r="452" ht="17.25" customHeight="1">
      <c r="A452" s="211"/>
      <c r="B452" s="219" t="s">
        <v>1162</v>
      </c>
      <c r="C452" s="219" t="s">
        <v>1163</v>
      </c>
      <c r="D452" s="213">
        <v>86865.0</v>
      </c>
      <c r="E452" s="221" t="s">
        <v>556</v>
      </c>
      <c r="F452" s="219" t="s">
        <v>2198</v>
      </c>
      <c r="G452" s="215" t="s">
        <v>2199</v>
      </c>
      <c r="H452" s="226" t="s">
        <v>2077</v>
      </c>
      <c r="I452" s="217" t="str">
        <f t="array" ref="I452">IF(E452="", "", _xlfn.XLOOKUP(E452, 'GERAL ENVIOS'!C:C, 'GERAL ENVIOS'!K:K,"NAO ESTA NA PLANILHA"))</f>
        <v>Finalizado</v>
      </c>
    </row>
    <row r="453" ht="17.25" customHeight="1">
      <c r="A453" s="211"/>
      <c r="B453" s="219" t="s">
        <v>1168</v>
      </c>
      <c r="C453" s="219" t="s">
        <v>1235</v>
      </c>
      <c r="D453" s="213">
        <v>84564.0</v>
      </c>
      <c r="E453" s="221" t="s">
        <v>560</v>
      </c>
      <c r="F453" s="219" t="s">
        <v>2200</v>
      </c>
      <c r="G453" s="215" t="s">
        <v>2201</v>
      </c>
      <c r="H453" s="226" t="s">
        <v>2077</v>
      </c>
      <c r="I453" s="217" t="str">
        <f t="array" ref="I453">IF(E453="", "", _xlfn.XLOOKUP(E453, 'GERAL ENVIOS'!C:C, 'GERAL ENVIOS'!K:K,"NAO ESTA NA PLANILHA"))</f>
        <v>Finalizado</v>
      </c>
    </row>
    <row r="454" ht="17.25" customHeight="1">
      <c r="A454" s="211"/>
      <c r="B454" s="219" t="s">
        <v>1168</v>
      </c>
      <c r="C454" s="219" t="s">
        <v>1163</v>
      </c>
      <c r="D454" s="213">
        <v>79738.0</v>
      </c>
      <c r="E454" s="221" t="s">
        <v>592</v>
      </c>
      <c r="F454" s="219" t="s">
        <v>2202</v>
      </c>
      <c r="G454" s="215" t="s">
        <v>2203</v>
      </c>
      <c r="H454" s="226" t="s">
        <v>2077</v>
      </c>
      <c r="I454" s="217" t="str">
        <f t="array" ref="I454">IF(E454="", "", _xlfn.XLOOKUP(E454, 'GERAL ENVIOS'!C:C, 'GERAL ENVIOS'!K:K,"NAO ESTA NA PLANILHA"))</f>
        <v>Finalizado</v>
      </c>
    </row>
    <row r="455" ht="17.25" customHeight="1">
      <c r="A455" s="211"/>
      <c r="B455" s="219" t="s">
        <v>1484</v>
      </c>
      <c r="C455" s="219" t="s">
        <v>1179</v>
      </c>
      <c r="D455" s="213">
        <v>88849.0</v>
      </c>
      <c r="E455" s="221" t="s">
        <v>606</v>
      </c>
      <c r="F455" s="219" t="s">
        <v>2204</v>
      </c>
      <c r="G455" s="215" t="s">
        <v>2205</v>
      </c>
      <c r="H455" s="226" t="s">
        <v>2077</v>
      </c>
      <c r="I455" s="217" t="str">
        <f t="array" ref="I455">IF(E455="", "", _xlfn.XLOOKUP(E455, 'GERAL ENVIOS'!C:C, 'GERAL ENVIOS'!K:K,"NAO ESTA NA PLANILHA"))</f>
        <v>Finalizado</v>
      </c>
    </row>
    <row r="456" ht="17.25" customHeight="1">
      <c r="A456" s="211"/>
      <c r="B456" s="219" t="s">
        <v>1168</v>
      </c>
      <c r="C456" s="219" t="s">
        <v>1163</v>
      </c>
      <c r="D456" s="213">
        <v>73805.0</v>
      </c>
      <c r="E456" s="221" t="s">
        <v>685</v>
      </c>
      <c r="F456" s="219" t="s">
        <v>2206</v>
      </c>
      <c r="G456" s="215" t="s">
        <v>2207</v>
      </c>
      <c r="H456" s="226" t="s">
        <v>2077</v>
      </c>
      <c r="I456" s="217" t="str">
        <f t="array" ref="I456">IF(E456="", "", _xlfn.XLOOKUP(E456, 'GERAL ENVIOS'!C:C, 'GERAL ENVIOS'!K:K,"NAO ESTA NA PLANILHA"))</f>
        <v>Finalizado</v>
      </c>
    </row>
    <row r="457" ht="17.25" customHeight="1">
      <c r="A457" s="211"/>
      <c r="B457" s="219" t="s">
        <v>1168</v>
      </c>
      <c r="C457" s="219" t="s">
        <v>1409</v>
      </c>
      <c r="D457" s="213">
        <v>88294.0</v>
      </c>
      <c r="E457" s="221" t="s">
        <v>2208</v>
      </c>
      <c r="F457" s="219" t="s">
        <v>2209</v>
      </c>
      <c r="G457" s="215" t="s">
        <v>2210</v>
      </c>
      <c r="H457" s="226" t="s">
        <v>2077</v>
      </c>
      <c r="I457" s="217" t="str">
        <f t="array" ref="I457">IF(E457="", "", _xlfn.XLOOKUP(E457, 'GERAL ENVIOS'!C:C, 'GERAL ENVIOS'!K:K,"NAO ESTA NA PLANILHA"))</f>
        <v>NAO ESTA NA PLANILHA</v>
      </c>
    </row>
    <row r="458" ht="17.25" customHeight="1">
      <c r="A458" s="211"/>
      <c r="B458" s="219" t="s">
        <v>1168</v>
      </c>
      <c r="C458" s="219" t="s">
        <v>1246</v>
      </c>
      <c r="D458" s="213">
        <v>84874.0</v>
      </c>
      <c r="E458" s="221" t="s">
        <v>689</v>
      </c>
      <c r="F458" s="219" t="s">
        <v>2211</v>
      </c>
      <c r="G458" s="215" t="s">
        <v>2212</v>
      </c>
      <c r="H458" s="226" t="s">
        <v>2077</v>
      </c>
      <c r="I458" s="217" t="str">
        <f t="array" ref="I458">IF(E458="", "", _xlfn.XLOOKUP(E458, 'GERAL ENVIOS'!C:C, 'GERAL ENVIOS'!K:K,"NAO ESTA NA PLANILHA"))</f>
        <v>Aguardando Aprovação</v>
      </c>
    </row>
    <row r="459" ht="17.25" customHeight="1">
      <c r="A459" s="211"/>
      <c r="B459" s="219" t="s">
        <v>1162</v>
      </c>
      <c r="C459" s="219" t="s">
        <v>1235</v>
      </c>
      <c r="D459" s="213">
        <v>88299.0</v>
      </c>
      <c r="E459" s="221" t="s">
        <v>727</v>
      </c>
      <c r="F459" s="219" t="s">
        <v>2213</v>
      </c>
      <c r="G459" s="215" t="s">
        <v>2214</v>
      </c>
      <c r="H459" s="226" t="s">
        <v>2077</v>
      </c>
      <c r="I459" s="217" t="str">
        <f t="array" ref="I459">IF(E459="", "", _xlfn.XLOOKUP(E459, 'GERAL ENVIOS'!C:C, 'GERAL ENVIOS'!K:K,"NAO ESTA NA PLANILHA"))</f>
        <v>Finalizado</v>
      </c>
    </row>
    <row r="460" ht="17.25" customHeight="1">
      <c r="A460" s="211"/>
      <c r="B460" s="219" t="s">
        <v>1168</v>
      </c>
      <c r="C460" s="219" t="s">
        <v>1246</v>
      </c>
      <c r="D460" s="213">
        <v>87623.0</v>
      </c>
      <c r="E460" s="221" t="s">
        <v>729</v>
      </c>
      <c r="F460" s="219" t="s">
        <v>2215</v>
      </c>
      <c r="G460" s="215" t="s">
        <v>2216</v>
      </c>
      <c r="H460" s="226" t="s">
        <v>2077</v>
      </c>
      <c r="I460" s="217" t="str">
        <f t="array" ref="I460">IF(E460="", "", _xlfn.XLOOKUP(E460, 'GERAL ENVIOS'!C:C, 'GERAL ENVIOS'!K:K,"NAO ESTA NA PLANILHA"))</f>
        <v>Finalizado</v>
      </c>
    </row>
    <row r="461" ht="17.25" customHeight="1">
      <c r="A461" s="211"/>
      <c r="B461" s="219" t="s">
        <v>1168</v>
      </c>
      <c r="C461" s="219" t="s">
        <v>1163</v>
      </c>
      <c r="D461" s="213">
        <v>84378.0</v>
      </c>
      <c r="E461" s="221" t="s">
        <v>737</v>
      </c>
      <c r="F461" s="219" t="s">
        <v>2217</v>
      </c>
      <c r="G461" s="215" t="s">
        <v>2218</v>
      </c>
      <c r="H461" s="226" t="s">
        <v>2077</v>
      </c>
      <c r="I461" s="217" t="str">
        <f t="array" ref="I461">IF(E461="", "", _xlfn.XLOOKUP(E461, 'GERAL ENVIOS'!C:C, 'GERAL ENVIOS'!K:K,"NAO ESTA NA PLANILHA"))</f>
        <v>Finalizado</v>
      </c>
    </row>
    <row r="462" ht="17.25" customHeight="1">
      <c r="A462" s="211"/>
      <c r="B462" s="219" t="s">
        <v>1168</v>
      </c>
      <c r="C462" s="219" t="s">
        <v>1246</v>
      </c>
      <c r="D462" s="213">
        <v>78465.0</v>
      </c>
      <c r="E462" s="221" t="s">
        <v>745</v>
      </c>
      <c r="F462" s="219" t="s">
        <v>2219</v>
      </c>
      <c r="G462" s="215" t="s">
        <v>2220</v>
      </c>
      <c r="H462" s="226" t="s">
        <v>2077</v>
      </c>
      <c r="I462" s="217" t="str">
        <f t="array" ref="I462">IF(E462="", "", _xlfn.XLOOKUP(E462, 'GERAL ENVIOS'!C:C, 'GERAL ENVIOS'!K:K,"NAO ESTA NA PLANILHA"))</f>
        <v>Finalizado</v>
      </c>
    </row>
    <row r="463" ht="17.25" customHeight="1">
      <c r="A463" s="211"/>
      <c r="B463" s="219" t="s">
        <v>1330</v>
      </c>
      <c r="C463" s="219" t="s">
        <v>1246</v>
      </c>
      <c r="D463" s="213">
        <v>89060.0</v>
      </c>
      <c r="E463" s="221" t="s">
        <v>749</v>
      </c>
      <c r="F463" s="219" t="s">
        <v>2221</v>
      </c>
      <c r="G463" s="215" t="s">
        <v>2222</v>
      </c>
      <c r="H463" s="226" t="s">
        <v>2077</v>
      </c>
      <c r="I463" s="217" t="str">
        <f t="array" ref="I463">IF(E463="", "", _xlfn.XLOOKUP(E463, 'GERAL ENVIOS'!C:C, 'GERAL ENVIOS'!K:K,"NAO ESTA NA PLANILHA"))</f>
        <v>Aguardando Aprovação</v>
      </c>
    </row>
    <row r="464" ht="17.25" customHeight="1">
      <c r="A464" s="211"/>
      <c r="B464" s="219" t="s">
        <v>1168</v>
      </c>
      <c r="C464" s="219" t="s">
        <v>1434</v>
      </c>
      <c r="D464" s="213">
        <v>75200.0</v>
      </c>
      <c r="E464" s="221" t="s">
        <v>770</v>
      </c>
      <c r="F464" s="228" t="s">
        <v>2223</v>
      </c>
      <c r="G464" s="223">
        <v>9.3992327204E10</v>
      </c>
      <c r="H464" s="226" t="s">
        <v>2077</v>
      </c>
      <c r="I464" s="217" t="str">
        <f t="array" ref="I464">IF(E464="", "", _xlfn.XLOOKUP(E464, 'GERAL ENVIOS'!C:C, 'GERAL ENVIOS'!K:K,"NAO ESTA NA PLANILHA"))</f>
        <v>Finalizado</v>
      </c>
    </row>
    <row r="465" ht="17.25" customHeight="1">
      <c r="A465" s="211"/>
      <c r="B465" s="219" t="s">
        <v>1168</v>
      </c>
      <c r="C465" s="219" t="s">
        <v>1163</v>
      </c>
      <c r="D465" s="213">
        <v>80915.0</v>
      </c>
      <c r="E465" s="221" t="s">
        <v>798</v>
      </c>
      <c r="F465" s="219" t="s">
        <v>2224</v>
      </c>
      <c r="G465" s="215" t="s">
        <v>2225</v>
      </c>
      <c r="H465" s="226" t="s">
        <v>2077</v>
      </c>
      <c r="I465" s="217" t="str">
        <f t="array" ref="I465">IF(E465="", "", _xlfn.XLOOKUP(E465, 'GERAL ENVIOS'!C:C, 'GERAL ENVIOS'!K:K,"NAO ESTA NA PLANILHA"))</f>
        <v>Finalizado</v>
      </c>
    </row>
    <row r="466" ht="17.25" customHeight="1">
      <c r="A466" s="211"/>
      <c r="B466" s="219" t="s">
        <v>1168</v>
      </c>
      <c r="C466" s="219" t="s">
        <v>1246</v>
      </c>
      <c r="D466" s="213">
        <v>83008.0</v>
      </c>
      <c r="E466" s="221" t="s">
        <v>829</v>
      </c>
      <c r="F466" s="219" t="s">
        <v>2226</v>
      </c>
      <c r="G466" s="215" t="s">
        <v>2227</v>
      </c>
      <c r="H466" s="226" t="s">
        <v>2077</v>
      </c>
      <c r="I466" s="217" t="str">
        <f t="array" ref="I466">IF(E466="", "", _xlfn.XLOOKUP(E466, 'GERAL ENVIOS'!C:C, 'GERAL ENVIOS'!K:K,"NAO ESTA NA PLANILHA"))</f>
        <v>Finalizado</v>
      </c>
    </row>
    <row r="467" ht="17.25" customHeight="1">
      <c r="A467" s="211"/>
      <c r="B467" s="219" t="s">
        <v>1168</v>
      </c>
      <c r="C467" s="219" t="s">
        <v>1163</v>
      </c>
      <c r="D467" s="213">
        <v>85650.0</v>
      </c>
      <c r="E467" s="221" t="s">
        <v>839</v>
      </c>
      <c r="F467" s="219" t="s">
        <v>2228</v>
      </c>
      <c r="G467" s="215" t="s">
        <v>2229</v>
      </c>
      <c r="H467" s="226" t="s">
        <v>2077</v>
      </c>
      <c r="I467" s="217" t="str">
        <f t="array" ref="I467">IF(E467="", "", _xlfn.XLOOKUP(E467, 'GERAL ENVIOS'!C:C, 'GERAL ENVIOS'!K:K,"NAO ESTA NA PLANILHA"))</f>
        <v>Aguardando Aprovação</v>
      </c>
    </row>
    <row r="468" ht="17.25" customHeight="1">
      <c r="A468" s="211"/>
      <c r="B468" s="219" t="s">
        <v>1168</v>
      </c>
      <c r="C468" s="219" t="s">
        <v>1123</v>
      </c>
      <c r="D468" s="213">
        <v>79309.0</v>
      </c>
      <c r="E468" s="221" t="s">
        <v>897</v>
      </c>
      <c r="F468" s="219" t="s">
        <v>2230</v>
      </c>
      <c r="G468" s="215" t="s">
        <v>2231</v>
      </c>
      <c r="H468" s="226" t="s">
        <v>2077</v>
      </c>
      <c r="I468" s="217" t="str">
        <f t="array" ref="I468">IF(E468="", "", _xlfn.XLOOKUP(E468, 'GERAL ENVIOS'!C:C, 'GERAL ENVIOS'!K:K,"NAO ESTA NA PLANILHA"))</f>
        <v>Finalizado</v>
      </c>
    </row>
    <row r="469" ht="17.25" customHeight="1">
      <c r="A469" s="211"/>
      <c r="B469" s="219" t="s">
        <v>1168</v>
      </c>
      <c r="C469" s="219" t="s">
        <v>1163</v>
      </c>
      <c r="D469" s="213">
        <v>88288.0</v>
      </c>
      <c r="E469" s="221" t="s">
        <v>911</v>
      </c>
      <c r="F469" s="219" t="s">
        <v>2232</v>
      </c>
      <c r="G469" s="215" t="s">
        <v>2233</v>
      </c>
      <c r="H469" s="226" t="s">
        <v>2077</v>
      </c>
      <c r="I469" s="217" t="str">
        <f t="array" ref="I469">IF(E469="", "", _xlfn.XLOOKUP(E469, 'GERAL ENVIOS'!C:C, 'GERAL ENVIOS'!K:K,"NAO ESTA NA PLANILHA"))</f>
        <v>Finalizado</v>
      </c>
    </row>
    <row r="470" ht="17.25" customHeight="1">
      <c r="A470" s="211"/>
      <c r="B470" s="219" t="s">
        <v>1168</v>
      </c>
      <c r="C470" s="219" t="s">
        <v>1235</v>
      </c>
      <c r="D470" s="213">
        <v>88183.0</v>
      </c>
      <c r="E470" s="221" t="s">
        <v>927</v>
      </c>
      <c r="F470" s="219" t="s">
        <v>2234</v>
      </c>
      <c r="G470" s="215" t="s">
        <v>2235</v>
      </c>
      <c r="H470" s="226" t="s">
        <v>2077</v>
      </c>
      <c r="I470" s="217" t="str">
        <f t="array" ref="I470">IF(E470="", "", _xlfn.XLOOKUP(E470, 'GERAL ENVIOS'!C:C, 'GERAL ENVIOS'!K:K,"NAO ESTA NA PLANILHA"))</f>
        <v>Finalizado</v>
      </c>
    </row>
    <row r="471" ht="17.25" customHeight="1">
      <c r="A471" s="211"/>
      <c r="B471" s="219" t="s">
        <v>1168</v>
      </c>
      <c r="C471" s="219" t="s">
        <v>1235</v>
      </c>
      <c r="D471" s="213">
        <v>86798.0</v>
      </c>
      <c r="E471" s="221" t="s">
        <v>952</v>
      </c>
      <c r="F471" s="219" t="s">
        <v>2236</v>
      </c>
      <c r="G471" s="215" t="s">
        <v>2237</v>
      </c>
      <c r="H471" s="226" t="s">
        <v>2077</v>
      </c>
      <c r="I471" s="217" t="str">
        <f t="array" ref="I471">IF(E471="", "", _xlfn.XLOOKUP(E471, 'GERAL ENVIOS'!C:C, 'GERAL ENVIOS'!K:K,"NAO ESTA NA PLANILHA"))</f>
        <v>Finalizado</v>
      </c>
    </row>
    <row r="472" ht="17.25" customHeight="1">
      <c r="A472" s="211"/>
      <c r="B472" s="219" t="s">
        <v>1168</v>
      </c>
      <c r="C472" s="219" t="s">
        <v>1235</v>
      </c>
      <c r="D472" s="213">
        <v>85208.0</v>
      </c>
      <c r="E472" s="221" t="s">
        <v>969</v>
      </c>
      <c r="F472" s="219" t="s">
        <v>2238</v>
      </c>
      <c r="G472" s="215" t="s">
        <v>2239</v>
      </c>
      <c r="H472" s="226" t="s">
        <v>2077</v>
      </c>
      <c r="I472" s="217" t="str">
        <f t="array" ref="I472">IF(E472="", "", _xlfn.XLOOKUP(E472, 'GERAL ENVIOS'!C:C, 'GERAL ENVIOS'!K:K,"NAO ESTA NA PLANILHA"))</f>
        <v>Finalizado</v>
      </c>
    </row>
    <row r="473" ht="17.25" customHeight="1">
      <c r="A473" s="211"/>
      <c r="B473" s="219" t="s">
        <v>1168</v>
      </c>
      <c r="C473" s="219" t="s">
        <v>1246</v>
      </c>
      <c r="D473" s="213">
        <v>86294.0</v>
      </c>
      <c r="E473" s="221" t="s">
        <v>971</v>
      </c>
      <c r="F473" s="219" t="s">
        <v>2240</v>
      </c>
      <c r="G473" s="215" t="s">
        <v>2241</v>
      </c>
      <c r="H473" s="226" t="s">
        <v>2077</v>
      </c>
      <c r="I473" s="217" t="str">
        <f t="array" ref="I473">IF(E473="", "", _xlfn.XLOOKUP(E473, 'GERAL ENVIOS'!C:C, 'GERAL ENVIOS'!K:K,"NAO ESTA NA PLANILHA"))</f>
        <v>Finalizado</v>
      </c>
    </row>
    <row r="474" ht="17.25" customHeight="1">
      <c r="A474" s="211"/>
      <c r="B474" s="219" t="s">
        <v>1484</v>
      </c>
      <c r="C474" s="219" t="s">
        <v>1163</v>
      </c>
      <c r="D474" s="213">
        <v>73637.0</v>
      </c>
      <c r="E474" s="221" t="s">
        <v>999</v>
      </c>
      <c r="F474" s="219" t="s">
        <v>2242</v>
      </c>
      <c r="G474" s="215" t="s">
        <v>2243</v>
      </c>
      <c r="H474" s="226" t="s">
        <v>2077</v>
      </c>
      <c r="I474" s="217" t="str">
        <f t="array" ref="I474">IF(E474="", "", _xlfn.XLOOKUP(E474, 'GERAL ENVIOS'!C:C, 'GERAL ENVIOS'!K:K,"NAO ESTA NA PLANILHA"))</f>
        <v>Finalizado</v>
      </c>
    </row>
    <row r="475" ht="17.25" customHeight="1">
      <c r="A475" s="211"/>
      <c r="B475" s="215" t="s">
        <v>1168</v>
      </c>
      <c r="C475" s="215" t="s">
        <v>1235</v>
      </c>
      <c r="D475" s="213">
        <v>87586.0</v>
      </c>
      <c r="E475" s="214" t="s">
        <v>466</v>
      </c>
      <c r="F475" s="215" t="s">
        <v>2244</v>
      </c>
      <c r="G475" s="215" t="s">
        <v>2245</v>
      </c>
      <c r="H475" s="216" t="s">
        <v>2246</v>
      </c>
      <c r="I475" s="217" t="str">
        <f t="array" ref="I475">IF(E475="", "", _xlfn.XLOOKUP(E475, 'GERAL ENVIOS'!C:C, 'GERAL ENVIOS'!K:K,"NAO ESTA NA PLANILHA"))</f>
        <v>Finalizado</v>
      </c>
    </row>
    <row r="476" ht="17.25" customHeight="1">
      <c r="A476" s="211"/>
      <c r="B476" s="215" t="s">
        <v>1162</v>
      </c>
      <c r="C476" s="215" t="s">
        <v>1163</v>
      </c>
      <c r="D476" s="213">
        <v>86646.0</v>
      </c>
      <c r="E476" s="214" t="s">
        <v>2247</v>
      </c>
      <c r="F476" s="215" t="s">
        <v>2248</v>
      </c>
      <c r="G476" s="215" t="s">
        <v>2249</v>
      </c>
      <c r="H476" s="216" t="s">
        <v>2246</v>
      </c>
      <c r="I476" s="217" t="str">
        <f t="array" ref="I476">IF(E476="", "", _xlfn.XLOOKUP(E476, 'GERAL ENVIOS'!C:C, 'GERAL ENVIOS'!K:K,"NAO ESTA NA PLANILHA"))</f>
        <v>NAO ESTA NA PLANILHA</v>
      </c>
    </row>
    <row r="477" ht="17.25" customHeight="1">
      <c r="A477" s="211"/>
      <c r="B477" s="215" t="s">
        <v>1168</v>
      </c>
      <c r="C477" s="215" t="s">
        <v>1163</v>
      </c>
      <c r="D477" s="213">
        <v>59348.0</v>
      </c>
      <c r="E477" s="214" t="s">
        <v>341</v>
      </c>
      <c r="F477" s="215" t="s">
        <v>2250</v>
      </c>
      <c r="G477" s="215" t="s">
        <v>2251</v>
      </c>
      <c r="H477" s="216" t="s">
        <v>2246</v>
      </c>
      <c r="I477" s="217" t="str">
        <f t="array" ref="I477">IF(E477="", "", _xlfn.XLOOKUP(E477, 'GERAL ENVIOS'!C:C, 'GERAL ENVIOS'!K:K,"NAO ESTA NA PLANILHA"))</f>
        <v>Finalizado</v>
      </c>
    </row>
    <row r="478" ht="17.25" customHeight="1">
      <c r="A478" s="211"/>
      <c r="B478" s="215" t="s">
        <v>1162</v>
      </c>
      <c r="C478" s="215" t="s">
        <v>1409</v>
      </c>
      <c r="D478" s="213">
        <v>89821.0</v>
      </c>
      <c r="E478" s="214" t="s">
        <v>2252</v>
      </c>
      <c r="F478" s="215" t="s">
        <v>2253</v>
      </c>
      <c r="G478" s="215" t="s">
        <v>2254</v>
      </c>
      <c r="H478" s="216" t="s">
        <v>2246</v>
      </c>
      <c r="I478" s="217" t="str">
        <f t="array" ref="I478">IF(E478="", "", _xlfn.XLOOKUP(E478, 'GERAL ENVIOS'!C:C, 'GERAL ENVIOS'!K:K,"NAO ESTA NA PLANILHA"))</f>
        <v>NAO ESTA NA PLANILHA</v>
      </c>
    </row>
    <row r="479" ht="17.25" customHeight="1">
      <c r="A479" s="211"/>
      <c r="B479" s="215" t="s">
        <v>1168</v>
      </c>
      <c r="C479" s="215" t="s">
        <v>1235</v>
      </c>
      <c r="D479" s="213">
        <v>86653.0</v>
      </c>
      <c r="E479" s="214" t="s">
        <v>181</v>
      </c>
      <c r="F479" s="215" t="s">
        <v>2255</v>
      </c>
      <c r="G479" s="215" t="s">
        <v>2256</v>
      </c>
      <c r="H479" s="216" t="s">
        <v>2246</v>
      </c>
      <c r="I479" s="217" t="str">
        <f t="array" ref="I479">IF(E479="", "", _xlfn.XLOOKUP(E479, 'GERAL ENVIOS'!C:C, 'GERAL ENVIOS'!K:K,"NAO ESTA NA PLANILHA"))</f>
        <v>Finalizado</v>
      </c>
    </row>
    <row r="480" ht="17.25" customHeight="1">
      <c r="A480" s="211"/>
      <c r="B480" s="215" t="s">
        <v>1162</v>
      </c>
      <c r="C480" s="215" t="s">
        <v>1163</v>
      </c>
      <c r="D480" s="213">
        <v>90118.0</v>
      </c>
      <c r="E480" s="214" t="s">
        <v>2257</v>
      </c>
      <c r="F480" s="215" t="s">
        <v>2258</v>
      </c>
      <c r="G480" s="215" t="s">
        <v>2259</v>
      </c>
      <c r="H480" s="216" t="s">
        <v>2246</v>
      </c>
      <c r="I480" s="217" t="str">
        <f t="array" ref="I480">IF(E480="", "", _xlfn.XLOOKUP(E480, 'GERAL ENVIOS'!C:C, 'GERAL ENVIOS'!K:K,"NAO ESTA NA PLANILHA"))</f>
        <v>NAO ESTA NA PLANILHA</v>
      </c>
    </row>
    <row r="481" ht="17.25" customHeight="1">
      <c r="A481" s="211"/>
      <c r="B481" s="215" t="s">
        <v>1168</v>
      </c>
      <c r="C481" s="215" t="s">
        <v>1163</v>
      </c>
      <c r="D481" s="213">
        <v>75746.0</v>
      </c>
      <c r="E481" s="214" t="s">
        <v>2260</v>
      </c>
      <c r="F481" s="215" t="s">
        <v>2261</v>
      </c>
      <c r="G481" s="215" t="s">
        <v>2262</v>
      </c>
      <c r="H481" s="216" t="s">
        <v>2246</v>
      </c>
      <c r="I481" s="217" t="str">
        <f t="array" ref="I481">IF(E481="", "", _xlfn.XLOOKUP(E481, 'GERAL ENVIOS'!C:C, 'GERAL ENVIOS'!K:K,"NAO ESTA NA PLANILHA"))</f>
        <v>NAO ESTA NA PLANILHA</v>
      </c>
    </row>
    <row r="482" ht="17.25" customHeight="1">
      <c r="A482" s="211"/>
      <c r="B482" s="215" t="s">
        <v>1162</v>
      </c>
      <c r="C482" s="215" t="s">
        <v>1163</v>
      </c>
      <c r="D482" s="213">
        <v>89819.0</v>
      </c>
      <c r="E482" s="214" t="s">
        <v>2263</v>
      </c>
      <c r="F482" s="215" t="s">
        <v>2264</v>
      </c>
      <c r="G482" s="215" t="s">
        <v>2265</v>
      </c>
      <c r="H482" s="216" t="s">
        <v>2246</v>
      </c>
      <c r="I482" s="217" t="str">
        <f t="array" ref="I482">IF(E482="", "", _xlfn.XLOOKUP(E482, 'GERAL ENVIOS'!C:C, 'GERAL ENVIOS'!K:K,"NAO ESTA NA PLANILHA"))</f>
        <v>NAO ESTA NA PLANILHA</v>
      </c>
    </row>
    <row r="483" ht="17.25" customHeight="1">
      <c r="A483" s="211"/>
      <c r="B483" s="215" t="s">
        <v>1168</v>
      </c>
      <c r="C483" s="215" t="s">
        <v>1163</v>
      </c>
      <c r="D483" s="213">
        <v>88342.0</v>
      </c>
      <c r="E483" s="214" t="s">
        <v>2266</v>
      </c>
      <c r="F483" s="215" t="s">
        <v>2267</v>
      </c>
      <c r="G483" s="215" t="s">
        <v>2268</v>
      </c>
      <c r="H483" s="216" t="s">
        <v>2246</v>
      </c>
      <c r="I483" s="217" t="str">
        <f t="array" ref="I483">IF(E483="", "", _xlfn.XLOOKUP(E483, 'GERAL ENVIOS'!C:C, 'GERAL ENVIOS'!K:K,"NAO ESTA NA PLANILHA"))</f>
        <v>NAO ESTA NA PLANILHA</v>
      </c>
    </row>
    <row r="484" ht="17.25" customHeight="1">
      <c r="A484" s="211"/>
      <c r="B484" s="215" t="s">
        <v>1168</v>
      </c>
      <c r="C484" s="215" t="s">
        <v>1163</v>
      </c>
      <c r="D484" s="213">
        <v>86645.0</v>
      </c>
      <c r="E484" s="214" t="s">
        <v>2269</v>
      </c>
      <c r="F484" s="215" t="s">
        <v>2270</v>
      </c>
      <c r="G484" s="215" t="s">
        <v>2271</v>
      </c>
      <c r="H484" s="216" t="s">
        <v>2246</v>
      </c>
      <c r="I484" s="217" t="str">
        <f t="array" ref="I484">IF(E484="", "", _xlfn.XLOOKUP(E484, 'GERAL ENVIOS'!C:C, 'GERAL ENVIOS'!K:K,"NAO ESTA NA PLANILHA"))</f>
        <v>NAO ESTA NA PLANILHA</v>
      </c>
    </row>
    <row r="485" ht="17.25" customHeight="1">
      <c r="A485" s="211"/>
      <c r="B485" s="215" t="s">
        <v>1168</v>
      </c>
      <c r="C485" s="215" t="s">
        <v>1235</v>
      </c>
      <c r="D485" s="213">
        <v>80692.0</v>
      </c>
      <c r="E485" s="214" t="s">
        <v>2272</v>
      </c>
      <c r="F485" s="215" t="s">
        <v>2273</v>
      </c>
      <c r="G485" s="215" t="s">
        <v>2274</v>
      </c>
      <c r="H485" s="216" t="s">
        <v>2246</v>
      </c>
      <c r="I485" s="217" t="str">
        <f t="array" ref="I485">IF(E485="", "", _xlfn.XLOOKUP(E485, 'GERAL ENVIOS'!C:C, 'GERAL ENVIOS'!K:K,"NAO ESTA NA PLANILHA"))</f>
        <v>Finalizado</v>
      </c>
    </row>
    <row r="486" ht="17.25" customHeight="1">
      <c r="A486" s="211"/>
      <c r="B486" s="215" t="s">
        <v>1168</v>
      </c>
      <c r="C486" s="215" t="s">
        <v>1409</v>
      </c>
      <c r="D486" s="213">
        <v>86659.0</v>
      </c>
      <c r="E486" s="214" t="s">
        <v>2275</v>
      </c>
      <c r="F486" s="215" t="s">
        <v>2276</v>
      </c>
      <c r="G486" s="215" t="s">
        <v>2277</v>
      </c>
      <c r="H486" s="216" t="s">
        <v>2246</v>
      </c>
      <c r="I486" s="217" t="str">
        <f t="array" ref="I486">IF(E486="", "", _xlfn.XLOOKUP(E486, 'GERAL ENVIOS'!C:C, 'GERAL ENVIOS'!K:K,"NAO ESTA NA PLANILHA"))</f>
        <v>NAO ESTA NA PLANILHA</v>
      </c>
    </row>
    <row r="487" ht="17.25" customHeight="1">
      <c r="A487" s="211"/>
      <c r="B487" s="215" t="s">
        <v>1162</v>
      </c>
      <c r="C487" s="215" t="s">
        <v>1163</v>
      </c>
      <c r="D487" s="213">
        <v>90034.0</v>
      </c>
      <c r="E487" s="214" t="s">
        <v>296</v>
      </c>
      <c r="F487" s="215" t="s">
        <v>2278</v>
      </c>
      <c r="G487" s="215" t="s">
        <v>2279</v>
      </c>
      <c r="H487" s="216" t="s">
        <v>2246</v>
      </c>
      <c r="I487" s="217" t="str">
        <f t="array" ref="I487">IF(E487="", "", _xlfn.XLOOKUP(E487, 'GERAL ENVIOS'!C:C, 'GERAL ENVIOS'!K:K,"NAO ESTA NA PLANILHA"))</f>
        <v>Sem álbum</v>
      </c>
    </row>
    <row r="488" ht="17.25" customHeight="1">
      <c r="A488" s="211"/>
      <c r="B488" s="215" t="s">
        <v>1162</v>
      </c>
      <c r="C488" s="215" t="s">
        <v>1163</v>
      </c>
      <c r="D488" s="213">
        <v>87935.0</v>
      </c>
      <c r="E488" s="214" t="s">
        <v>394</v>
      </c>
      <c r="F488" s="215" t="s">
        <v>2280</v>
      </c>
      <c r="G488" s="215" t="s">
        <v>2281</v>
      </c>
      <c r="H488" s="216" t="s">
        <v>2246</v>
      </c>
      <c r="I488" s="217" t="str">
        <f t="array" ref="I488">IF(E488="", "", _xlfn.XLOOKUP(E488, 'GERAL ENVIOS'!C:C, 'GERAL ENVIOS'!K:K,"NAO ESTA NA PLANILHA"))</f>
        <v>Finalizado</v>
      </c>
    </row>
    <row r="489" ht="17.25" customHeight="1">
      <c r="A489" s="211"/>
      <c r="B489" s="215" t="s">
        <v>1168</v>
      </c>
      <c r="C489" s="215" t="s">
        <v>1235</v>
      </c>
      <c r="D489" s="213">
        <v>59307.0</v>
      </c>
      <c r="E489" s="214" t="s">
        <v>319</v>
      </c>
      <c r="F489" s="215" t="s">
        <v>2282</v>
      </c>
      <c r="G489" s="215" t="s">
        <v>2283</v>
      </c>
      <c r="H489" s="216" t="s">
        <v>2246</v>
      </c>
      <c r="I489" s="217" t="str">
        <f t="array" ref="I489">IF(E489="", "", _xlfn.XLOOKUP(E489, 'GERAL ENVIOS'!C:C, 'GERAL ENVIOS'!K:K,"NAO ESTA NA PLANILHA"))</f>
        <v>Finalizado</v>
      </c>
    </row>
    <row r="490" ht="17.25" customHeight="1">
      <c r="A490" s="211"/>
      <c r="B490" s="215" t="s">
        <v>1162</v>
      </c>
      <c r="C490" s="215" t="s">
        <v>1409</v>
      </c>
      <c r="D490" s="213">
        <v>59469.0</v>
      </c>
      <c r="E490" s="214" t="s">
        <v>2284</v>
      </c>
      <c r="F490" s="215" t="s">
        <v>2285</v>
      </c>
      <c r="G490" s="215" t="s">
        <v>2286</v>
      </c>
      <c r="H490" s="216" t="s">
        <v>2246</v>
      </c>
      <c r="I490" s="217" t="str">
        <f t="array" ref="I490">IF(E490="", "", _xlfn.XLOOKUP(E490, 'GERAL ENVIOS'!C:C, 'GERAL ENVIOS'!K:K,"NAO ESTA NA PLANILHA"))</f>
        <v>NAO ESTA NA PLANILHA</v>
      </c>
    </row>
    <row r="491" ht="17.25" customHeight="1">
      <c r="A491" s="211"/>
      <c r="B491" s="215" t="s">
        <v>1168</v>
      </c>
      <c r="C491" s="215" t="s">
        <v>1246</v>
      </c>
      <c r="D491" s="213">
        <v>87222.0</v>
      </c>
      <c r="E491" s="214" t="s">
        <v>263</v>
      </c>
      <c r="F491" s="215" t="s">
        <v>2287</v>
      </c>
      <c r="G491" s="215" t="s">
        <v>2288</v>
      </c>
      <c r="H491" s="216" t="s">
        <v>2246</v>
      </c>
      <c r="I491" s="217" t="str">
        <f t="array" ref="I491">IF(E491="", "", _xlfn.XLOOKUP(E491, 'GERAL ENVIOS'!C:C, 'GERAL ENVIOS'!K:K,"NAO ESTA NA PLANILHA"))</f>
        <v>Aguardando Aprovação</v>
      </c>
    </row>
    <row r="492" ht="17.25" customHeight="1">
      <c r="A492" s="211"/>
      <c r="B492" s="215" t="s">
        <v>1168</v>
      </c>
      <c r="C492" s="215" t="s">
        <v>1163</v>
      </c>
      <c r="D492" s="213">
        <v>82427.0</v>
      </c>
      <c r="E492" s="214" t="s">
        <v>2289</v>
      </c>
      <c r="F492" s="215" t="s">
        <v>2290</v>
      </c>
      <c r="G492" s="215" t="s">
        <v>2291</v>
      </c>
      <c r="H492" s="216" t="s">
        <v>2246</v>
      </c>
      <c r="I492" s="217" t="str">
        <f t="array" ref="I492">IF(E492="", "", _xlfn.XLOOKUP(E492, 'GERAL ENVIOS'!C:C, 'GERAL ENVIOS'!K:K,"NAO ESTA NA PLANILHA"))</f>
        <v>NAO ESTA NA PLANILHA</v>
      </c>
    </row>
    <row r="493" ht="17.25" customHeight="1">
      <c r="A493" s="211"/>
      <c r="B493" s="215" t="s">
        <v>1168</v>
      </c>
      <c r="C493" s="215" t="s">
        <v>1163</v>
      </c>
      <c r="D493" s="213">
        <v>90111.0</v>
      </c>
      <c r="E493" s="214" t="s">
        <v>2292</v>
      </c>
      <c r="F493" s="215" t="s">
        <v>2293</v>
      </c>
      <c r="G493" s="215" t="s">
        <v>2294</v>
      </c>
      <c r="H493" s="216" t="s">
        <v>2246</v>
      </c>
      <c r="I493" s="217" t="str">
        <f t="array" ref="I493">IF(E493="", "", _xlfn.XLOOKUP(E493, 'GERAL ENVIOS'!C:C, 'GERAL ENVIOS'!K:K,"NAO ESTA NA PLANILHA"))</f>
        <v>NAO ESTA NA PLANILHA</v>
      </c>
    </row>
    <row r="494" ht="17.25" customHeight="1">
      <c r="A494" s="211"/>
      <c r="B494" s="215" t="s">
        <v>1168</v>
      </c>
      <c r="C494" s="215" t="s">
        <v>1163</v>
      </c>
      <c r="D494" s="213">
        <v>86917.0</v>
      </c>
      <c r="E494" s="214" t="s">
        <v>2295</v>
      </c>
      <c r="F494" s="215" t="s">
        <v>2296</v>
      </c>
      <c r="G494" s="215" t="s">
        <v>2297</v>
      </c>
      <c r="H494" s="216" t="s">
        <v>2246</v>
      </c>
      <c r="I494" s="217" t="str">
        <f t="array" ref="I494">IF(E494="", "", _xlfn.XLOOKUP(E494, 'GERAL ENVIOS'!C:C, 'GERAL ENVIOS'!K:K,"NAO ESTA NA PLANILHA"))</f>
        <v>NAO ESTA NA PLANILHA</v>
      </c>
    </row>
    <row r="495" ht="17.25" customHeight="1">
      <c r="A495" s="211"/>
      <c r="B495" s="215" t="s">
        <v>1168</v>
      </c>
      <c r="C495" s="215" t="s">
        <v>1409</v>
      </c>
      <c r="D495" s="213">
        <v>89032.0</v>
      </c>
      <c r="E495" s="214" t="s">
        <v>2298</v>
      </c>
      <c r="F495" s="215" t="s">
        <v>2299</v>
      </c>
      <c r="G495" s="215" t="s">
        <v>2300</v>
      </c>
      <c r="H495" s="216" t="s">
        <v>2246</v>
      </c>
      <c r="I495" s="217" t="str">
        <f t="array" ref="I495">IF(E495="", "", _xlfn.XLOOKUP(E495, 'GERAL ENVIOS'!C:C, 'GERAL ENVIOS'!K:K,"NAO ESTA NA PLANILHA"))</f>
        <v>NAO ESTA NA PLANILHA</v>
      </c>
    </row>
    <row r="496" ht="17.25" customHeight="1">
      <c r="A496" s="211"/>
      <c r="B496" s="215" t="s">
        <v>1168</v>
      </c>
      <c r="C496" s="215" t="s">
        <v>1163</v>
      </c>
      <c r="D496" s="213">
        <v>89076.0</v>
      </c>
      <c r="E496" s="214" t="s">
        <v>2301</v>
      </c>
      <c r="F496" s="215" t="s">
        <v>2302</v>
      </c>
      <c r="G496" s="215" t="s">
        <v>2303</v>
      </c>
      <c r="H496" s="216" t="s">
        <v>2246</v>
      </c>
      <c r="I496" s="217" t="str">
        <f t="array" ref="I496">IF(E496="", "", _xlfn.XLOOKUP(E496, 'GERAL ENVIOS'!C:C, 'GERAL ENVIOS'!K:K,"NAO ESTA NA PLANILHA"))</f>
        <v>NAO ESTA NA PLANILHA</v>
      </c>
    </row>
    <row r="497" ht="17.25" customHeight="1">
      <c r="A497" s="211"/>
      <c r="B497" s="215" t="s">
        <v>1168</v>
      </c>
      <c r="C497" s="215" t="s">
        <v>1246</v>
      </c>
      <c r="D497" s="213">
        <v>75589.0</v>
      </c>
      <c r="E497" s="214" t="s">
        <v>719</v>
      </c>
      <c r="F497" s="215" t="s">
        <v>2304</v>
      </c>
      <c r="G497" s="215" t="s">
        <v>2305</v>
      </c>
      <c r="H497" s="216" t="s">
        <v>2246</v>
      </c>
      <c r="I497" s="217" t="str">
        <f t="array" ref="I497">IF(E497="", "", _xlfn.XLOOKUP(E497, 'GERAL ENVIOS'!C:C, 'GERAL ENVIOS'!K:K,"NAO ESTA NA PLANILHA"))</f>
        <v>Aguardando Aprovação</v>
      </c>
    </row>
    <row r="498" ht="17.25" customHeight="1">
      <c r="A498" s="211"/>
      <c r="B498" s="215" t="s">
        <v>1168</v>
      </c>
      <c r="C498" s="215" t="s">
        <v>1246</v>
      </c>
      <c r="D498" s="213">
        <v>84562.0</v>
      </c>
      <c r="E498" s="214" t="s">
        <v>492</v>
      </c>
      <c r="F498" s="215" t="s">
        <v>2306</v>
      </c>
      <c r="G498" s="223">
        <v>9.6991039502E10</v>
      </c>
      <c r="H498" s="216" t="s">
        <v>2246</v>
      </c>
      <c r="I498" s="217" t="str">
        <f t="array" ref="I498">IF(E498="", "", _xlfn.XLOOKUP(E498, 'GERAL ENVIOS'!C:C, 'GERAL ENVIOS'!K:K,"NAO ESTA NA PLANILHA"))</f>
        <v>Finalizado</v>
      </c>
    </row>
    <row r="499" ht="17.25" customHeight="1">
      <c r="A499" s="211"/>
      <c r="B499" s="215" t="s">
        <v>1162</v>
      </c>
      <c r="C499" s="215" t="s">
        <v>1163</v>
      </c>
      <c r="D499" s="213">
        <v>86855.0</v>
      </c>
      <c r="E499" s="214" t="s">
        <v>335</v>
      </c>
      <c r="F499" s="215" t="s">
        <v>2307</v>
      </c>
      <c r="G499" s="215" t="s">
        <v>2308</v>
      </c>
      <c r="H499" s="216" t="s">
        <v>2246</v>
      </c>
      <c r="I499" s="217" t="str">
        <f t="array" ref="I499">IF(E499="", "", _xlfn.XLOOKUP(E499, 'GERAL ENVIOS'!C:C, 'GERAL ENVIOS'!K:K,"NAO ESTA NA PLANILHA"))</f>
        <v>Aguardando Aprovação</v>
      </c>
    </row>
    <row r="500" ht="17.25" customHeight="1">
      <c r="A500" s="211"/>
      <c r="B500" s="215" t="s">
        <v>1162</v>
      </c>
      <c r="C500" s="215" t="s">
        <v>1366</v>
      </c>
      <c r="D500" s="213">
        <v>75788.0</v>
      </c>
      <c r="E500" s="214" t="s">
        <v>90</v>
      </c>
      <c r="F500" s="215" t="s">
        <v>2309</v>
      </c>
      <c r="G500" s="223">
        <v>9.6984252698E10</v>
      </c>
      <c r="H500" s="216" t="s">
        <v>2246</v>
      </c>
      <c r="I500" s="217" t="str">
        <f t="array" ref="I500">IF(E500="", "", _xlfn.XLOOKUP(E500, 'GERAL ENVIOS'!C:C, 'GERAL ENVIOS'!K:K,"NAO ESTA NA PLANILHA"))</f>
        <v>Finalizado</v>
      </c>
    </row>
    <row r="501" ht="17.25" customHeight="1">
      <c r="A501" s="211"/>
      <c r="B501" s="215" t="s">
        <v>1162</v>
      </c>
      <c r="C501" s="215" t="s">
        <v>1163</v>
      </c>
      <c r="D501" s="213">
        <v>87514.0</v>
      </c>
      <c r="E501" s="214" t="s">
        <v>2310</v>
      </c>
      <c r="F501" s="215" t="s">
        <v>2311</v>
      </c>
      <c r="G501" s="215" t="s">
        <v>2312</v>
      </c>
      <c r="H501" s="216" t="s">
        <v>2246</v>
      </c>
      <c r="I501" s="217" t="str">
        <f t="array" ref="I501">IF(E501="", "", _xlfn.XLOOKUP(E501, 'GERAL ENVIOS'!C:C, 'GERAL ENVIOS'!K:K,"NAO ESTA NA PLANILHA"))</f>
        <v>NAO ESTA NA PLANILHA</v>
      </c>
    </row>
    <row r="502" ht="17.25" customHeight="1">
      <c r="A502" s="211"/>
      <c r="B502" s="215" t="s">
        <v>1162</v>
      </c>
      <c r="C502" s="215" t="s">
        <v>1246</v>
      </c>
      <c r="D502" s="213">
        <v>77270.0</v>
      </c>
      <c r="E502" s="214" t="s">
        <v>620</v>
      </c>
      <c r="F502" s="215" t="s">
        <v>2313</v>
      </c>
      <c r="G502" s="215" t="s">
        <v>2314</v>
      </c>
      <c r="H502" s="216" t="s">
        <v>2246</v>
      </c>
      <c r="I502" s="217" t="str">
        <f t="array" ref="I502">IF(E502="", "", _xlfn.XLOOKUP(E502, 'GERAL ENVIOS'!C:C, 'GERAL ENVIOS'!K:K,"NAO ESTA NA PLANILHA"))</f>
        <v>Aguardando Aprovação</v>
      </c>
    </row>
    <row r="503" ht="17.25" customHeight="1">
      <c r="A503" s="211"/>
      <c r="B503" s="215" t="s">
        <v>1162</v>
      </c>
      <c r="C503" s="215" t="s">
        <v>1163</v>
      </c>
      <c r="D503" s="213">
        <v>59532.0</v>
      </c>
      <c r="E503" s="214" t="s">
        <v>658</v>
      </c>
      <c r="F503" s="215" t="s">
        <v>2315</v>
      </c>
      <c r="G503" s="215" t="s">
        <v>2316</v>
      </c>
      <c r="H503" s="216" t="s">
        <v>2246</v>
      </c>
      <c r="I503" s="217" t="str">
        <f t="array" ref="I503">IF(E503="", "", _xlfn.XLOOKUP(E503, 'GERAL ENVIOS'!C:C, 'GERAL ENVIOS'!K:K,"NAO ESTA NA PLANILHA"))</f>
        <v>IMPRESSÃO</v>
      </c>
    </row>
    <row r="504" ht="17.25" customHeight="1">
      <c r="A504" s="211"/>
      <c r="B504" s="215" t="s">
        <v>1162</v>
      </c>
      <c r="C504" s="215" t="s">
        <v>1163</v>
      </c>
      <c r="D504" s="213">
        <v>86694.0</v>
      </c>
      <c r="E504" s="214" t="s">
        <v>861</v>
      </c>
      <c r="F504" s="215" t="s">
        <v>2317</v>
      </c>
      <c r="G504" s="215" t="s">
        <v>2318</v>
      </c>
      <c r="H504" s="216" t="s">
        <v>2246</v>
      </c>
      <c r="I504" s="217" t="str">
        <f t="array" ref="I504">IF(E504="", "", _xlfn.XLOOKUP(E504, 'GERAL ENVIOS'!C:C, 'GERAL ENVIOS'!K:K,"NAO ESTA NA PLANILHA"))</f>
        <v>IMPRESSÃO</v>
      </c>
    </row>
    <row r="505" ht="17.25" customHeight="1">
      <c r="A505" s="211"/>
      <c r="B505" s="215" t="s">
        <v>1168</v>
      </c>
      <c r="C505" s="215" t="s">
        <v>1246</v>
      </c>
      <c r="D505" s="213">
        <v>83151.0</v>
      </c>
      <c r="E505" s="214" t="s">
        <v>837</v>
      </c>
      <c r="F505" s="215" t="s">
        <v>2319</v>
      </c>
      <c r="G505" s="215" t="s">
        <v>2320</v>
      </c>
      <c r="H505" s="216" t="s">
        <v>2246</v>
      </c>
      <c r="I505" s="217" t="str">
        <f t="array" ref="I505">IF(E505="", "", _xlfn.XLOOKUP(E505, 'GERAL ENVIOS'!C:C, 'GERAL ENVIOS'!K:K,"NAO ESTA NA PLANILHA"))</f>
        <v>Finalizado</v>
      </c>
    </row>
    <row r="506" ht="17.25" customHeight="1">
      <c r="A506" s="211"/>
      <c r="B506" s="215" t="s">
        <v>1168</v>
      </c>
      <c r="C506" s="215" t="s">
        <v>1163</v>
      </c>
      <c r="D506" s="213">
        <v>75342.0</v>
      </c>
      <c r="E506" s="214" t="s">
        <v>2321</v>
      </c>
      <c r="F506" s="215" t="s">
        <v>2322</v>
      </c>
      <c r="G506" s="215" t="s">
        <v>2323</v>
      </c>
      <c r="H506" s="216" t="s">
        <v>2246</v>
      </c>
      <c r="I506" s="217" t="str">
        <f t="array" ref="I506">IF(E506="", "", _xlfn.XLOOKUP(E506, 'GERAL ENVIOS'!C:C, 'GERAL ENVIOS'!K:K,"NAO ESTA NA PLANILHA"))</f>
        <v>NAO ESTA NA PLANILHA</v>
      </c>
    </row>
    <row r="507" ht="17.25" customHeight="1">
      <c r="A507" s="211"/>
      <c r="B507" s="215" t="s">
        <v>1162</v>
      </c>
      <c r="C507" s="215" t="s">
        <v>1163</v>
      </c>
      <c r="D507" s="213">
        <v>59270.0</v>
      </c>
      <c r="E507" s="214" t="s">
        <v>2324</v>
      </c>
      <c r="F507" s="215" t="s">
        <v>2325</v>
      </c>
      <c r="G507" s="215" t="s">
        <v>2326</v>
      </c>
      <c r="H507" s="216" t="s">
        <v>2246</v>
      </c>
      <c r="I507" s="217" t="str">
        <f t="array" ref="I507">IF(E507="", "", _xlfn.XLOOKUP(E507, 'GERAL ENVIOS'!C:C, 'GERAL ENVIOS'!K:K,"NAO ESTA NA PLANILHA"))</f>
        <v>NAO ESTA NA PLANILHA</v>
      </c>
    </row>
    <row r="508" ht="17.25" customHeight="1">
      <c r="A508" s="211"/>
      <c r="B508" s="215" t="s">
        <v>1162</v>
      </c>
      <c r="C508" s="215" t="s">
        <v>1163</v>
      </c>
      <c r="D508" s="213">
        <v>88696.0</v>
      </c>
      <c r="E508" s="214" t="s">
        <v>2327</v>
      </c>
      <c r="F508" s="215" t="s">
        <v>2328</v>
      </c>
      <c r="G508" s="215" t="s">
        <v>2329</v>
      </c>
      <c r="H508" s="216" t="s">
        <v>2246</v>
      </c>
      <c r="I508" s="217" t="str">
        <f t="array" ref="I508">IF(E508="", "", _xlfn.XLOOKUP(E508, 'GERAL ENVIOS'!C:C, 'GERAL ENVIOS'!K:K,"NAO ESTA NA PLANILHA"))</f>
        <v>NAO ESTA NA PLANILHA</v>
      </c>
    </row>
    <row r="509" ht="17.25" customHeight="1">
      <c r="A509" s="211"/>
      <c r="B509" s="215" t="s">
        <v>1162</v>
      </c>
      <c r="C509" s="215" t="s">
        <v>1235</v>
      </c>
      <c r="D509" s="213">
        <v>88394.0</v>
      </c>
      <c r="E509" s="214" t="s">
        <v>216</v>
      </c>
      <c r="F509" s="215" t="s">
        <v>2330</v>
      </c>
      <c r="G509" s="215" t="s">
        <v>2331</v>
      </c>
      <c r="H509" s="216" t="s">
        <v>2246</v>
      </c>
      <c r="I509" s="217" t="str">
        <f t="array" ref="I509">IF(E509="", "", _xlfn.XLOOKUP(E509, 'GERAL ENVIOS'!C:C, 'GERAL ENVIOS'!K:K,"NAO ESTA NA PLANILHA"))</f>
        <v>Finalizado</v>
      </c>
    </row>
    <row r="510" ht="17.25" customHeight="1">
      <c r="A510" s="211"/>
      <c r="B510" s="215" t="s">
        <v>1162</v>
      </c>
      <c r="C510" s="215" t="s">
        <v>1163</v>
      </c>
      <c r="D510" s="213">
        <v>90354.0</v>
      </c>
      <c r="E510" s="214" t="s">
        <v>2332</v>
      </c>
      <c r="F510" s="215" t="s">
        <v>2333</v>
      </c>
      <c r="G510" s="223">
        <v>9.6991330834E10</v>
      </c>
      <c r="H510" s="216" t="s">
        <v>2246</v>
      </c>
      <c r="I510" s="217" t="str">
        <f t="array" ref="I510">IF(E510="", "", _xlfn.XLOOKUP(E510, 'GERAL ENVIOS'!C:C, 'GERAL ENVIOS'!K:K,"NAO ESTA NA PLANILHA"))</f>
        <v>NAO ESTA NA PLANILHA</v>
      </c>
    </row>
    <row r="511" ht="17.25" customHeight="1">
      <c r="A511" s="211"/>
      <c r="B511" s="215" t="s">
        <v>1162</v>
      </c>
      <c r="C511" s="215" t="s">
        <v>1163</v>
      </c>
      <c r="D511" s="213">
        <v>88656.0</v>
      </c>
      <c r="E511" s="214" t="s">
        <v>2334</v>
      </c>
      <c r="F511" s="215" t="s">
        <v>2335</v>
      </c>
      <c r="G511" s="215" t="s">
        <v>2336</v>
      </c>
      <c r="H511" s="216" t="s">
        <v>2246</v>
      </c>
      <c r="I511" s="217" t="str">
        <f t="array" ref="I511">IF(E511="", "", _xlfn.XLOOKUP(E511, 'GERAL ENVIOS'!C:C, 'GERAL ENVIOS'!K:K,"NAO ESTA NA PLANILHA"))</f>
        <v>NAO ESTA NA PLANILHA</v>
      </c>
    </row>
    <row r="512" ht="17.25" customHeight="1">
      <c r="A512" s="211"/>
      <c r="B512" s="215" t="s">
        <v>1168</v>
      </c>
      <c r="C512" s="215" t="s">
        <v>1163</v>
      </c>
      <c r="D512" s="213">
        <v>87631.0</v>
      </c>
      <c r="E512" s="214" t="s">
        <v>2337</v>
      </c>
      <c r="F512" s="215" t="s">
        <v>2338</v>
      </c>
      <c r="G512" s="215" t="s">
        <v>2339</v>
      </c>
      <c r="H512" s="216" t="s">
        <v>2246</v>
      </c>
      <c r="I512" s="217" t="str">
        <f t="array" ref="I512">IF(E512="", "", _xlfn.XLOOKUP(E512, 'GERAL ENVIOS'!C:C, 'GERAL ENVIOS'!K:K,"NAO ESTA NA PLANILHA"))</f>
        <v>NAO ESTA NA PLANILHA</v>
      </c>
    </row>
    <row r="513" ht="17.25" customHeight="1">
      <c r="A513" s="211"/>
      <c r="B513" s="215" t="s">
        <v>1168</v>
      </c>
      <c r="C513" s="215" t="s">
        <v>1163</v>
      </c>
      <c r="D513" s="213">
        <v>90272.0</v>
      </c>
      <c r="E513" s="214" t="s">
        <v>2340</v>
      </c>
      <c r="F513" s="215" t="s">
        <v>2341</v>
      </c>
      <c r="G513" s="215" t="s">
        <v>2342</v>
      </c>
      <c r="H513" s="216" t="s">
        <v>2246</v>
      </c>
      <c r="I513" s="217" t="str">
        <f t="array" ref="I513">IF(E513="", "", _xlfn.XLOOKUP(E513, 'GERAL ENVIOS'!C:C, 'GERAL ENVIOS'!K:K,"NAO ESTA NA PLANILHA"))</f>
        <v>NAO ESTA NA PLANILHA</v>
      </c>
    </row>
    <row r="514" ht="17.25" customHeight="1">
      <c r="A514" s="211"/>
      <c r="B514" s="215" t="s">
        <v>1168</v>
      </c>
      <c r="C514" s="215" t="s">
        <v>1163</v>
      </c>
      <c r="D514" s="213">
        <v>90268.0</v>
      </c>
      <c r="E514" s="214" t="s">
        <v>2343</v>
      </c>
      <c r="F514" s="215" t="s">
        <v>2344</v>
      </c>
      <c r="G514" s="215" t="s">
        <v>2345</v>
      </c>
      <c r="H514" s="216" t="s">
        <v>2246</v>
      </c>
      <c r="I514" s="217" t="str">
        <f t="array" ref="I514">IF(E514="", "", _xlfn.XLOOKUP(E514, 'GERAL ENVIOS'!C:C, 'GERAL ENVIOS'!K:K,"NAO ESTA NA PLANILHA"))</f>
        <v>NAO ESTA NA PLANILHA</v>
      </c>
    </row>
    <row r="515" ht="17.25" customHeight="1">
      <c r="A515" s="211"/>
      <c r="B515" s="215" t="s">
        <v>1162</v>
      </c>
      <c r="C515" s="215" t="s">
        <v>1235</v>
      </c>
      <c r="D515" s="213">
        <v>75588.0</v>
      </c>
      <c r="E515" s="214" t="s">
        <v>243</v>
      </c>
      <c r="F515" s="215" t="s">
        <v>2346</v>
      </c>
      <c r="G515" s="215" t="s">
        <v>2347</v>
      </c>
      <c r="H515" s="216" t="s">
        <v>2246</v>
      </c>
      <c r="I515" s="217" t="str">
        <f t="array" ref="I515">IF(E515="", "", _xlfn.XLOOKUP(E515, 'GERAL ENVIOS'!C:C, 'GERAL ENVIOS'!K:K,"NAO ESTA NA PLANILHA"))</f>
        <v>Finalizado</v>
      </c>
    </row>
    <row r="516" ht="17.25" customHeight="1">
      <c r="A516" s="211"/>
      <c r="B516" s="215" t="s">
        <v>1168</v>
      </c>
      <c r="C516" s="215" t="s">
        <v>1235</v>
      </c>
      <c r="D516" s="213">
        <v>75344.0</v>
      </c>
      <c r="E516" s="214" t="s">
        <v>590</v>
      </c>
      <c r="F516" s="215" t="s">
        <v>2348</v>
      </c>
      <c r="G516" s="215" t="s">
        <v>2349</v>
      </c>
      <c r="H516" s="216" t="s">
        <v>2246</v>
      </c>
      <c r="I516" s="217" t="str">
        <f t="array" ref="I516">IF(E516="", "", _xlfn.XLOOKUP(E516, 'GERAL ENVIOS'!C:C, 'GERAL ENVIOS'!K:K,"NAO ESTA NA PLANILHA"))</f>
        <v>Finalizado</v>
      </c>
    </row>
    <row r="517" ht="17.25" customHeight="1">
      <c r="A517" s="211"/>
      <c r="B517" s="215" t="s">
        <v>1168</v>
      </c>
      <c r="C517" s="215" t="s">
        <v>1409</v>
      </c>
      <c r="D517" s="213">
        <v>59455.0</v>
      </c>
      <c r="E517" s="214" t="s">
        <v>2350</v>
      </c>
      <c r="F517" s="215" t="s">
        <v>2351</v>
      </c>
      <c r="G517" s="215" t="s">
        <v>2352</v>
      </c>
      <c r="H517" s="216" t="s">
        <v>2246</v>
      </c>
      <c r="I517" s="217" t="str">
        <f t="array" ref="I517">IF(E517="", "", _xlfn.XLOOKUP(E517, 'GERAL ENVIOS'!C:C, 'GERAL ENVIOS'!K:K,"NAO ESTA NA PLANILHA"))</f>
        <v>NAO ESTA NA PLANILHA</v>
      </c>
    </row>
    <row r="518" ht="17.25" customHeight="1">
      <c r="A518" s="211"/>
      <c r="B518" s="215" t="s">
        <v>1168</v>
      </c>
      <c r="C518" s="215" t="s">
        <v>1163</v>
      </c>
      <c r="D518" s="213">
        <v>59555.0</v>
      </c>
      <c r="E518" s="214" t="s">
        <v>254</v>
      </c>
      <c r="F518" s="215" t="s">
        <v>2353</v>
      </c>
      <c r="G518" s="215" t="s">
        <v>2354</v>
      </c>
      <c r="H518" s="216" t="s">
        <v>2246</v>
      </c>
      <c r="I518" s="217" t="str">
        <f t="array" ref="I518">IF(E518="", "", _xlfn.XLOOKUP(E518, 'GERAL ENVIOS'!C:C, 'GERAL ENVIOS'!K:K,"NAO ESTA NA PLANILHA"))</f>
        <v>Aguardando Aprovação</v>
      </c>
    </row>
    <row r="519" ht="17.25" customHeight="1">
      <c r="A519" s="211"/>
      <c r="B519" s="215" t="s">
        <v>1162</v>
      </c>
      <c r="C519" s="215" t="s">
        <v>1235</v>
      </c>
      <c r="D519" s="213">
        <v>59249.0</v>
      </c>
      <c r="E519" s="214" t="s">
        <v>701</v>
      </c>
      <c r="F519" s="215" t="s">
        <v>2355</v>
      </c>
      <c r="G519" s="215" t="s">
        <v>2356</v>
      </c>
      <c r="H519" s="216" t="s">
        <v>2246</v>
      </c>
      <c r="I519" s="217" t="str">
        <f t="array" ref="I519">IF(E519="", "", _xlfn.XLOOKUP(E519, 'GERAL ENVIOS'!C:C, 'GERAL ENVIOS'!K:K,"NAO ESTA NA PLANILHA"))</f>
        <v>Finalizado</v>
      </c>
    </row>
    <row r="520" ht="17.25" customHeight="1">
      <c r="A520" s="211"/>
      <c r="B520" s="215" t="s">
        <v>1168</v>
      </c>
      <c r="C520" s="215" t="s">
        <v>1246</v>
      </c>
      <c r="D520" s="213">
        <v>59224.0</v>
      </c>
      <c r="E520" s="214" t="s">
        <v>774</v>
      </c>
      <c r="F520" s="215" t="s">
        <v>2357</v>
      </c>
      <c r="G520" s="215" t="s">
        <v>2358</v>
      </c>
      <c r="H520" s="216" t="s">
        <v>2246</v>
      </c>
      <c r="I520" s="217" t="str">
        <f t="array" ref="I520">IF(E520="", "", _xlfn.XLOOKUP(E520, 'GERAL ENVIOS'!C:C, 'GERAL ENVIOS'!K:K,"NAO ESTA NA PLANILHA"))</f>
        <v>Finalizado</v>
      </c>
    </row>
    <row r="521" ht="17.25" customHeight="1">
      <c r="A521" s="211"/>
      <c r="B521" s="215" t="s">
        <v>1168</v>
      </c>
      <c r="C521" s="215" t="s">
        <v>1246</v>
      </c>
      <c r="D521" s="213">
        <v>86720.0</v>
      </c>
      <c r="E521" s="214" t="s">
        <v>306</v>
      </c>
      <c r="F521" s="215" t="s">
        <v>2359</v>
      </c>
      <c r="G521" s="223">
        <v>9.6984103563E10</v>
      </c>
      <c r="H521" s="216" t="s">
        <v>2246</v>
      </c>
      <c r="I521" s="217" t="str">
        <f t="array" ref="I521">IF(E521="", "", _xlfn.XLOOKUP(E521, 'GERAL ENVIOS'!C:C, 'GERAL ENVIOS'!K:K,"NAO ESTA NA PLANILHA"))</f>
        <v>IMPRESSÃO</v>
      </c>
    </row>
    <row r="522" ht="17.25" customHeight="1">
      <c r="A522" s="211"/>
      <c r="B522" s="215" t="s">
        <v>1162</v>
      </c>
      <c r="C522" s="215" t="s">
        <v>1163</v>
      </c>
      <c r="D522" s="213">
        <v>87761.0</v>
      </c>
      <c r="E522" s="214" t="s">
        <v>2360</v>
      </c>
      <c r="F522" s="215" t="s">
        <v>2361</v>
      </c>
      <c r="G522" s="215" t="s">
        <v>2362</v>
      </c>
      <c r="H522" s="216" t="s">
        <v>2246</v>
      </c>
      <c r="I522" s="217" t="str">
        <f t="array" ref="I522">IF(E522="", "", _xlfn.XLOOKUP(E522, 'GERAL ENVIOS'!C:C, 'GERAL ENVIOS'!K:K,"NAO ESTA NA PLANILHA"))</f>
        <v>NAO ESTA NA PLANILHA</v>
      </c>
    </row>
    <row r="523" ht="17.25" customHeight="1">
      <c r="A523" s="211"/>
      <c r="B523" s="215" t="s">
        <v>1168</v>
      </c>
      <c r="C523" s="215" t="s">
        <v>1246</v>
      </c>
      <c r="D523" s="213">
        <v>88691.0</v>
      </c>
      <c r="E523" s="214" t="s">
        <v>280</v>
      </c>
      <c r="F523" s="215" t="s">
        <v>2363</v>
      </c>
      <c r="G523" s="223">
        <v>9.69917062E10</v>
      </c>
      <c r="H523" s="216" t="s">
        <v>2246</v>
      </c>
      <c r="I523" s="217" t="str">
        <f t="array" ref="I523">IF(E523="", "", _xlfn.XLOOKUP(E523, 'GERAL ENVIOS'!C:C, 'GERAL ENVIOS'!K:K,"NAO ESTA NA PLANILHA"))</f>
        <v>Aguardando Aprovação</v>
      </c>
    </row>
    <row r="524" ht="17.25" customHeight="1">
      <c r="A524" s="211"/>
      <c r="B524" s="215" t="s">
        <v>1168</v>
      </c>
      <c r="C524" s="215" t="s">
        <v>1163</v>
      </c>
      <c r="D524" s="213">
        <v>84829.0</v>
      </c>
      <c r="E524" s="214" t="s">
        <v>2364</v>
      </c>
      <c r="F524" s="215" t="s">
        <v>2365</v>
      </c>
      <c r="G524" s="215" t="s">
        <v>2366</v>
      </c>
      <c r="H524" s="216" t="s">
        <v>2246</v>
      </c>
      <c r="I524" s="217" t="str">
        <f t="array" ref="I524">IF(E524="", "", _xlfn.XLOOKUP(E524, 'GERAL ENVIOS'!C:C, 'GERAL ENVIOS'!K:K,"NAO ESTA NA PLANILHA"))</f>
        <v>NAO ESTA NA PLANILHA</v>
      </c>
    </row>
    <row r="525" ht="17.25" customHeight="1">
      <c r="A525" s="211"/>
      <c r="B525" s="215" t="s">
        <v>1168</v>
      </c>
      <c r="C525" s="215" t="s">
        <v>1163</v>
      </c>
      <c r="D525" s="213">
        <v>87637.0</v>
      </c>
      <c r="E525" s="214" t="s">
        <v>142</v>
      </c>
      <c r="F525" s="215" t="s">
        <v>2367</v>
      </c>
      <c r="G525" s="215" t="s">
        <v>2368</v>
      </c>
      <c r="H525" s="216" t="s">
        <v>2246</v>
      </c>
      <c r="I525" s="217" t="str">
        <f t="array" ref="I525">IF(E525="", "", _xlfn.XLOOKUP(E525, 'GERAL ENVIOS'!C:C, 'GERAL ENVIOS'!K:K,"NAO ESTA NA PLANILHA"))</f>
        <v>Aprovado</v>
      </c>
    </row>
    <row r="526" ht="17.25" customHeight="1">
      <c r="A526" s="211"/>
      <c r="B526" s="215" t="s">
        <v>1162</v>
      </c>
      <c r="C526" s="215" t="s">
        <v>1235</v>
      </c>
      <c r="D526" s="213">
        <v>80693.0</v>
      </c>
      <c r="E526" s="214" t="s">
        <v>221</v>
      </c>
      <c r="F526" s="215" t="s">
        <v>2369</v>
      </c>
      <c r="G526" s="215" t="s">
        <v>2370</v>
      </c>
      <c r="H526" s="216" t="s">
        <v>2246</v>
      </c>
      <c r="I526" s="217" t="str">
        <f t="array" ref="I526">IF(E526="", "", _xlfn.XLOOKUP(E526, 'GERAL ENVIOS'!C:C, 'GERAL ENVIOS'!K:K,"NAO ESTA NA PLANILHA"))</f>
        <v>Finalizado</v>
      </c>
    </row>
    <row r="527" ht="17.25" customHeight="1">
      <c r="A527" s="211"/>
      <c r="B527" s="215" t="s">
        <v>1168</v>
      </c>
      <c r="C527" s="215" t="s">
        <v>1235</v>
      </c>
      <c r="D527" s="213">
        <v>88610.0</v>
      </c>
      <c r="E527" s="214" t="s">
        <v>788</v>
      </c>
      <c r="F527" s="215" t="s">
        <v>2371</v>
      </c>
      <c r="G527" s="215" t="s">
        <v>2372</v>
      </c>
      <c r="H527" s="216" t="s">
        <v>2246</v>
      </c>
      <c r="I527" s="217" t="str">
        <f t="array" ref="I527">IF(E527="", "", _xlfn.XLOOKUP(E527, 'GERAL ENVIOS'!C:C, 'GERAL ENVIOS'!K:K,"NAO ESTA NA PLANILHA"))</f>
        <v>Finalizado</v>
      </c>
    </row>
    <row r="528" ht="17.25" customHeight="1">
      <c r="A528" s="211"/>
      <c r="B528" s="215" t="s">
        <v>1168</v>
      </c>
      <c r="C528" s="215" t="s">
        <v>1235</v>
      </c>
      <c r="D528" s="213">
        <v>59266.0</v>
      </c>
      <c r="E528" s="214" t="s">
        <v>940</v>
      </c>
      <c r="F528" s="215" t="s">
        <v>2373</v>
      </c>
      <c r="G528" s="215" t="s">
        <v>2374</v>
      </c>
      <c r="H528" s="216" t="s">
        <v>2246</v>
      </c>
      <c r="I528" s="217" t="str">
        <f t="array" ref="I528">IF(E528="", "", _xlfn.XLOOKUP(E528, 'GERAL ENVIOS'!C:C, 'GERAL ENVIOS'!K:K,"NAO ESTA NA PLANILHA"))</f>
        <v>Finalizado</v>
      </c>
    </row>
    <row r="529" ht="17.25" customHeight="1">
      <c r="A529" s="211"/>
      <c r="B529" s="215" t="s">
        <v>1168</v>
      </c>
      <c r="C529" s="215" t="s">
        <v>1163</v>
      </c>
      <c r="D529" s="213">
        <v>89227.0</v>
      </c>
      <c r="E529" s="214" t="s">
        <v>792</v>
      </c>
      <c r="F529" s="215" t="s">
        <v>2375</v>
      </c>
      <c r="G529" s="215" t="s">
        <v>2376</v>
      </c>
      <c r="H529" s="216" t="s">
        <v>2246</v>
      </c>
      <c r="I529" s="217" t="str">
        <f t="array" ref="I529">IF(E529="", "", _xlfn.XLOOKUP(E529, 'GERAL ENVIOS'!C:C, 'GERAL ENVIOS'!K:K,"NAO ESTA NA PLANILHA"))</f>
        <v>Finalizado</v>
      </c>
    </row>
    <row r="530" ht="17.25" customHeight="1">
      <c r="A530" s="211"/>
      <c r="B530" s="215" t="s">
        <v>1168</v>
      </c>
      <c r="C530" s="215" t="s">
        <v>1163</v>
      </c>
      <c r="D530" s="213">
        <v>83813.0</v>
      </c>
      <c r="E530" s="214" t="s">
        <v>370</v>
      </c>
      <c r="F530" s="215" t="s">
        <v>2377</v>
      </c>
      <c r="G530" s="215" t="s">
        <v>2378</v>
      </c>
      <c r="H530" s="216" t="s">
        <v>2246</v>
      </c>
      <c r="I530" s="217" t="str">
        <f t="array" ref="I530">IF(E530="", "", _xlfn.XLOOKUP(E530, 'GERAL ENVIOS'!C:C, 'GERAL ENVIOS'!K:K,"NAO ESTA NA PLANILHA"))</f>
        <v>Aprovado</v>
      </c>
    </row>
    <row r="531" ht="17.25" customHeight="1">
      <c r="A531" s="211"/>
      <c r="B531" s="215" t="s">
        <v>1162</v>
      </c>
      <c r="C531" s="215" t="s">
        <v>1163</v>
      </c>
      <c r="D531" s="213">
        <v>80892.0</v>
      </c>
      <c r="E531" s="214" t="s">
        <v>2379</v>
      </c>
      <c r="F531" s="215" t="s">
        <v>2380</v>
      </c>
      <c r="G531" s="215" t="s">
        <v>2381</v>
      </c>
      <c r="H531" s="216" t="s">
        <v>2246</v>
      </c>
      <c r="I531" s="217" t="str">
        <f t="array" ref="I531">IF(E531="", "", _xlfn.XLOOKUP(E531, 'GERAL ENVIOS'!C:C, 'GERAL ENVIOS'!K:K,"NAO ESTA NA PLANILHA"))</f>
        <v>NAO ESTA NA PLANILHA</v>
      </c>
    </row>
    <row r="532" ht="17.25" customHeight="1">
      <c r="A532" s="211"/>
      <c r="B532" s="215" t="s">
        <v>1168</v>
      </c>
      <c r="C532" s="215" t="s">
        <v>1409</v>
      </c>
      <c r="D532" s="213">
        <v>75886.0</v>
      </c>
      <c r="E532" s="214" t="s">
        <v>2382</v>
      </c>
      <c r="F532" s="215" t="s">
        <v>2383</v>
      </c>
      <c r="G532" s="215" t="s">
        <v>2384</v>
      </c>
      <c r="H532" s="216" t="s">
        <v>2246</v>
      </c>
      <c r="I532" s="217" t="str">
        <f t="array" ref="I532">IF(E532="", "", _xlfn.XLOOKUP(E532, 'GERAL ENVIOS'!C:C, 'GERAL ENVIOS'!K:K,"NAO ESTA NA PLANILHA"))</f>
        <v>NAO ESTA NA PLANILHA</v>
      </c>
    </row>
    <row r="533" ht="17.25" customHeight="1">
      <c r="A533" s="211"/>
      <c r="B533" s="215" t="s">
        <v>1168</v>
      </c>
      <c r="C533" s="215" t="s">
        <v>1163</v>
      </c>
      <c r="D533" s="213">
        <v>86648.0</v>
      </c>
      <c r="E533" s="214" t="s">
        <v>2385</v>
      </c>
      <c r="F533" s="215" t="s">
        <v>2386</v>
      </c>
      <c r="G533" s="215" t="s">
        <v>2387</v>
      </c>
      <c r="H533" s="216" t="s">
        <v>2246</v>
      </c>
      <c r="I533" s="217" t="str">
        <f t="array" ref="I533">IF(E533="", "", _xlfn.XLOOKUP(E533, 'GERAL ENVIOS'!C:C, 'GERAL ENVIOS'!K:K,"NAO ESTA NA PLANILHA"))</f>
        <v>NAO ESTA NA PLANILHA</v>
      </c>
    </row>
    <row r="534" ht="17.25" customHeight="1">
      <c r="A534" s="211"/>
      <c r="B534" s="215" t="s">
        <v>1162</v>
      </c>
      <c r="C534" s="215" t="s">
        <v>1366</v>
      </c>
      <c r="D534" s="213">
        <v>86654.0</v>
      </c>
      <c r="E534" s="214" t="s">
        <v>400</v>
      </c>
      <c r="F534" s="215" t="s">
        <v>2388</v>
      </c>
      <c r="G534" s="215" t="s">
        <v>2389</v>
      </c>
      <c r="H534" s="216" t="s">
        <v>2246</v>
      </c>
      <c r="I534" s="217" t="str">
        <f t="array" ref="I534">IF(E534="", "", _xlfn.XLOOKUP(E534, 'GERAL ENVIOS'!C:C, 'GERAL ENVIOS'!K:K,"NAO ESTA NA PLANILHA"))</f>
        <v>Finalizado</v>
      </c>
    </row>
    <row r="535" ht="17.25" customHeight="1">
      <c r="A535" s="211"/>
      <c r="B535" s="215" t="s">
        <v>1162</v>
      </c>
      <c r="C535" s="215" t="s">
        <v>1163</v>
      </c>
      <c r="D535" s="213">
        <v>87735.0</v>
      </c>
      <c r="E535" s="214" t="s">
        <v>462</v>
      </c>
      <c r="F535" s="215" t="s">
        <v>2390</v>
      </c>
      <c r="G535" s="215" t="s">
        <v>2391</v>
      </c>
      <c r="H535" s="216" t="s">
        <v>2246</v>
      </c>
      <c r="I535" s="217" t="str">
        <f t="array" ref="I535">IF(E535="", "", _xlfn.XLOOKUP(E535, 'GERAL ENVIOS'!C:C, 'GERAL ENVIOS'!K:K,"NAO ESTA NA PLANILHA"))</f>
        <v>Aprovado</v>
      </c>
    </row>
    <row r="536" ht="17.25" customHeight="1">
      <c r="A536" s="211"/>
      <c r="B536" s="215" t="s">
        <v>1168</v>
      </c>
      <c r="C536" s="215" t="s">
        <v>1366</v>
      </c>
      <c r="D536" s="213">
        <v>75694.0</v>
      </c>
      <c r="E536" s="214" t="s">
        <v>646</v>
      </c>
      <c r="F536" s="215" t="s">
        <v>2392</v>
      </c>
      <c r="G536" s="215" t="s">
        <v>2393</v>
      </c>
      <c r="H536" s="216" t="s">
        <v>2246</v>
      </c>
      <c r="I536" s="217" t="str">
        <f t="array" ref="I536">IF(E536="", "", _xlfn.XLOOKUP(E536, 'GERAL ENVIOS'!C:C, 'GERAL ENVIOS'!K:K,"NAO ESTA NA PLANILHA"))</f>
        <v>Finalizado</v>
      </c>
    </row>
    <row r="537" ht="17.25" customHeight="1">
      <c r="A537" s="211"/>
      <c r="B537" s="215" t="s">
        <v>1168</v>
      </c>
      <c r="C537" s="215" t="s">
        <v>1163</v>
      </c>
      <c r="D537" s="213">
        <v>87400.0</v>
      </c>
      <c r="E537" s="214" t="s">
        <v>2394</v>
      </c>
      <c r="F537" s="215" t="s">
        <v>2395</v>
      </c>
      <c r="G537" s="215" t="s">
        <v>2396</v>
      </c>
      <c r="H537" s="216" t="s">
        <v>2246</v>
      </c>
      <c r="I537" s="217" t="str">
        <f t="array" ref="I537">IF(E537="", "", _xlfn.XLOOKUP(E537, 'GERAL ENVIOS'!C:C, 'GERAL ENVIOS'!K:K,"NAO ESTA NA PLANILHA"))</f>
        <v>NAO ESTA NA PLANILHA</v>
      </c>
    </row>
    <row r="538" ht="17.25" customHeight="1">
      <c r="A538" s="211"/>
      <c r="B538" s="215" t="s">
        <v>1168</v>
      </c>
      <c r="C538" s="215" t="s">
        <v>1163</v>
      </c>
      <c r="D538" s="213">
        <v>89911.0</v>
      </c>
      <c r="E538" s="214" t="s">
        <v>2397</v>
      </c>
      <c r="F538" s="215" t="s">
        <v>2398</v>
      </c>
      <c r="G538" s="215" t="s">
        <v>2399</v>
      </c>
      <c r="H538" s="216" t="s">
        <v>2246</v>
      </c>
      <c r="I538" s="217" t="str">
        <f t="array" ref="I538">IF(E538="", "", _xlfn.XLOOKUP(E538, 'GERAL ENVIOS'!C:C, 'GERAL ENVIOS'!K:K,"NAO ESTA NA PLANILHA"))</f>
        <v>IMPRESSÃO</v>
      </c>
    </row>
    <row r="539" ht="17.25" customHeight="1">
      <c r="A539" s="211"/>
      <c r="B539" s="215" t="s">
        <v>1437</v>
      </c>
      <c r="C539" s="215" t="s">
        <v>1163</v>
      </c>
      <c r="D539" s="213">
        <v>86877.0</v>
      </c>
      <c r="E539" s="229" t="s">
        <v>857</v>
      </c>
      <c r="F539" s="215" t="s">
        <v>2400</v>
      </c>
      <c r="G539" s="215" t="s">
        <v>2401</v>
      </c>
      <c r="H539" s="216" t="s">
        <v>2402</v>
      </c>
      <c r="I539" s="217" t="str">
        <f t="array" ref="I539">IF(E539="", "", _xlfn.XLOOKUP(E539, 'GERAL ENVIOS'!C:C, 'GERAL ENVIOS'!K:K,"NAO ESTA NA PLANILHA"))</f>
        <v>Finalizado</v>
      </c>
    </row>
    <row r="540" ht="17.25" customHeight="1">
      <c r="A540" s="211"/>
      <c r="B540" s="215" t="s">
        <v>1437</v>
      </c>
      <c r="C540" s="215" t="s">
        <v>1179</v>
      </c>
      <c r="D540" s="213">
        <v>60063.0</v>
      </c>
      <c r="E540" s="229" t="s">
        <v>2403</v>
      </c>
      <c r="F540" s="215" t="s">
        <v>2404</v>
      </c>
      <c r="G540" s="215" t="s">
        <v>2405</v>
      </c>
      <c r="H540" s="216" t="s">
        <v>2402</v>
      </c>
      <c r="I540" s="217" t="str">
        <f t="array" ref="I540">IF(E540="", "", _xlfn.XLOOKUP(E540, 'GERAL ENVIOS'!C:C, 'GERAL ENVIOS'!K:K,"NAO ESTA NA PLANILHA"))</f>
        <v>NAO ESTA NA PLANILHA</v>
      </c>
    </row>
    <row r="541" ht="17.25" customHeight="1">
      <c r="A541" s="211"/>
      <c r="B541" s="215" t="s">
        <v>1330</v>
      </c>
      <c r="C541" s="215" t="s">
        <v>1163</v>
      </c>
      <c r="D541" s="213">
        <v>60063.0</v>
      </c>
      <c r="E541" s="229" t="s">
        <v>2403</v>
      </c>
      <c r="F541" s="215" t="s">
        <v>2404</v>
      </c>
      <c r="G541" s="215" t="s">
        <v>2405</v>
      </c>
      <c r="H541" s="216" t="s">
        <v>2402</v>
      </c>
      <c r="I541" s="217" t="str">
        <f t="array" ref="I541">IF(E541="", "", _xlfn.XLOOKUP(E541, 'GERAL ENVIOS'!C:C, 'GERAL ENVIOS'!K:K,"NAO ESTA NA PLANILHA"))</f>
        <v>NAO ESTA NA PLANILHA</v>
      </c>
    </row>
    <row r="542" ht="17.25" customHeight="1">
      <c r="A542" s="211"/>
      <c r="B542" s="215" t="s">
        <v>1178</v>
      </c>
      <c r="C542" s="215" t="s">
        <v>1163</v>
      </c>
      <c r="D542" s="213">
        <v>75417.0</v>
      </c>
      <c r="E542" s="229" t="s">
        <v>2406</v>
      </c>
      <c r="F542" s="215" t="s">
        <v>2407</v>
      </c>
      <c r="G542" s="215" t="s">
        <v>2408</v>
      </c>
      <c r="H542" s="216" t="s">
        <v>2402</v>
      </c>
      <c r="I542" s="217" t="str">
        <f t="array" ref="I542">IF(E542="", "", _xlfn.XLOOKUP(E542, 'GERAL ENVIOS'!C:C, 'GERAL ENVIOS'!K:K,"NAO ESTA NA PLANILHA"))</f>
        <v>NAO ESTA NA PLANILHA</v>
      </c>
    </row>
    <row r="543" ht="17.25" customHeight="1">
      <c r="A543" s="211"/>
      <c r="B543" s="215" t="s">
        <v>1437</v>
      </c>
      <c r="C543" s="215" t="s">
        <v>1163</v>
      </c>
      <c r="D543" s="213">
        <v>74429.0</v>
      </c>
      <c r="E543" s="229" t="s">
        <v>528</v>
      </c>
      <c r="F543" s="215" t="s">
        <v>2409</v>
      </c>
      <c r="G543" s="215" t="s">
        <v>2410</v>
      </c>
      <c r="H543" s="216" t="s">
        <v>2402</v>
      </c>
      <c r="I543" s="217" t="str">
        <f t="array" ref="I543">IF(E543="", "", _xlfn.XLOOKUP(E543, 'GERAL ENVIOS'!C:C, 'GERAL ENVIOS'!K:K,"NAO ESTA NA PLANILHA"))</f>
        <v>Aguardando Aprovação</v>
      </c>
    </row>
    <row r="544" ht="17.25" customHeight="1">
      <c r="A544" s="211"/>
      <c r="B544" s="215" t="s">
        <v>1330</v>
      </c>
      <c r="C544" s="215" t="s">
        <v>1163</v>
      </c>
      <c r="D544" s="213">
        <v>74289.0</v>
      </c>
      <c r="E544" s="229" t="s">
        <v>2411</v>
      </c>
      <c r="F544" s="215" t="s">
        <v>2412</v>
      </c>
      <c r="G544" s="215" t="s">
        <v>2413</v>
      </c>
      <c r="H544" s="216" t="s">
        <v>2402</v>
      </c>
      <c r="I544" s="217" t="str">
        <f t="array" ref="I544">IF(E544="", "", _xlfn.XLOOKUP(E544, 'GERAL ENVIOS'!C:C, 'GERAL ENVIOS'!K:K,"NAO ESTA NA PLANILHA"))</f>
        <v>NAO ESTA NA PLANILHA</v>
      </c>
    </row>
    <row r="545" ht="17.25" customHeight="1">
      <c r="A545" s="211"/>
      <c r="B545" s="215" t="s">
        <v>1178</v>
      </c>
      <c r="C545" s="215" t="s">
        <v>1163</v>
      </c>
      <c r="D545" s="213">
        <v>73467.0</v>
      </c>
      <c r="E545" s="229" t="s">
        <v>86</v>
      </c>
      <c r="F545" s="215" t="s">
        <v>2414</v>
      </c>
      <c r="G545" s="215" t="s">
        <v>2415</v>
      </c>
      <c r="H545" s="216" t="s">
        <v>2402</v>
      </c>
      <c r="I545" s="217" t="str">
        <f t="array" ref="I545">IF(E545="", "", _xlfn.XLOOKUP(E545, 'GERAL ENVIOS'!C:C, 'GERAL ENVIOS'!K:K,"NAO ESTA NA PLANILHA"))</f>
        <v>IMPRESSÃO</v>
      </c>
    </row>
    <row r="546" ht="17.25" customHeight="1">
      <c r="A546" s="211"/>
      <c r="B546" s="215" t="s">
        <v>1178</v>
      </c>
      <c r="C546" s="215" t="s">
        <v>1179</v>
      </c>
      <c r="D546" s="213">
        <v>60819.0</v>
      </c>
      <c r="E546" s="229" t="s">
        <v>562</v>
      </c>
      <c r="F546" s="215" t="s">
        <v>2416</v>
      </c>
      <c r="G546" s="215" t="s">
        <v>2417</v>
      </c>
      <c r="H546" s="216" t="s">
        <v>2402</v>
      </c>
      <c r="I546" s="217" t="str">
        <f t="array" ref="I546">IF(E546="", "", _xlfn.XLOOKUP(E546, 'GERAL ENVIOS'!C:C, 'GERAL ENVIOS'!K:K,"NAO ESTA NA PLANILHA"))</f>
        <v>Aguardando Aprovação</v>
      </c>
    </row>
    <row r="547" ht="17.25" customHeight="1">
      <c r="A547" s="211"/>
      <c r="B547" s="215" t="s">
        <v>1162</v>
      </c>
      <c r="C547" s="215" t="s">
        <v>1163</v>
      </c>
      <c r="D547" s="213">
        <v>88059.0</v>
      </c>
      <c r="E547" s="229" t="s">
        <v>508</v>
      </c>
      <c r="F547" s="215" t="s">
        <v>2418</v>
      </c>
      <c r="G547" s="215" t="s">
        <v>2419</v>
      </c>
      <c r="H547" s="216" t="s">
        <v>2420</v>
      </c>
      <c r="I547" s="217" t="str">
        <f t="array" ref="I547">IF(E547="", "", _xlfn.XLOOKUP(E547, 'GERAL ENVIOS'!C:C, 'GERAL ENVIOS'!K:K,"NAO ESTA NA PLANILHA"))</f>
        <v>IMPRESSÃO</v>
      </c>
    </row>
    <row r="548" ht="17.25" customHeight="1">
      <c r="A548" s="211"/>
      <c r="B548" s="215" t="s">
        <v>1168</v>
      </c>
      <c r="C548" s="215" t="s">
        <v>1235</v>
      </c>
      <c r="D548" s="213">
        <v>83734.0</v>
      </c>
      <c r="E548" s="229" t="s">
        <v>480</v>
      </c>
      <c r="F548" s="215" t="s">
        <v>2421</v>
      </c>
      <c r="G548" s="215" t="s">
        <v>2422</v>
      </c>
      <c r="H548" s="216" t="s">
        <v>2420</v>
      </c>
      <c r="I548" s="217" t="str">
        <f t="array" ref="I548">IF(E548="", "", _xlfn.XLOOKUP(E548, 'GERAL ENVIOS'!C:C, 'GERAL ENVIOS'!K:K,"NAO ESTA NA PLANILHA"))</f>
        <v>Finalizado</v>
      </c>
    </row>
    <row r="549" ht="17.25" customHeight="1">
      <c r="A549" s="211"/>
      <c r="B549" s="215" t="s">
        <v>1168</v>
      </c>
      <c r="C549" s="215" t="s">
        <v>1163</v>
      </c>
      <c r="D549" s="213">
        <v>90297.0</v>
      </c>
      <c r="E549" s="229" t="s">
        <v>468</v>
      </c>
      <c r="F549" s="215" t="s">
        <v>2423</v>
      </c>
      <c r="G549" s="215" t="s">
        <v>2424</v>
      </c>
      <c r="H549" s="216" t="s">
        <v>2420</v>
      </c>
      <c r="I549" s="217" t="str">
        <f t="array" ref="I549">IF(E549="", "", _xlfn.XLOOKUP(E549, 'GERAL ENVIOS'!C:C, 'GERAL ENVIOS'!K:K,"NAO ESTA NA PLANILHA"))</f>
        <v>Finalizado</v>
      </c>
    </row>
    <row r="550" ht="17.25" customHeight="1">
      <c r="A550" s="211"/>
      <c r="B550" s="215" t="s">
        <v>1168</v>
      </c>
      <c r="C550" s="215" t="s">
        <v>1235</v>
      </c>
      <c r="D550" s="213">
        <v>78221.0</v>
      </c>
      <c r="E550" s="229" t="s">
        <v>223</v>
      </c>
      <c r="F550" s="215" t="s">
        <v>2425</v>
      </c>
      <c r="G550" s="215" t="s">
        <v>2426</v>
      </c>
      <c r="H550" s="216" t="s">
        <v>2420</v>
      </c>
      <c r="I550" s="217" t="str">
        <f t="array" ref="I550">IF(E550="", "", _xlfn.XLOOKUP(E550, 'GERAL ENVIOS'!C:C, 'GERAL ENVIOS'!K:K,"NAO ESTA NA PLANILHA"))</f>
        <v>Finalizado</v>
      </c>
    </row>
    <row r="551" ht="17.25" customHeight="1">
      <c r="A551" s="211"/>
      <c r="B551" s="215" t="s">
        <v>1168</v>
      </c>
      <c r="C551" s="215" t="s">
        <v>1235</v>
      </c>
      <c r="D551" s="213">
        <v>75228.0</v>
      </c>
      <c r="E551" s="229" t="s">
        <v>993</v>
      </c>
      <c r="F551" s="215" t="s">
        <v>2427</v>
      </c>
      <c r="G551" s="215" t="s">
        <v>2428</v>
      </c>
      <c r="H551" s="216" t="s">
        <v>2420</v>
      </c>
      <c r="I551" s="217" t="str">
        <f t="array" ref="I551">IF(E551="", "", _xlfn.XLOOKUP(E551, 'GERAL ENVIOS'!C:C, 'GERAL ENVIOS'!K:K,"NAO ESTA NA PLANILHA"))</f>
        <v>Finalizado</v>
      </c>
    </row>
    <row r="552" ht="17.25" customHeight="1">
      <c r="A552" s="211"/>
      <c r="B552" s="215" t="s">
        <v>1168</v>
      </c>
      <c r="C552" s="215" t="s">
        <v>1163</v>
      </c>
      <c r="D552" s="213">
        <v>84919.0</v>
      </c>
      <c r="E552" s="229" t="s">
        <v>2429</v>
      </c>
      <c r="F552" s="215" t="s">
        <v>2430</v>
      </c>
      <c r="G552" s="215" t="s">
        <v>2431</v>
      </c>
      <c r="H552" s="216" t="s">
        <v>2420</v>
      </c>
      <c r="I552" s="217" t="str">
        <f t="array" ref="I552">IF(E552="", "", _xlfn.XLOOKUP(E552, 'GERAL ENVIOS'!C:C, 'GERAL ENVIOS'!K:K,"NAO ESTA NA PLANILHA"))</f>
        <v>NAO ESTA NA PLANILHA</v>
      </c>
    </row>
    <row r="553" ht="17.25" customHeight="1">
      <c r="A553" s="211"/>
      <c r="B553" s="215" t="s">
        <v>1162</v>
      </c>
      <c r="C553" s="215" t="s">
        <v>1163</v>
      </c>
      <c r="D553" s="213">
        <v>88699.0</v>
      </c>
      <c r="E553" s="229" t="s">
        <v>2432</v>
      </c>
      <c r="F553" s="215" t="s">
        <v>2433</v>
      </c>
      <c r="G553" s="215" t="s">
        <v>2434</v>
      </c>
      <c r="H553" s="216" t="s">
        <v>2420</v>
      </c>
      <c r="I553" s="217" t="str">
        <f t="array" ref="I553">IF(E553="", "", _xlfn.XLOOKUP(E553, 'GERAL ENVIOS'!C:C, 'GERAL ENVIOS'!K:K,"NAO ESTA NA PLANILHA"))</f>
        <v>NAO ESTA NA PLANILHA</v>
      </c>
    </row>
    <row r="554" ht="17.25" customHeight="1">
      <c r="A554" s="211"/>
      <c r="B554" s="215" t="s">
        <v>1162</v>
      </c>
      <c r="C554" s="215" t="s">
        <v>1163</v>
      </c>
      <c r="D554" s="213">
        <v>77820.0</v>
      </c>
      <c r="E554" s="229" t="s">
        <v>751</v>
      </c>
      <c r="F554" s="215" t="s">
        <v>2435</v>
      </c>
      <c r="G554" s="215" t="s">
        <v>2436</v>
      </c>
      <c r="H554" s="216" t="s">
        <v>2420</v>
      </c>
      <c r="I554" s="217" t="str">
        <f t="array" ref="I554">IF(E554="", "", _xlfn.XLOOKUP(E554, 'GERAL ENVIOS'!C:C, 'GERAL ENVIOS'!K:K,"NAO ESTA NA PLANILHA"))</f>
        <v>Finalizado</v>
      </c>
    </row>
    <row r="555" ht="17.25" customHeight="1">
      <c r="A555" s="211"/>
      <c r="B555" s="215" t="s">
        <v>1168</v>
      </c>
      <c r="C555" s="215" t="s">
        <v>1235</v>
      </c>
      <c r="D555" s="213">
        <v>76227.0</v>
      </c>
      <c r="E555" s="229" t="s">
        <v>423</v>
      </c>
      <c r="F555" s="215" t="s">
        <v>2437</v>
      </c>
      <c r="G555" s="215" t="s">
        <v>2438</v>
      </c>
      <c r="H555" s="216" t="s">
        <v>2420</v>
      </c>
      <c r="I555" s="217" t="str">
        <f t="array" ref="I555">IF(E555="", "", _xlfn.XLOOKUP(E555, 'GERAL ENVIOS'!C:C, 'GERAL ENVIOS'!K:K,"NAO ESTA NA PLANILHA"))</f>
        <v>Finalizado</v>
      </c>
    </row>
    <row r="556" ht="17.25" customHeight="1">
      <c r="A556" s="211"/>
      <c r="B556" s="215" t="s">
        <v>1162</v>
      </c>
      <c r="C556" s="215" t="s">
        <v>1163</v>
      </c>
      <c r="D556" s="213">
        <v>89989.0</v>
      </c>
      <c r="E556" s="229" t="s">
        <v>713</v>
      </c>
      <c r="F556" s="215" t="s">
        <v>2439</v>
      </c>
      <c r="G556" s="215" t="s">
        <v>2440</v>
      </c>
      <c r="H556" s="216" t="s">
        <v>2420</v>
      </c>
      <c r="I556" s="217" t="str">
        <f t="array" ref="I556">IF(E556="", "", _xlfn.XLOOKUP(E556, 'GERAL ENVIOS'!C:C, 'GERAL ENVIOS'!K:K,"NAO ESTA NA PLANILHA"))</f>
        <v>IMPRESSÃO</v>
      </c>
    </row>
    <row r="557" ht="17.25" customHeight="1">
      <c r="A557" s="211"/>
      <c r="B557" s="215" t="s">
        <v>1168</v>
      </c>
      <c r="C557" s="215" t="s">
        <v>1235</v>
      </c>
      <c r="D557" s="213">
        <v>78220.0</v>
      </c>
      <c r="E557" s="229" t="s">
        <v>538</v>
      </c>
      <c r="F557" s="215" t="s">
        <v>2441</v>
      </c>
      <c r="G557" s="215" t="s">
        <v>2442</v>
      </c>
      <c r="H557" s="216" t="s">
        <v>2420</v>
      </c>
      <c r="I557" s="217" t="str">
        <f t="array" ref="I557">IF(E557="", "", _xlfn.XLOOKUP(E557, 'GERAL ENVIOS'!C:C, 'GERAL ENVIOS'!K:K,"NAO ESTA NA PLANILHA"))</f>
        <v>Finalizado</v>
      </c>
    </row>
    <row r="558" ht="17.25" customHeight="1">
      <c r="A558" s="211"/>
      <c r="B558" s="215" t="s">
        <v>1162</v>
      </c>
      <c r="C558" s="215" t="s">
        <v>1163</v>
      </c>
      <c r="D558" s="213">
        <v>79108.0</v>
      </c>
      <c r="E558" s="229" t="s">
        <v>2443</v>
      </c>
      <c r="F558" s="215" t="s">
        <v>2444</v>
      </c>
      <c r="G558" s="215" t="s">
        <v>2445</v>
      </c>
      <c r="H558" s="216" t="s">
        <v>2420</v>
      </c>
      <c r="I558" s="217" t="str">
        <f t="array" ref="I558">IF(E558="", "", _xlfn.XLOOKUP(E558, 'GERAL ENVIOS'!C:C, 'GERAL ENVIOS'!K:K,"NAO ESTA NA PLANILHA"))</f>
        <v>NAO ESTA NA PLANILHA</v>
      </c>
    </row>
    <row r="559" ht="17.25" customHeight="1">
      <c r="A559" s="211"/>
      <c r="B559" s="215" t="s">
        <v>1162</v>
      </c>
      <c r="C559" s="215" t="s">
        <v>1409</v>
      </c>
      <c r="D559" s="213">
        <v>78723.0</v>
      </c>
      <c r="E559" s="229" t="s">
        <v>2446</v>
      </c>
      <c r="F559" s="215" t="s">
        <v>2447</v>
      </c>
      <c r="G559" s="215" t="s">
        <v>2448</v>
      </c>
      <c r="H559" s="216" t="s">
        <v>2420</v>
      </c>
      <c r="I559" s="217" t="str">
        <f t="array" ref="I559">IF(E559="", "", _xlfn.XLOOKUP(E559, 'GERAL ENVIOS'!C:C, 'GERAL ENVIOS'!K:K,"NAO ESTA NA PLANILHA"))</f>
        <v>NAO ESTA NA PLANILHA</v>
      </c>
    </row>
    <row r="560" ht="17.25" customHeight="1">
      <c r="A560" s="211"/>
      <c r="B560" s="215" t="s">
        <v>1168</v>
      </c>
      <c r="C560" s="215" t="s">
        <v>1163</v>
      </c>
      <c r="D560" s="213">
        <v>90300.0</v>
      </c>
      <c r="E560" s="229" t="s">
        <v>2449</v>
      </c>
      <c r="F560" s="215" t="s">
        <v>2450</v>
      </c>
      <c r="G560" s="215" t="s">
        <v>2451</v>
      </c>
      <c r="H560" s="216" t="s">
        <v>2420</v>
      </c>
      <c r="I560" s="217" t="str">
        <f t="array" ref="I560">IF(E560="", "", _xlfn.XLOOKUP(E560, 'GERAL ENVIOS'!C:C, 'GERAL ENVIOS'!K:K,"NAO ESTA NA PLANILHA"))</f>
        <v>NAO ESTA NA PLANILHA</v>
      </c>
    </row>
    <row r="561" ht="17.25" customHeight="1">
      <c r="A561" s="211"/>
      <c r="B561" s="215" t="s">
        <v>1168</v>
      </c>
      <c r="C561" s="215" t="s">
        <v>1235</v>
      </c>
      <c r="D561" s="213">
        <v>88707.0</v>
      </c>
      <c r="E561" s="229" t="s">
        <v>191</v>
      </c>
      <c r="F561" s="215" t="s">
        <v>2452</v>
      </c>
      <c r="G561" s="215" t="s">
        <v>2453</v>
      </c>
      <c r="H561" s="216" t="s">
        <v>2420</v>
      </c>
      <c r="I561" s="217" t="str">
        <f t="array" ref="I561">IF(E561="", "", _xlfn.XLOOKUP(E561, 'GERAL ENVIOS'!C:C, 'GERAL ENVIOS'!K:K,"NAO ESTA NA PLANILHA"))</f>
        <v>Finalizado</v>
      </c>
    </row>
    <row r="562" ht="17.25" customHeight="1">
      <c r="A562" s="211"/>
      <c r="B562" s="215" t="s">
        <v>1162</v>
      </c>
      <c r="C562" s="215" t="s">
        <v>1235</v>
      </c>
      <c r="D562" s="213">
        <v>87772.0</v>
      </c>
      <c r="E562" s="229" t="s">
        <v>504</v>
      </c>
      <c r="F562" s="215" t="s">
        <v>2454</v>
      </c>
      <c r="G562" s="215" t="s">
        <v>2455</v>
      </c>
      <c r="H562" s="216" t="s">
        <v>2420</v>
      </c>
      <c r="I562" s="217" t="str">
        <f t="array" ref="I562">IF(E562="", "", _xlfn.XLOOKUP(E562, 'GERAL ENVIOS'!C:C, 'GERAL ENVIOS'!K:K,"NAO ESTA NA PLANILHA"))</f>
        <v>Finalizado</v>
      </c>
    </row>
    <row r="563" ht="17.25" customHeight="1">
      <c r="A563" s="211"/>
      <c r="B563" s="215" t="s">
        <v>1168</v>
      </c>
      <c r="C563" s="215" t="s">
        <v>1409</v>
      </c>
      <c r="D563" s="213">
        <v>88698.0</v>
      </c>
      <c r="E563" s="229" t="s">
        <v>2456</v>
      </c>
      <c r="F563" s="215" t="s">
        <v>2457</v>
      </c>
      <c r="G563" s="215" t="s">
        <v>2458</v>
      </c>
      <c r="H563" s="216" t="s">
        <v>2420</v>
      </c>
      <c r="I563" s="217" t="str">
        <f t="array" ref="I563">IF(E563="", "", _xlfn.XLOOKUP(E563, 'GERAL ENVIOS'!C:C, 'GERAL ENVIOS'!K:K,"NAO ESTA NA PLANILHA"))</f>
        <v>NAO ESTA NA PLANILHA</v>
      </c>
    </row>
    <row r="564" ht="17.25" customHeight="1">
      <c r="A564" s="211"/>
      <c r="B564" s="215" t="s">
        <v>1168</v>
      </c>
      <c r="C564" s="215" t="s">
        <v>1235</v>
      </c>
      <c r="D564" s="213">
        <v>89987.0</v>
      </c>
      <c r="E564" s="229" t="s">
        <v>558</v>
      </c>
      <c r="F564" s="215" t="s">
        <v>2459</v>
      </c>
      <c r="G564" s="215" t="s">
        <v>2460</v>
      </c>
      <c r="H564" s="216" t="s">
        <v>2420</v>
      </c>
      <c r="I564" s="217" t="str">
        <f t="array" ref="I564">IF(E564="", "", _xlfn.XLOOKUP(E564, 'GERAL ENVIOS'!C:C, 'GERAL ENVIOS'!K:K,"NAO ESTA NA PLANILHA"))</f>
        <v>Finalizado</v>
      </c>
    </row>
    <row r="565" ht="17.25" customHeight="1">
      <c r="A565" s="211"/>
      <c r="B565" s="215" t="s">
        <v>1168</v>
      </c>
      <c r="C565" s="215" t="s">
        <v>1163</v>
      </c>
      <c r="D565" s="213">
        <v>85620.0</v>
      </c>
      <c r="E565" s="229" t="s">
        <v>2461</v>
      </c>
      <c r="F565" s="215" t="s">
        <v>2462</v>
      </c>
      <c r="G565" s="215" t="s">
        <v>2463</v>
      </c>
      <c r="H565" s="216" t="s">
        <v>2420</v>
      </c>
      <c r="I565" s="217" t="str">
        <f t="array" ref="I565">IF(E565="", "", _xlfn.XLOOKUP(E565, 'GERAL ENVIOS'!C:C, 'GERAL ENVIOS'!K:K,"NAO ESTA NA PLANILHA"))</f>
        <v>NAO ESTA NA PLANILHA</v>
      </c>
    </row>
    <row r="566" ht="17.25" customHeight="1">
      <c r="A566" s="211"/>
      <c r="B566" s="215" t="s">
        <v>1162</v>
      </c>
      <c r="C566" s="215" t="s">
        <v>1163</v>
      </c>
      <c r="D566" s="213">
        <v>88815.0</v>
      </c>
      <c r="E566" s="229" t="s">
        <v>2464</v>
      </c>
      <c r="F566" s="215" t="s">
        <v>2465</v>
      </c>
      <c r="G566" s="215" t="s">
        <v>2466</v>
      </c>
      <c r="H566" s="216" t="s">
        <v>2420</v>
      </c>
      <c r="I566" s="217" t="str">
        <f t="array" ref="I566">IF(E566="", "", _xlfn.XLOOKUP(E566, 'GERAL ENVIOS'!C:C, 'GERAL ENVIOS'!K:K,"NAO ESTA NA PLANILHA"))</f>
        <v>NAO ESTA NA PLANILHA</v>
      </c>
    </row>
    <row r="567" ht="17.25" customHeight="1">
      <c r="A567" s="211"/>
      <c r="B567" s="215" t="s">
        <v>1168</v>
      </c>
      <c r="C567" s="215" t="s">
        <v>1163</v>
      </c>
      <c r="D567" s="213">
        <v>89217.0</v>
      </c>
      <c r="E567" s="229" t="s">
        <v>2467</v>
      </c>
      <c r="F567" s="215" t="s">
        <v>2468</v>
      </c>
      <c r="G567" s="215" t="s">
        <v>2469</v>
      </c>
      <c r="H567" s="216" t="s">
        <v>2420</v>
      </c>
      <c r="I567" s="217" t="str">
        <f t="array" ref="I567">IF(E567="", "", _xlfn.XLOOKUP(E567, 'GERAL ENVIOS'!C:C, 'GERAL ENVIOS'!K:K,"NAO ESTA NA PLANILHA"))</f>
        <v>NAO ESTA NA PLANILHA</v>
      </c>
    </row>
    <row r="568" ht="17.25" customHeight="1">
      <c r="A568" s="211"/>
      <c r="B568" s="215" t="s">
        <v>1162</v>
      </c>
      <c r="C568" s="215" t="s">
        <v>1163</v>
      </c>
      <c r="D568" s="213">
        <v>90069.0</v>
      </c>
      <c r="E568" s="229" t="s">
        <v>2470</v>
      </c>
      <c r="F568" s="215" t="s">
        <v>2471</v>
      </c>
      <c r="G568" s="215" t="s">
        <v>2472</v>
      </c>
      <c r="H568" s="216" t="s">
        <v>2420</v>
      </c>
      <c r="I568" s="217" t="str">
        <f t="array" ref="I568">IF(E568="", "", _xlfn.XLOOKUP(E568, 'GERAL ENVIOS'!C:C, 'GERAL ENVIOS'!K:K,"NAO ESTA NA PLANILHA"))</f>
        <v>NAO ESTA NA PLANILHA</v>
      </c>
    </row>
    <row r="569" ht="17.25" customHeight="1">
      <c r="A569" s="211"/>
      <c r="B569" s="215" t="s">
        <v>1162</v>
      </c>
      <c r="C569" s="215" t="s">
        <v>1163</v>
      </c>
      <c r="D569" s="213">
        <v>88213.0</v>
      </c>
      <c r="E569" s="229" t="s">
        <v>2473</v>
      </c>
      <c r="F569" s="215" t="s">
        <v>2474</v>
      </c>
      <c r="G569" s="215" t="s">
        <v>2475</v>
      </c>
      <c r="H569" s="216" t="s">
        <v>2420</v>
      </c>
      <c r="I569" s="217" t="str">
        <f t="array" ref="I569">IF(E569="", "", _xlfn.XLOOKUP(E569, 'GERAL ENVIOS'!C:C, 'GERAL ENVIOS'!K:K,"NAO ESTA NA PLANILHA"))</f>
        <v>NAO ESTA NA PLANILHA</v>
      </c>
    </row>
    <row r="570" ht="17.25" customHeight="1">
      <c r="A570" s="211"/>
      <c r="B570" s="215" t="s">
        <v>1168</v>
      </c>
      <c r="C570" s="215" t="s">
        <v>1235</v>
      </c>
      <c r="D570" s="213">
        <v>90193.0</v>
      </c>
      <c r="E570" s="229" t="s">
        <v>179</v>
      </c>
      <c r="F570" s="215" t="s">
        <v>2476</v>
      </c>
      <c r="G570" s="215" t="s">
        <v>2477</v>
      </c>
      <c r="H570" s="216" t="s">
        <v>2420</v>
      </c>
      <c r="I570" s="217" t="str">
        <f t="array" ref="I570">IF(E570="", "", _xlfn.XLOOKUP(E570, 'GERAL ENVIOS'!C:C, 'GERAL ENVIOS'!K:K,"NAO ESTA NA PLANILHA"))</f>
        <v>Finalizado</v>
      </c>
    </row>
    <row r="571" ht="17.25" customHeight="1">
      <c r="A571" s="211"/>
      <c r="B571" s="215" t="s">
        <v>1168</v>
      </c>
      <c r="C571" s="215" t="s">
        <v>1409</v>
      </c>
      <c r="D571" s="213">
        <v>77892.0</v>
      </c>
      <c r="E571" s="229" t="s">
        <v>2478</v>
      </c>
      <c r="F571" s="215" t="s">
        <v>2479</v>
      </c>
      <c r="G571" s="215" t="s">
        <v>2480</v>
      </c>
      <c r="H571" s="216" t="s">
        <v>2420</v>
      </c>
      <c r="I571" s="217" t="str">
        <f t="array" ref="I571">IF(E571="", "", _xlfn.XLOOKUP(E571, 'GERAL ENVIOS'!C:C, 'GERAL ENVIOS'!K:K,"NAO ESTA NA PLANILHA"))</f>
        <v>NAO ESTA NA PLANILHA</v>
      </c>
    </row>
    <row r="572" ht="17.25" customHeight="1">
      <c r="A572" s="211"/>
      <c r="B572" s="215" t="s">
        <v>1168</v>
      </c>
      <c r="C572" s="215" t="s">
        <v>1235</v>
      </c>
      <c r="D572" s="213">
        <v>88551.0</v>
      </c>
      <c r="E572" s="229" t="s">
        <v>843</v>
      </c>
      <c r="F572" s="215" t="s">
        <v>2481</v>
      </c>
      <c r="G572" s="215" t="s">
        <v>2482</v>
      </c>
      <c r="H572" s="216" t="s">
        <v>2420</v>
      </c>
      <c r="I572" s="217" t="str">
        <f t="array" ref="I572">IF(E572="", "", _xlfn.XLOOKUP(E572, 'GERAL ENVIOS'!C:C, 'GERAL ENVIOS'!K:K,"NAO ESTA NA PLANILHA"))</f>
        <v>Finalizado</v>
      </c>
    </row>
    <row r="573" ht="17.25" customHeight="1">
      <c r="A573" s="211"/>
      <c r="B573" s="215" t="s">
        <v>1168</v>
      </c>
      <c r="C573" s="215" t="s">
        <v>1163</v>
      </c>
      <c r="D573" s="213">
        <v>88804.0</v>
      </c>
      <c r="E573" s="229" t="s">
        <v>2483</v>
      </c>
      <c r="F573" s="230"/>
      <c r="G573" s="215" t="s">
        <v>2484</v>
      </c>
      <c r="H573" s="216" t="s">
        <v>2420</v>
      </c>
      <c r="I573" s="217" t="str">
        <f t="array" ref="I573">IF(E573="", "", _xlfn.XLOOKUP(E573, 'GERAL ENVIOS'!C:C, 'GERAL ENVIOS'!K:K,"NAO ESTA NA PLANILHA"))</f>
        <v>NAO ESTA NA PLANILHA</v>
      </c>
    </row>
    <row r="574" ht="17.25" customHeight="1">
      <c r="A574" s="211"/>
      <c r="B574" s="215" t="s">
        <v>1178</v>
      </c>
      <c r="C574" s="215" t="s">
        <v>1179</v>
      </c>
      <c r="D574" s="213">
        <v>78579.0</v>
      </c>
      <c r="E574" s="229" t="s">
        <v>2485</v>
      </c>
      <c r="F574" s="215" t="s">
        <v>2486</v>
      </c>
      <c r="G574" s="215" t="s">
        <v>2487</v>
      </c>
      <c r="H574" s="216" t="s">
        <v>2420</v>
      </c>
      <c r="I574" s="217" t="str">
        <f t="array" ref="I574">IF(E574="", "", _xlfn.XLOOKUP(E574, 'GERAL ENVIOS'!C:C, 'GERAL ENVIOS'!K:K,"NAO ESTA NA PLANILHA"))</f>
        <v>NAO ESTA NA PLANILHA</v>
      </c>
    </row>
    <row r="575" ht="17.25" customHeight="1">
      <c r="A575" s="211"/>
      <c r="B575" s="215" t="s">
        <v>1330</v>
      </c>
      <c r="C575" s="215" t="s">
        <v>1409</v>
      </c>
      <c r="D575" s="213">
        <v>78579.0</v>
      </c>
      <c r="E575" s="229" t="s">
        <v>2485</v>
      </c>
      <c r="F575" s="215" t="s">
        <v>2486</v>
      </c>
      <c r="G575" s="215" t="s">
        <v>2487</v>
      </c>
      <c r="H575" s="216" t="s">
        <v>2420</v>
      </c>
      <c r="I575" s="217" t="str">
        <f t="array" ref="I575">IF(E575="", "", _xlfn.XLOOKUP(E575, 'GERAL ENVIOS'!C:C, 'GERAL ENVIOS'!K:K,"NAO ESTA NA PLANILHA"))</f>
        <v>NAO ESTA NA PLANILHA</v>
      </c>
    </row>
    <row r="576" ht="17.25" customHeight="1">
      <c r="A576" s="211"/>
      <c r="B576" s="215" t="s">
        <v>1437</v>
      </c>
      <c r="C576" s="215" t="s">
        <v>1409</v>
      </c>
      <c r="D576" s="213">
        <v>78579.0</v>
      </c>
      <c r="E576" s="229" t="s">
        <v>2485</v>
      </c>
      <c r="F576" s="215" t="s">
        <v>2486</v>
      </c>
      <c r="G576" s="215" t="s">
        <v>2487</v>
      </c>
      <c r="H576" s="216" t="s">
        <v>2420</v>
      </c>
      <c r="I576" s="217" t="str">
        <f t="array" ref="I576">IF(E576="", "", _xlfn.XLOOKUP(E576, 'GERAL ENVIOS'!C:C, 'GERAL ENVIOS'!K:K,"NAO ESTA NA PLANILHA"))</f>
        <v>NAO ESTA NA PLANILHA</v>
      </c>
    </row>
    <row r="577" ht="17.25" customHeight="1">
      <c r="A577" s="211"/>
      <c r="B577" s="215" t="s">
        <v>1330</v>
      </c>
      <c r="C577" s="215" t="s">
        <v>1409</v>
      </c>
      <c r="D577" s="213">
        <v>78579.0</v>
      </c>
      <c r="E577" s="229" t="s">
        <v>2485</v>
      </c>
      <c r="F577" s="215" t="s">
        <v>2486</v>
      </c>
      <c r="G577" s="215" t="s">
        <v>2487</v>
      </c>
      <c r="H577" s="216" t="s">
        <v>2420</v>
      </c>
      <c r="I577" s="217" t="str">
        <f t="array" ref="I577">IF(E577="", "", _xlfn.XLOOKUP(E577, 'GERAL ENVIOS'!C:C, 'GERAL ENVIOS'!K:K,"NAO ESTA NA PLANILHA"))</f>
        <v>NAO ESTA NA PLANILHA</v>
      </c>
    </row>
    <row r="578" ht="17.25" customHeight="1">
      <c r="A578" s="211"/>
      <c r="B578" s="215" t="s">
        <v>1330</v>
      </c>
      <c r="C578" s="215" t="s">
        <v>1163</v>
      </c>
      <c r="D578" s="213">
        <v>78347.0</v>
      </c>
      <c r="E578" s="229" t="s">
        <v>2488</v>
      </c>
      <c r="F578" s="215" t="s">
        <v>2489</v>
      </c>
      <c r="G578" s="215" t="s">
        <v>2490</v>
      </c>
      <c r="H578" s="216" t="s">
        <v>2420</v>
      </c>
      <c r="I578" s="217" t="str">
        <f t="array" ref="I578">IF(E578="", "", _xlfn.XLOOKUP(E578, 'GERAL ENVIOS'!C:C, 'GERAL ENVIOS'!K:K,"NAO ESTA NA PLANILHA"))</f>
        <v>NAO ESTA NA PLANILHA</v>
      </c>
    </row>
    <row r="579" ht="17.25" customHeight="1">
      <c r="A579" s="211"/>
      <c r="B579" s="215" t="s">
        <v>1168</v>
      </c>
      <c r="C579" s="215" t="s">
        <v>1163</v>
      </c>
      <c r="D579" s="213">
        <v>87136.0</v>
      </c>
      <c r="E579" s="215" t="s">
        <v>2491</v>
      </c>
      <c r="F579" s="215" t="s">
        <v>2492</v>
      </c>
      <c r="G579" s="215" t="s">
        <v>2493</v>
      </c>
      <c r="H579" s="216" t="s">
        <v>2494</v>
      </c>
      <c r="I579" s="217" t="str">
        <f t="array" ref="I579">IF(E579="", "", _xlfn.XLOOKUP(E579, 'GERAL ENVIOS'!C:C, 'GERAL ENVIOS'!K:K,"NAO ESTA NA PLANILHA"))</f>
        <v>NAO ESTA NA PLANILHA</v>
      </c>
    </row>
    <row r="580" ht="17.25" customHeight="1">
      <c r="A580" s="211"/>
      <c r="B580" s="215" t="s">
        <v>1162</v>
      </c>
      <c r="C580" s="215" t="s">
        <v>1163</v>
      </c>
      <c r="D580" s="213">
        <v>88348.0</v>
      </c>
      <c r="E580" s="215" t="s">
        <v>2495</v>
      </c>
      <c r="F580" s="215" t="s">
        <v>2496</v>
      </c>
      <c r="G580" s="215" t="s">
        <v>2497</v>
      </c>
      <c r="H580" s="216" t="s">
        <v>2494</v>
      </c>
      <c r="I580" s="217" t="str">
        <f t="array" ref="I580">IF(E580="", "", _xlfn.XLOOKUP(E580, 'GERAL ENVIOS'!C:C, 'GERAL ENVIOS'!K:K,"NAO ESTA NA PLANILHA"))</f>
        <v>NAO ESTA NA PLANILHA</v>
      </c>
    </row>
    <row r="581" ht="17.25" customHeight="1">
      <c r="A581" s="211"/>
      <c r="B581" s="215" t="s">
        <v>1168</v>
      </c>
      <c r="C581" s="215" t="s">
        <v>1235</v>
      </c>
      <c r="D581" s="213">
        <v>87819.0</v>
      </c>
      <c r="E581" s="215" t="s">
        <v>211</v>
      </c>
      <c r="F581" s="215" t="s">
        <v>2498</v>
      </c>
      <c r="G581" s="215" t="s">
        <v>2499</v>
      </c>
      <c r="H581" s="216" t="s">
        <v>2494</v>
      </c>
      <c r="I581" s="217" t="str">
        <f t="array" ref="I581">IF(E581="", "", _xlfn.XLOOKUP(E581, 'GERAL ENVIOS'!C:C, 'GERAL ENVIOS'!K:K,"NAO ESTA NA PLANILHA"))</f>
        <v>Finalizado</v>
      </c>
    </row>
    <row r="582" ht="17.25" customHeight="1">
      <c r="A582" s="211"/>
      <c r="B582" s="215" t="s">
        <v>1168</v>
      </c>
      <c r="C582" s="215" t="s">
        <v>1163</v>
      </c>
      <c r="D582" s="213">
        <v>86256.0</v>
      </c>
      <c r="E582" s="215" t="s">
        <v>2500</v>
      </c>
      <c r="F582" s="215" t="s">
        <v>2501</v>
      </c>
      <c r="G582" s="215" t="s">
        <v>2502</v>
      </c>
      <c r="H582" s="216" t="s">
        <v>2494</v>
      </c>
      <c r="I582" s="217" t="str">
        <f t="array" ref="I582">IF(E582="", "", _xlfn.XLOOKUP(E582, 'GERAL ENVIOS'!C:C, 'GERAL ENVIOS'!K:K,"NAO ESTA NA PLANILHA"))</f>
        <v>NAO ESTA NA PLANILHA</v>
      </c>
    </row>
    <row r="583" ht="17.25" customHeight="1">
      <c r="A583" s="211"/>
      <c r="B583" s="215" t="s">
        <v>1168</v>
      </c>
      <c r="C583" s="215" t="s">
        <v>1246</v>
      </c>
      <c r="D583" s="213">
        <v>87133.0</v>
      </c>
      <c r="E583" s="215" t="s">
        <v>608</v>
      </c>
      <c r="F583" s="215" t="s">
        <v>2503</v>
      </c>
      <c r="G583" s="215" t="s">
        <v>2504</v>
      </c>
      <c r="H583" s="216" t="s">
        <v>2494</v>
      </c>
      <c r="I583" s="217" t="str">
        <f t="array" ref="I583">IF(E583="", "", _xlfn.XLOOKUP(E583, 'GERAL ENVIOS'!C:C, 'GERAL ENVIOS'!K:K,"NAO ESTA NA PLANILHA"))</f>
        <v>Finalizado</v>
      </c>
    </row>
    <row r="584" ht="17.25" customHeight="1">
      <c r="A584" s="211"/>
      <c r="B584" s="215" t="s">
        <v>1162</v>
      </c>
      <c r="C584" s="215" t="s">
        <v>1235</v>
      </c>
      <c r="D584" s="213">
        <v>85414.0</v>
      </c>
      <c r="E584" s="215" t="s">
        <v>119</v>
      </c>
      <c r="F584" s="215" t="s">
        <v>2505</v>
      </c>
      <c r="G584" s="223">
        <v>9.5984064777E10</v>
      </c>
      <c r="H584" s="216" t="s">
        <v>2494</v>
      </c>
      <c r="I584" s="217" t="str">
        <f t="array" ref="I584">IF(E584="", "", _xlfn.XLOOKUP(E584, 'GERAL ENVIOS'!C:C, 'GERAL ENVIOS'!K:K,"NAO ESTA NA PLANILHA"))</f>
        <v>Finalizado</v>
      </c>
    </row>
    <row r="585" ht="17.25" customHeight="1">
      <c r="A585" s="211"/>
      <c r="B585" s="215" t="s">
        <v>1168</v>
      </c>
      <c r="C585" s="215" t="s">
        <v>1409</v>
      </c>
      <c r="D585" s="213">
        <v>85415.0</v>
      </c>
      <c r="E585" s="215" t="s">
        <v>2506</v>
      </c>
      <c r="F585" s="215" t="s">
        <v>2507</v>
      </c>
      <c r="G585" s="215" t="s">
        <v>2508</v>
      </c>
      <c r="H585" s="216" t="s">
        <v>2494</v>
      </c>
      <c r="I585" s="217" t="str">
        <f t="array" ref="I585">IF(E585="", "", _xlfn.XLOOKUP(E585, 'GERAL ENVIOS'!C:C, 'GERAL ENVIOS'!K:K,"NAO ESTA NA PLANILHA"))</f>
        <v>NAO ESTA NA PLANILHA</v>
      </c>
    </row>
    <row r="586" ht="17.25" customHeight="1">
      <c r="A586" s="211"/>
      <c r="B586" s="215" t="s">
        <v>1168</v>
      </c>
      <c r="C586" s="215" t="s">
        <v>1163</v>
      </c>
      <c r="D586" s="213">
        <v>85684.0</v>
      </c>
      <c r="E586" s="215" t="s">
        <v>417</v>
      </c>
      <c r="F586" s="215" t="s">
        <v>2509</v>
      </c>
      <c r="G586" s="215" t="s">
        <v>2510</v>
      </c>
      <c r="H586" s="216" t="s">
        <v>2494</v>
      </c>
      <c r="I586" s="217" t="str">
        <f t="array" ref="I586">IF(E586="", "", _xlfn.XLOOKUP(E586, 'GERAL ENVIOS'!C:C, 'GERAL ENVIOS'!K:K,"NAO ESTA NA PLANILHA"))</f>
        <v>Finalizado</v>
      </c>
    </row>
    <row r="587" ht="17.25" customHeight="1">
      <c r="A587" s="211"/>
      <c r="B587" s="215" t="s">
        <v>1168</v>
      </c>
      <c r="C587" s="215" t="s">
        <v>1409</v>
      </c>
      <c r="D587" s="213">
        <v>87129.0</v>
      </c>
      <c r="E587" s="215" t="s">
        <v>447</v>
      </c>
      <c r="F587" s="215" t="s">
        <v>2511</v>
      </c>
      <c r="G587" s="215" t="s">
        <v>2512</v>
      </c>
      <c r="H587" s="216" t="s">
        <v>2494</v>
      </c>
      <c r="I587" s="217" t="str">
        <f t="array" ref="I587">IF(E587="", "", _xlfn.XLOOKUP(E587, 'GERAL ENVIOS'!C:C, 'GERAL ENVIOS'!K:K,"NAO ESTA NA PLANILHA"))</f>
        <v>IMPRESSÃO</v>
      </c>
    </row>
    <row r="588" ht="17.25" customHeight="1">
      <c r="A588" s="211"/>
      <c r="B588" s="215" t="s">
        <v>1168</v>
      </c>
      <c r="C588" s="215" t="s">
        <v>1163</v>
      </c>
      <c r="D588" s="213">
        <v>87120.0</v>
      </c>
      <c r="E588" s="215" t="s">
        <v>2513</v>
      </c>
      <c r="F588" s="215" t="s">
        <v>2514</v>
      </c>
      <c r="G588" s="215" t="s">
        <v>2515</v>
      </c>
      <c r="H588" s="216" t="s">
        <v>2494</v>
      </c>
      <c r="I588" s="217" t="str">
        <f t="array" ref="I588">IF(E588="", "", _xlfn.XLOOKUP(E588, 'GERAL ENVIOS'!C:C, 'GERAL ENVIOS'!K:K,"NAO ESTA NA PLANILHA"))</f>
        <v>NAO ESTA NA PLANILHA</v>
      </c>
    </row>
    <row r="589" ht="17.25" customHeight="1">
      <c r="A589" s="211"/>
      <c r="B589" s="215" t="s">
        <v>1168</v>
      </c>
      <c r="C589" s="215" t="s">
        <v>1246</v>
      </c>
      <c r="D589" s="213">
        <v>87129.0</v>
      </c>
      <c r="E589" s="215" t="s">
        <v>447</v>
      </c>
      <c r="F589" s="215" t="s">
        <v>2511</v>
      </c>
      <c r="G589" s="215" t="s">
        <v>2512</v>
      </c>
      <c r="H589" s="216" t="s">
        <v>2494</v>
      </c>
      <c r="I589" s="217" t="str">
        <f t="array" ref="I589">IF(E589="", "", _xlfn.XLOOKUP(E589, 'GERAL ENVIOS'!C:C, 'GERAL ENVIOS'!K:K,"NAO ESTA NA PLANILHA"))</f>
        <v>IMPRESSÃO</v>
      </c>
    </row>
    <row r="590" ht="17.25" customHeight="1">
      <c r="A590" s="211"/>
      <c r="B590" s="215" t="s">
        <v>1168</v>
      </c>
      <c r="C590" s="215" t="s">
        <v>1163</v>
      </c>
      <c r="D590" s="213">
        <v>85447.0</v>
      </c>
      <c r="E590" s="215" t="s">
        <v>2516</v>
      </c>
      <c r="F590" s="215" t="s">
        <v>2517</v>
      </c>
      <c r="G590" s="215" t="s">
        <v>2518</v>
      </c>
      <c r="H590" s="216" t="s">
        <v>2494</v>
      </c>
      <c r="I590" s="217" t="str">
        <f t="array" ref="I590">IF(E590="", "", _xlfn.XLOOKUP(E590, 'GERAL ENVIOS'!C:C, 'GERAL ENVIOS'!K:K,"NAO ESTA NA PLANILHA"))</f>
        <v>NAO ESTA NA PLANILHA</v>
      </c>
    </row>
    <row r="591" ht="17.25" customHeight="1">
      <c r="A591" s="211"/>
      <c r="B591" s="215" t="s">
        <v>1168</v>
      </c>
      <c r="C591" s="215" t="s">
        <v>1163</v>
      </c>
      <c r="D591" s="213">
        <v>85417.0</v>
      </c>
      <c r="E591" s="215" t="s">
        <v>2519</v>
      </c>
      <c r="F591" s="215" t="s">
        <v>2520</v>
      </c>
      <c r="G591" s="215" t="s">
        <v>2521</v>
      </c>
      <c r="H591" s="216" t="s">
        <v>2494</v>
      </c>
      <c r="I591" s="217" t="str">
        <f t="array" ref="I591">IF(E591="", "", _xlfn.XLOOKUP(E591, 'GERAL ENVIOS'!C:C, 'GERAL ENVIOS'!K:K,"NAO ESTA NA PLANILHA"))</f>
        <v>NAO ESTA NA PLANILHA</v>
      </c>
    </row>
    <row r="592" ht="17.25" customHeight="1">
      <c r="A592" s="211"/>
      <c r="B592" s="215" t="s">
        <v>1162</v>
      </c>
      <c r="C592" s="215" t="s">
        <v>1163</v>
      </c>
      <c r="D592" s="213">
        <v>85418.0</v>
      </c>
      <c r="E592" s="215" t="s">
        <v>913</v>
      </c>
      <c r="F592" s="215" t="s">
        <v>2522</v>
      </c>
      <c r="G592" s="215" t="s">
        <v>2523</v>
      </c>
      <c r="H592" s="216" t="s">
        <v>2494</v>
      </c>
      <c r="I592" s="217" t="str">
        <f t="array" ref="I592">IF(E592="", "", _xlfn.XLOOKUP(E592, 'GERAL ENVIOS'!C:C, 'GERAL ENVIOS'!K:K,"NAO ESTA NA PLANILHA"))</f>
        <v>Finalizado</v>
      </c>
    </row>
    <row r="593" ht="17.25" customHeight="1">
      <c r="A593" s="211"/>
      <c r="B593" s="215" t="s">
        <v>1168</v>
      </c>
      <c r="C593" s="215" t="s">
        <v>1409</v>
      </c>
      <c r="D593" s="213">
        <v>85418.0</v>
      </c>
      <c r="E593" s="215" t="s">
        <v>913</v>
      </c>
      <c r="F593" s="215" t="s">
        <v>2522</v>
      </c>
      <c r="G593" s="215" t="s">
        <v>2523</v>
      </c>
      <c r="H593" s="216" t="s">
        <v>2494</v>
      </c>
      <c r="I593" s="217" t="str">
        <f t="array" ref="I593">IF(E593="", "", _xlfn.XLOOKUP(E593, 'GERAL ENVIOS'!C:C, 'GERAL ENVIOS'!K:K,"NAO ESTA NA PLANILHA"))</f>
        <v>Finalizado</v>
      </c>
    </row>
    <row r="594" ht="17.25" customHeight="1">
      <c r="A594" s="211"/>
      <c r="B594" s="215" t="s">
        <v>1168</v>
      </c>
      <c r="C594" s="215" t="s">
        <v>1163</v>
      </c>
      <c r="D594" s="213">
        <v>85411.0</v>
      </c>
      <c r="E594" s="215" t="s">
        <v>198</v>
      </c>
      <c r="F594" s="215" t="s">
        <v>2524</v>
      </c>
      <c r="G594" s="215" t="s">
        <v>2525</v>
      </c>
      <c r="H594" s="216" t="s">
        <v>2494</v>
      </c>
      <c r="I594" s="217" t="str">
        <f t="array" ref="I594">IF(E594="", "", _xlfn.XLOOKUP(E594, 'GERAL ENVIOS'!C:C, 'GERAL ENVIOS'!K:K,"NAO ESTA NA PLANILHA"))</f>
        <v>Finalizado</v>
      </c>
    </row>
    <row r="595" ht="17.25" customHeight="1">
      <c r="A595" s="211"/>
      <c r="B595" s="215" t="s">
        <v>1162</v>
      </c>
      <c r="C595" s="215" t="s">
        <v>1246</v>
      </c>
      <c r="D595" s="213">
        <v>85634.0</v>
      </c>
      <c r="E595" s="215" t="s">
        <v>634</v>
      </c>
      <c r="F595" s="215" t="s">
        <v>2526</v>
      </c>
      <c r="G595" s="215" t="s">
        <v>2527</v>
      </c>
      <c r="H595" s="216" t="s">
        <v>2494</v>
      </c>
      <c r="I595" s="217" t="str">
        <f t="array" ref="I595">IF(E595="", "", _xlfn.XLOOKUP(E595, 'GERAL ENVIOS'!C:C, 'GERAL ENVIOS'!K:K,"NAO ESTA NA PLANILHA"))</f>
        <v>Aguardando Aprovação</v>
      </c>
    </row>
    <row r="596" ht="17.25" customHeight="1">
      <c r="A596" s="211"/>
      <c r="B596" s="215" t="s">
        <v>1168</v>
      </c>
      <c r="C596" s="215" t="s">
        <v>1163</v>
      </c>
      <c r="D596" s="213">
        <v>88392.0</v>
      </c>
      <c r="E596" s="215" t="s">
        <v>204</v>
      </c>
      <c r="F596" s="215" t="s">
        <v>2528</v>
      </c>
      <c r="G596" s="215" t="s">
        <v>2529</v>
      </c>
      <c r="H596" s="216" t="s">
        <v>2530</v>
      </c>
      <c r="I596" s="217" t="str">
        <f t="array" ref="I596">IF(E596="", "", _xlfn.XLOOKUP(E596, 'GERAL ENVIOS'!C:C, 'GERAL ENVIOS'!K:K,"NAO ESTA NA PLANILHA"))</f>
        <v>IMPRESSÃO</v>
      </c>
    </row>
    <row r="597" ht="17.25" customHeight="1">
      <c r="A597" s="211"/>
      <c r="B597" s="215" t="s">
        <v>1168</v>
      </c>
      <c r="C597" s="215" t="s">
        <v>1246</v>
      </c>
      <c r="D597" s="213">
        <v>88244.0</v>
      </c>
      <c r="E597" s="215" t="s">
        <v>995</v>
      </c>
      <c r="F597" s="215" t="s">
        <v>2531</v>
      </c>
      <c r="G597" s="215" t="s">
        <v>2532</v>
      </c>
      <c r="H597" s="216" t="s">
        <v>2530</v>
      </c>
      <c r="I597" s="217" t="str">
        <f t="array" ref="I597">IF(E597="", "", _xlfn.XLOOKUP(E597, 'GERAL ENVIOS'!C:C, 'GERAL ENVIOS'!K:K,"NAO ESTA NA PLANILHA"))</f>
        <v>Aguardando Aprovação</v>
      </c>
    </row>
    <row r="598" ht="17.25" customHeight="1">
      <c r="A598" s="211"/>
      <c r="B598" s="215" t="s">
        <v>1168</v>
      </c>
      <c r="C598" s="215" t="s">
        <v>1246</v>
      </c>
      <c r="D598" s="213">
        <v>88260.0</v>
      </c>
      <c r="E598" s="215" t="s">
        <v>845</v>
      </c>
      <c r="F598" s="215" t="s">
        <v>2533</v>
      </c>
      <c r="G598" s="215" t="s">
        <v>2534</v>
      </c>
      <c r="H598" s="216" t="s">
        <v>2530</v>
      </c>
      <c r="I598" s="217" t="str">
        <f t="array" ref="I598">IF(E598="", "", _xlfn.XLOOKUP(E598, 'GERAL ENVIOS'!C:C, 'GERAL ENVIOS'!K:K,"NAO ESTA NA PLANILHA"))</f>
        <v>Aguardando Aprovação</v>
      </c>
    </row>
    <row r="599" ht="17.25" customHeight="1">
      <c r="A599" s="211"/>
      <c r="B599" s="215" t="s">
        <v>1168</v>
      </c>
      <c r="C599" s="215" t="s">
        <v>1246</v>
      </c>
      <c r="D599" s="213">
        <v>87759.0</v>
      </c>
      <c r="E599" s="215" t="s">
        <v>825</v>
      </c>
      <c r="F599" s="215" t="s">
        <v>2535</v>
      </c>
      <c r="G599" s="215" t="s">
        <v>2536</v>
      </c>
      <c r="H599" s="216" t="s">
        <v>2530</v>
      </c>
      <c r="I599" s="217" t="str">
        <f t="array" ref="I599">IF(E599="", "", _xlfn.XLOOKUP(E599, 'GERAL ENVIOS'!C:C, 'GERAL ENVIOS'!K:K,"NAO ESTA NA PLANILHA"))</f>
        <v>Finalizado</v>
      </c>
    </row>
    <row r="600" ht="17.25" customHeight="1">
      <c r="A600" s="211"/>
      <c r="B600" s="215" t="s">
        <v>1168</v>
      </c>
      <c r="C600" s="215" t="s">
        <v>1163</v>
      </c>
      <c r="D600" s="213">
        <v>88247.0</v>
      </c>
      <c r="E600" s="215" t="s">
        <v>209</v>
      </c>
      <c r="F600" s="215" t="s">
        <v>2537</v>
      </c>
      <c r="G600" s="215" t="s">
        <v>2538</v>
      </c>
      <c r="H600" s="216" t="s">
        <v>2530</v>
      </c>
      <c r="I600" s="217" t="str">
        <f t="array" ref="I600">IF(E600="", "", _xlfn.XLOOKUP(E600, 'GERAL ENVIOS'!C:C, 'GERAL ENVIOS'!K:K,"NAO ESTA NA PLANILHA"))</f>
        <v>Aguardando Aprovação</v>
      </c>
    </row>
    <row r="601" ht="17.25" customHeight="1">
      <c r="A601" s="211"/>
      <c r="B601" s="215" t="s">
        <v>1168</v>
      </c>
      <c r="C601" s="215" t="s">
        <v>1246</v>
      </c>
      <c r="D601" s="213">
        <v>87341.0</v>
      </c>
      <c r="E601" s="215" t="s">
        <v>411</v>
      </c>
      <c r="F601" s="215" t="s">
        <v>2539</v>
      </c>
      <c r="G601" s="215" t="s">
        <v>2540</v>
      </c>
      <c r="H601" s="216" t="s">
        <v>2530</v>
      </c>
      <c r="I601" s="217" t="str">
        <f t="array" ref="I601">IF(E601="", "", _xlfn.XLOOKUP(E601, 'GERAL ENVIOS'!C:C, 'GERAL ENVIOS'!K:K,"NAO ESTA NA PLANILHA"))</f>
        <v>Aguardando Aprovação</v>
      </c>
    </row>
    <row r="602" ht="17.25" customHeight="1">
      <c r="A602" s="211"/>
      <c r="B602" s="215" t="s">
        <v>1168</v>
      </c>
      <c r="C602" s="215" t="s">
        <v>1163</v>
      </c>
      <c r="D602" s="213">
        <v>88235.0</v>
      </c>
      <c r="E602" s="215" t="s">
        <v>2541</v>
      </c>
      <c r="F602" s="215" t="s">
        <v>2542</v>
      </c>
      <c r="G602" s="215" t="s">
        <v>2543</v>
      </c>
      <c r="H602" s="216" t="s">
        <v>2530</v>
      </c>
      <c r="I602" s="217" t="str">
        <f t="array" ref="I602">IF(E602="", "", _xlfn.XLOOKUP(E602, 'GERAL ENVIOS'!C:C, 'GERAL ENVIOS'!K:K,"NAO ESTA NA PLANILHA"))</f>
        <v>NAO ESTA NA PLANILHA</v>
      </c>
    </row>
    <row r="603" ht="17.25" customHeight="1">
      <c r="A603" s="211"/>
      <c r="B603" s="215" t="s">
        <v>1162</v>
      </c>
      <c r="C603" s="215" t="s">
        <v>1235</v>
      </c>
      <c r="D603" s="213">
        <v>88359.0</v>
      </c>
      <c r="E603" s="215" t="s">
        <v>731</v>
      </c>
      <c r="F603" s="215" t="s">
        <v>2544</v>
      </c>
      <c r="G603" s="215" t="s">
        <v>2545</v>
      </c>
      <c r="H603" s="216" t="s">
        <v>2530</v>
      </c>
      <c r="I603" s="217" t="str">
        <f t="array" ref="I603">IF(E603="", "", _xlfn.XLOOKUP(E603, 'GERAL ENVIOS'!C:C, 'GERAL ENVIOS'!K:K,"NAO ESTA NA PLANILHA"))</f>
        <v>Finalizado</v>
      </c>
    </row>
    <row r="604" ht="17.25" customHeight="1">
      <c r="A604" s="211"/>
      <c r="B604" s="215" t="s">
        <v>1162</v>
      </c>
      <c r="C604" s="215" t="s">
        <v>1163</v>
      </c>
      <c r="D604" s="213">
        <v>87734.0</v>
      </c>
      <c r="E604" s="215" t="s">
        <v>2546</v>
      </c>
      <c r="F604" s="215" t="s">
        <v>2547</v>
      </c>
      <c r="G604" s="215" t="s">
        <v>2548</v>
      </c>
      <c r="H604" s="216" t="s">
        <v>2530</v>
      </c>
      <c r="I604" s="217" t="str">
        <f t="array" ref="I604">IF(E604="", "", _xlfn.XLOOKUP(E604, 'GERAL ENVIOS'!C:C, 'GERAL ENVIOS'!K:K,"NAO ESTA NA PLANILHA"))</f>
        <v>NAO ESTA NA PLANILHA</v>
      </c>
    </row>
    <row r="605" ht="17.25" customHeight="1">
      <c r="A605" s="211"/>
      <c r="B605" s="215" t="s">
        <v>1168</v>
      </c>
      <c r="C605" s="215" t="s">
        <v>1409</v>
      </c>
      <c r="D605" s="213">
        <v>87734.0</v>
      </c>
      <c r="E605" s="215" t="s">
        <v>2546</v>
      </c>
      <c r="F605" s="215" t="s">
        <v>2547</v>
      </c>
      <c r="G605" s="215" t="s">
        <v>2548</v>
      </c>
      <c r="H605" s="216" t="s">
        <v>2530</v>
      </c>
      <c r="I605" s="217" t="str">
        <f t="array" ref="I605">IF(E605="", "", _xlfn.XLOOKUP(E605, 'GERAL ENVIOS'!C:C, 'GERAL ENVIOS'!K:K,"NAO ESTA NA PLANILHA"))</f>
        <v>NAO ESTA NA PLANILHA</v>
      </c>
    </row>
    <row r="606" ht="17.25" customHeight="1">
      <c r="A606" s="211"/>
      <c r="B606" s="215" t="s">
        <v>1168</v>
      </c>
      <c r="C606" s="215" t="s">
        <v>1235</v>
      </c>
      <c r="D606" s="213">
        <v>87545.0</v>
      </c>
      <c r="E606" s="215" t="s">
        <v>598</v>
      </c>
      <c r="F606" s="215" t="s">
        <v>2549</v>
      </c>
      <c r="G606" s="215" t="s">
        <v>2550</v>
      </c>
      <c r="H606" s="216" t="s">
        <v>2530</v>
      </c>
      <c r="I606" s="217" t="str">
        <f t="array" ref="I606">IF(E606="", "", _xlfn.XLOOKUP(E606, 'GERAL ENVIOS'!C:C, 'GERAL ENVIOS'!K:K,"NAO ESTA NA PLANILHA"))</f>
        <v>Finalizado</v>
      </c>
    </row>
    <row r="607" ht="17.25" customHeight="1">
      <c r="A607" s="211"/>
      <c r="B607" s="215" t="s">
        <v>1168</v>
      </c>
      <c r="C607" s="215" t="s">
        <v>1163</v>
      </c>
      <c r="D607" s="213">
        <v>88416.0</v>
      </c>
      <c r="E607" s="215" t="s">
        <v>2551</v>
      </c>
      <c r="F607" s="215" t="s">
        <v>2552</v>
      </c>
      <c r="G607" s="215" t="s">
        <v>2553</v>
      </c>
      <c r="H607" s="216" t="s">
        <v>2530</v>
      </c>
      <c r="I607" s="217" t="str">
        <f t="array" ref="I607">IF(E607="", "", _xlfn.XLOOKUP(E607, 'GERAL ENVIOS'!C:C, 'GERAL ENVIOS'!K:K,"NAO ESTA NA PLANILHA"))</f>
        <v>NAO ESTA NA PLANILHA</v>
      </c>
    </row>
    <row r="608" ht="17.25" customHeight="1">
      <c r="A608" s="211"/>
      <c r="B608" s="215" t="s">
        <v>1162</v>
      </c>
      <c r="C608" s="215" t="s">
        <v>1163</v>
      </c>
      <c r="D608" s="213">
        <v>90204.0</v>
      </c>
      <c r="E608" s="215" t="s">
        <v>2554</v>
      </c>
      <c r="F608" s="215" t="s">
        <v>2555</v>
      </c>
      <c r="G608" s="223">
        <v>6.9993151288E10</v>
      </c>
      <c r="H608" s="216" t="s">
        <v>2530</v>
      </c>
      <c r="I608" s="217" t="str">
        <f t="array" ref="I608">IF(E608="", "", _xlfn.XLOOKUP(E608, 'GERAL ENVIOS'!C:C, 'GERAL ENVIOS'!K:K,"NAO ESTA NA PLANILHA"))</f>
        <v>NAO ESTA NA PLANILHA</v>
      </c>
    </row>
    <row r="609" ht="17.25" customHeight="1">
      <c r="A609" s="211"/>
      <c r="B609" s="215" t="s">
        <v>1168</v>
      </c>
      <c r="C609" s="215" t="s">
        <v>1163</v>
      </c>
      <c r="D609" s="213">
        <v>75873.0</v>
      </c>
      <c r="E609" s="215" t="s">
        <v>2556</v>
      </c>
      <c r="F609" s="215" t="s">
        <v>2557</v>
      </c>
      <c r="G609" s="215" t="s">
        <v>2558</v>
      </c>
      <c r="H609" s="216" t="s">
        <v>2559</v>
      </c>
      <c r="I609" s="217" t="str">
        <f t="array" ref="I609">IF(E609="", "", _xlfn.XLOOKUP(E609, 'GERAL ENVIOS'!C:C, 'GERAL ENVIOS'!K:K,"NAO ESTA NA PLANILHA"))</f>
        <v>NAO ESTA NA PLANILHA</v>
      </c>
    </row>
    <row r="610" ht="17.25" customHeight="1">
      <c r="A610" s="211"/>
      <c r="B610" s="215" t="s">
        <v>1162</v>
      </c>
      <c r="C610" s="215" t="s">
        <v>1163</v>
      </c>
      <c r="D610" s="213">
        <v>67371.0</v>
      </c>
      <c r="E610" s="215" t="s">
        <v>2560</v>
      </c>
      <c r="F610" s="215" t="s">
        <v>2561</v>
      </c>
      <c r="G610" s="215" t="s">
        <v>2562</v>
      </c>
      <c r="H610" s="216" t="s">
        <v>2559</v>
      </c>
      <c r="I610" s="217" t="str">
        <f t="array" ref="I610">IF(E610="", "", _xlfn.XLOOKUP(E610, 'GERAL ENVIOS'!C:C, 'GERAL ENVIOS'!K:K,"NAO ESTA NA PLANILHA"))</f>
        <v>NAO ESTA NA PLANILHA</v>
      </c>
    </row>
    <row r="611" ht="17.25" customHeight="1">
      <c r="A611" s="211"/>
      <c r="B611" s="215" t="s">
        <v>1168</v>
      </c>
      <c r="C611" s="215" t="s">
        <v>1163</v>
      </c>
      <c r="D611" s="213">
        <v>84951.0</v>
      </c>
      <c r="E611" s="215" t="s">
        <v>2563</v>
      </c>
      <c r="F611" s="215" t="s">
        <v>2564</v>
      </c>
      <c r="G611" s="215" t="s">
        <v>2565</v>
      </c>
      <c r="H611" s="216" t="s">
        <v>2559</v>
      </c>
      <c r="I611" s="217" t="str">
        <f t="array" ref="I611">IF(E611="", "", _xlfn.XLOOKUP(E611, 'GERAL ENVIOS'!C:C, 'GERAL ENVIOS'!K:K,"NAO ESTA NA PLANILHA"))</f>
        <v>NAO ESTA NA PLANILHA</v>
      </c>
    </row>
    <row r="612" ht="17.25" customHeight="1">
      <c r="A612" s="211"/>
      <c r="B612" s="215" t="s">
        <v>1168</v>
      </c>
      <c r="C612" s="215" t="s">
        <v>1163</v>
      </c>
      <c r="D612" s="213">
        <v>84968.0</v>
      </c>
      <c r="E612" s="215" t="s">
        <v>2566</v>
      </c>
      <c r="F612" s="215" t="s">
        <v>2567</v>
      </c>
      <c r="G612" s="215" t="s">
        <v>2568</v>
      </c>
      <c r="H612" s="216" t="s">
        <v>2559</v>
      </c>
      <c r="I612" s="217" t="str">
        <f t="array" ref="I612">IF(E612="", "", _xlfn.XLOOKUP(E612, 'GERAL ENVIOS'!C:C, 'GERAL ENVIOS'!K:K,"NAO ESTA NA PLANILHA"))</f>
        <v>NAO ESTA NA PLANILHA</v>
      </c>
    </row>
    <row r="613" ht="17.25" customHeight="1">
      <c r="A613" s="211"/>
      <c r="B613" s="215" t="s">
        <v>1168</v>
      </c>
      <c r="C613" s="215" t="s">
        <v>1246</v>
      </c>
      <c r="D613" s="213">
        <v>85793.0</v>
      </c>
      <c r="E613" s="215" t="s">
        <v>747</v>
      </c>
      <c r="F613" s="215" t="s">
        <v>2569</v>
      </c>
      <c r="G613" s="215" t="s">
        <v>2570</v>
      </c>
      <c r="H613" s="216" t="s">
        <v>2559</v>
      </c>
      <c r="I613" s="217" t="str">
        <f t="array" ref="I613">IF(E613="", "", _xlfn.XLOOKUP(E613, 'GERAL ENVIOS'!C:C, 'GERAL ENVIOS'!K:K,"NAO ESTA NA PLANILHA"))</f>
        <v>Aguardando Aprovação</v>
      </c>
    </row>
    <row r="614" ht="17.25" customHeight="1">
      <c r="A614" s="211"/>
      <c r="B614" s="215" t="s">
        <v>1168</v>
      </c>
      <c r="C614" s="215" t="s">
        <v>1163</v>
      </c>
      <c r="D614" s="213">
        <v>86739.0</v>
      </c>
      <c r="E614" s="215" t="s">
        <v>2571</v>
      </c>
      <c r="F614" s="215" t="s">
        <v>2572</v>
      </c>
      <c r="G614" s="215" t="s">
        <v>2573</v>
      </c>
      <c r="H614" s="216" t="s">
        <v>2559</v>
      </c>
      <c r="I614" s="217" t="str">
        <f t="array" ref="I614">IF(E614="", "", _xlfn.XLOOKUP(E614, 'GERAL ENVIOS'!C:C, 'GERAL ENVIOS'!K:K,"NAO ESTA NA PLANILHA"))</f>
        <v>NAO ESTA NA PLANILHA</v>
      </c>
    </row>
    <row r="615" ht="17.25" customHeight="1">
      <c r="A615" s="211"/>
      <c r="B615" s="215" t="s">
        <v>1168</v>
      </c>
      <c r="C615" s="215" t="s">
        <v>1246</v>
      </c>
      <c r="D615" s="213">
        <v>85753.0</v>
      </c>
      <c r="E615" s="215" t="s">
        <v>233</v>
      </c>
      <c r="F615" s="215" t="s">
        <v>2574</v>
      </c>
      <c r="G615" s="215" t="s">
        <v>2575</v>
      </c>
      <c r="H615" s="216" t="s">
        <v>2559</v>
      </c>
      <c r="I615" s="217" t="str">
        <f t="array" ref="I615">IF(E615="", "", _xlfn.XLOOKUP(E615, 'GERAL ENVIOS'!C:C, 'GERAL ENVIOS'!K:K,"NAO ESTA NA PLANILHA"))</f>
        <v>Finalizado</v>
      </c>
    </row>
    <row r="616" ht="17.25" customHeight="1">
      <c r="A616" s="211"/>
      <c r="B616" s="215" t="s">
        <v>1162</v>
      </c>
      <c r="C616" s="215" t="s">
        <v>1163</v>
      </c>
      <c r="D616" s="213">
        <v>85085.0</v>
      </c>
      <c r="E616" s="215" t="s">
        <v>2576</v>
      </c>
      <c r="F616" s="215" t="s">
        <v>2577</v>
      </c>
      <c r="G616" s="215" t="s">
        <v>2578</v>
      </c>
      <c r="H616" s="216" t="s">
        <v>2559</v>
      </c>
      <c r="I616" s="217" t="str">
        <f t="array" ref="I616">IF(E616="", "", _xlfn.XLOOKUP(E616, 'GERAL ENVIOS'!C:C, 'GERAL ENVIOS'!K:K,"NAO ESTA NA PLANILHA"))</f>
        <v>NAO ESTA NA PLANILHA</v>
      </c>
    </row>
    <row r="617" ht="17.25" customHeight="1">
      <c r="A617" s="211"/>
      <c r="B617" s="215" t="s">
        <v>1162</v>
      </c>
      <c r="C617" s="215" t="s">
        <v>1163</v>
      </c>
      <c r="D617" s="213">
        <v>84876.0</v>
      </c>
      <c r="E617" s="215" t="s">
        <v>331</v>
      </c>
      <c r="F617" s="215" t="s">
        <v>2579</v>
      </c>
      <c r="G617" s="215" t="s">
        <v>2580</v>
      </c>
      <c r="H617" s="216" t="s">
        <v>2559</v>
      </c>
      <c r="I617" s="217" t="str">
        <f t="array" ref="I617">IF(E617="", "", _xlfn.XLOOKUP(E617, 'GERAL ENVIOS'!C:C, 'GERAL ENVIOS'!K:K,"NAO ESTA NA PLANILHA"))</f>
        <v>Sem álbum</v>
      </c>
    </row>
    <row r="618" ht="17.25" customHeight="1">
      <c r="A618" s="211"/>
      <c r="B618" s="215" t="s">
        <v>1168</v>
      </c>
      <c r="C618" s="215" t="s">
        <v>1123</v>
      </c>
      <c r="D618" s="213">
        <v>84995.0</v>
      </c>
      <c r="E618" s="215" t="s">
        <v>699</v>
      </c>
      <c r="F618" s="215" t="s">
        <v>2581</v>
      </c>
      <c r="G618" s="215" t="s">
        <v>2582</v>
      </c>
      <c r="H618" s="216" t="s">
        <v>2559</v>
      </c>
      <c r="I618" s="217" t="str">
        <f t="array" ref="I618">IF(E618="", "", _xlfn.XLOOKUP(E618, 'GERAL ENVIOS'!C:C, 'GERAL ENVIOS'!K:K,"NAO ESTA NA PLANILHA"))</f>
        <v>Finalizado</v>
      </c>
    </row>
    <row r="619" ht="17.25" customHeight="1">
      <c r="A619" s="211"/>
      <c r="B619" s="215" t="s">
        <v>1168</v>
      </c>
      <c r="C619" s="215" t="s">
        <v>1123</v>
      </c>
      <c r="D619" s="213">
        <v>85735.0</v>
      </c>
      <c r="E619" s="215" t="s">
        <v>413</v>
      </c>
      <c r="F619" s="215" t="s">
        <v>2583</v>
      </c>
      <c r="G619" s="215" t="s">
        <v>2584</v>
      </c>
      <c r="H619" s="216" t="s">
        <v>2559</v>
      </c>
      <c r="I619" s="217" t="str">
        <f t="array" ref="I619">IF(E619="", "", _xlfn.XLOOKUP(E619, 'GERAL ENVIOS'!C:C, 'GERAL ENVIOS'!K:K,"NAO ESTA NA PLANILHA"))</f>
        <v>Finalizado</v>
      </c>
    </row>
    <row r="620" ht="17.25" customHeight="1">
      <c r="A620" s="211"/>
      <c r="B620" s="215" t="s">
        <v>1168</v>
      </c>
      <c r="C620" s="215" t="s">
        <v>1246</v>
      </c>
      <c r="D620" s="213">
        <v>88090.0</v>
      </c>
      <c r="E620" s="215" t="s">
        <v>165</v>
      </c>
      <c r="F620" s="215" t="s">
        <v>2585</v>
      </c>
      <c r="G620" s="215" t="s">
        <v>2586</v>
      </c>
      <c r="H620" s="216" t="s">
        <v>2559</v>
      </c>
      <c r="I620" s="217" t="str">
        <f t="array" ref="I620">IF(E620="", "", _xlfn.XLOOKUP(E620, 'GERAL ENVIOS'!C:C, 'GERAL ENVIOS'!K:K,"NAO ESTA NA PLANILHA"))</f>
        <v>Finalizado</v>
      </c>
    </row>
    <row r="621" ht="17.25" customHeight="1">
      <c r="A621" s="211"/>
      <c r="B621" s="215" t="s">
        <v>1168</v>
      </c>
      <c r="C621" s="215" t="s">
        <v>1163</v>
      </c>
      <c r="D621" s="213">
        <v>85717.0</v>
      </c>
      <c r="E621" s="215" t="s">
        <v>2587</v>
      </c>
      <c r="F621" s="215" t="s">
        <v>2588</v>
      </c>
      <c r="G621" s="215" t="s">
        <v>2589</v>
      </c>
      <c r="H621" s="216" t="s">
        <v>2559</v>
      </c>
      <c r="I621" s="217" t="str">
        <f t="array" ref="I621">IF(E621="", "", _xlfn.XLOOKUP(E621, 'GERAL ENVIOS'!C:C, 'GERAL ENVIOS'!K:K,"NAO ESTA NA PLANILHA"))</f>
        <v>NAO ESTA NA PLANILHA</v>
      </c>
    </row>
    <row r="622" ht="17.25" customHeight="1">
      <c r="A622" s="211"/>
      <c r="B622" s="215" t="s">
        <v>1168</v>
      </c>
      <c r="C622" s="215" t="s">
        <v>1123</v>
      </c>
      <c r="D622" s="213">
        <v>84947.0</v>
      </c>
      <c r="E622" s="215" t="s">
        <v>753</v>
      </c>
      <c r="F622" s="215" t="s">
        <v>2590</v>
      </c>
      <c r="G622" s="215" t="s">
        <v>2591</v>
      </c>
      <c r="H622" s="216" t="s">
        <v>2559</v>
      </c>
      <c r="I622" s="217" t="str">
        <f t="array" ref="I622">IF(E622="", "", _xlfn.XLOOKUP(E622, 'GERAL ENVIOS'!C:C, 'GERAL ENVIOS'!K:K,"NAO ESTA NA PLANILHA"))</f>
        <v>Finalizado</v>
      </c>
    </row>
    <row r="623" ht="17.25" customHeight="1">
      <c r="A623" s="211"/>
      <c r="B623" s="215" t="s">
        <v>1168</v>
      </c>
      <c r="C623" s="215" t="s">
        <v>1246</v>
      </c>
      <c r="D623" s="213">
        <v>87415.0</v>
      </c>
      <c r="E623" s="215" t="s">
        <v>815</v>
      </c>
      <c r="F623" s="215" t="s">
        <v>2592</v>
      </c>
      <c r="G623" s="215" t="s">
        <v>2593</v>
      </c>
      <c r="H623" s="216" t="s">
        <v>2559</v>
      </c>
      <c r="I623" s="217" t="str">
        <f t="array" ref="I623">IF(E623="", "", _xlfn.XLOOKUP(E623, 'GERAL ENVIOS'!C:C, 'GERAL ENVIOS'!K:K,"NAO ESTA NA PLANILHA"))</f>
        <v>Finalizado</v>
      </c>
    </row>
    <row r="624" ht="17.25" customHeight="1">
      <c r="A624" s="211"/>
      <c r="B624" s="215" t="s">
        <v>1162</v>
      </c>
      <c r="C624" s="215" t="s">
        <v>1163</v>
      </c>
      <c r="D624" s="213">
        <v>86073.0</v>
      </c>
      <c r="E624" s="215" t="s">
        <v>2594</v>
      </c>
      <c r="F624" s="215" t="s">
        <v>2595</v>
      </c>
      <c r="G624" s="215" t="s">
        <v>2596</v>
      </c>
      <c r="H624" s="216" t="s">
        <v>2559</v>
      </c>
      <c r="I624" s="217" t="str">
        <f t="array" ref="I624">IF(E624="", "", _xlfn.XLOOKUP(E624, 'GERAL ENVIOS'!C:C, 'GERAL ENVIOS'!K:K,"NAO ESTA NA PLANILHA"))</f>
        <v>NAO ESTA NA PLANILHA</v>
      </c>
    </row>
    <row r="625" ht="17.25" customHeight="1">
      <c r="A625" s="211"/>
      <c r="B625" s="215" t="s">
        <v>1162</v>
      </c>
      <c r="C625" s="215" t="s">
        <v>1163</v>
      </c>
      <c r="D625" s="213">
        <v>84957.0</v>
      </c>
      <c r="E625" s="215" t="s">
        <v>979</v>
      </c>
      <c r="F625" s="215" t="s">
        <v>2597</v>
      </c>
      <c r="G625" s="215" t="s">
        <v>2598</v>
      </c>
      <c r="H625" s="216" t="s">
        <v>2559</v>
      </c>
      <c r="I625" s="217" t="str">
        <f t="array" ref="I625">IF(E625="", "", _xlfn.XLOOKUP(E625, 'GERAL ENVIOS'!C:C, 'GERAL ENVIOS'!K:K,"NAO ESTA NA PLANILHA"))</f>
        <v>Aguardando Aprovação</v>
      </c>
    </row>
    <row r="626" ht="17.25" customHeight="1">
      <c r="A626" s="211"/>
      <c r="B626" s="215" t="s">
        <v>1168</v>
      </c>
      <c r="C626" s="215" t="s">
        <v>1235</v>
      </c>
      <c r="D626" s="213">
        <v>79140.0</v>
      </c>
      <c r="E626" s="215" t="s">
        <v>1050</v>
      </c>
      <c r="F626" s="215" t="s">
        <v>2599</v>
      </c>
      <c r="G626" s="215" t="s">
        <v>2600</v>
      </c>
      <c r="H626" s="216" t="s">
        <v>2559</v>
      </c>
      <c r="I626" s="217" t="str">
        <f t="array" ref="I626">IF(E626="", "", _xlfn.XLOOKUP(E626, 'GERAL ENVIOS'!C:C, 'GERAL ENVIOS'!K:K,"NAO ESTA NA PLANILHA"))</f>
        <v>Finalizado</v>
      </c>
    </row>
    <row r="627" ht="17.25" customHeight="1">
      <c r="A627" s="211"/>
      <c r="B627" s="215" t="s">
        <v>1162</v>
      </c>
      <c r="C627" s="215" t="s">
        <v>1235</v>
      </c>
      <c r="D627" s="213">
        <v>85101.0</v>
      </c>
      <c r="E627" s="215" t="s">
        <v>975</v>
      </c>
      <c r="F627" s="215" t="s">
        <v>2601</v>
      </c>
      <c r="G627" s="215" t="s">
        <v>2602</v>
      </c>
      <c r="H627" s="216" t="s">
        <v>2559</v>
      </c>
      <c r="I627" s="217" t="str">
        <f t="array" ref="I627">IF(E627="", "", _xlfn.XLOOKUP(E627, 'GERAL ENVIOS'!C:C, 'GERAL ENVIOS'!K:K,"NAO ESTA NA PLANILHA"))</f>
        <v>Finalizado</v>
      </c>
    </row>
    <row r="628" ht="17.25" customHeight="1">
      <c r="A628" s="211"/>
      <c r="B628" s="215" t="s">
        <v>1168</v>
      </c>
      <c r="C628" s="215" t="s">
        <v>1123</v>
      </c>
      <c r="D628" s="213">
        <v>86806.0</v>
      </c>
      <c r="E628" s="215" t="s">
        <v>2603</v>
      </c>
      <c r="F628" s="215" t="s">
        <v>2604</v>
      </c>
      <c r="G628" s="215" t="s">
        <v>2605</v>
      </c>
      <c r="H628" s="216" t="s">
        <v>2559</v>
      </c>
      <c r="I628" s="217" t="str">
        <f t="array" ref="I628">IF(E628="", "", _xlfn.XLOOKUP(E628, 'GERAL ENVIOS'!C:C, 'GERAL ENVIOS'!K:K,"NAO ESTA NA PLANILHA"))</f>
        <v>Finalizado</v>
      </c>
    </row>
    <row r="629" ht="17.25" customHeight="1">
      <c r="A629" s="211"/>
      <c r="B629" s="215" t="s">
        <v>1162</v>
      </c>
      <c r="C629" s="215" t="s">
        <v>1163</v>
      </c>
      <c r="D629" s="213">
        <v>87656.0</v>
      </c>
      <c r="E629" s="215" t="s">
        <v>2606</v>
      </c>
      <c r="F629" s="215" t="s">
        <v>2607</v>
      </c>
      <c r="G629" s="215" t="s">
        <v>2608</v>
      </c>
      <c r="H629" s="216" t="s">
        <v>2559</v>
      </c>
      <c r="I629" s="217" t="str">
        <f t="array" ref="I629">IF(E629="", "", _xlfn.XLOOKUP(E629, 'GERAL ENVIOS'!C:C, 'GERAL ENVIOS'!K:K,"NAO ESTA NA PLANILHA"))</f>
        <v>NAO ESTA NA PLANILHA</v>
      </c>
    </row>
    <row r="630" ht="17.25" customHeight="1">
      <c r="A630" s="211"/>
      <c r="B630" s="215" t="s">
        <v>1168</v>
      </c>
      <c r="C630" s="215" t="s">
        <v>1409</v>
      </c>
      <c r="D630" s="213">
        <v>85245.0</v>
      </c>
      <c r="E630" s="215" t="s">
        <v>2609</v>
      </c>
      <c r="F630" s="215" t="s">
        <v>2610</v>
      </c>
      <c r="G630" s="215" t="s">
        <v>2611</v>
      </c>
      <c r="H630" s="216" t="s">
        <v>2559</v>
      </c>
      <c r="I630" s="217" t="str">
        <f t="array" ref="I630">IF(E630="", "", _xlfn.XLOOKUP(E630, 'GERAL ENVIOS'!C:C, 'GERAL ENVIOS'!K:K,"NAO ESTA NA PLANILHA"))</f>
        <v>NAO ESTA NA PLANILHA</v>
      </c>
    </row>
    <row r="631" ht="17.25" customHeight="1">
      <c r="A631" s="211"/>
      <c r="B631" s="215" t="s">
        <v>1162</v>
      </c>
      <c r="C631" s="215" t="s">
        <v>1163</v>
      </c>
      <c r="D631" s="213">
        <v>87686.0</v>
      </c>
      <c r="E631" s="215" t="s">
        <v>2612</v>
      </c>
      <c r="F631" s="215" t="s">
        <v>2613</v>
      </c>
      <c r="G631" s="215" t="s">
        <v>2614</v>
      </c>
      <c r="H631" s="216" t="s">
        <v>2559</v>
      </c>
      <c r="I631" s="217" t="str">
        <f t="array" ref="I631">IF(E631="", "", _xlfn.XLOOKUP(E631, 'GERAL ENVIOS'!C:C, 'GERAL ENVIOS'!K:K,"NAO ESTA NA PLANILHA"))</f>
        <v>NAO ESTA NA PLANILHA</v>
      </c>
    </row>
    <row r="632" ht="17.25" customHeight="1">
      <c r="A632" s="211"/>
      <c r="B632" s="215" t="s">
        <v>1168</v>
      </c>
      <c r="C632" s="215" t="s">
        <v>1163</v>
      </c>
      <c r="D632" s="213">
        <v>87803.0</v>
      </c>
      <c r="E632" s="215" t="s">
        <v>2615</v>
      </c>
      <c r="F632" s="215" t="s">
        <v>2616</v>
      </c>
      <c r="G632" s="215" t="s">
        <v>2617</v>
      </c>
      <c r="H632" s="216" t="s">
        <v>2559</v>
      </c>
      <c r="I632" s="217" t="str">
        <f t="array" ref="I632">IF(E632="", "", _xlfn.XLOOKUP(E632, 'GERAL ENVIOS'!C:C, 'GERAL ENVIOS'!K:K,"NAO ESTA NA PLANILHA"))</f>
        <v>NAO ESTA NA PLANILHA</v>
      </c>
    </row>
    <row r="633" ht="17.25" customHeight="1">
      <c r="A633" s="211"/>
      <c r="B633" s="215" t="s">
        <v>1168</v>
      </c>
      <c r="C633" s="215" t="s">
        <v>1163</v>
      </c>
      <c r="D633" s="213">
        <v>86034.0</v>
      </c>
      <c r="E633" s="215" t="s">
        <v>2618</v>
      </c>
      <c r="F633" s="215" t="s">
        <v>2619</v>
      </c>
      <c r="G633" s="215" t="s">
        <v>2620</v>
      </c>
      <c r="H633" s="216" t="s">
        <v>2559</v>
      </c>
      <c r="I633" s="217" t="str">
        <f t="array" ref="I633">IF(E633="", "", _xlfn.XLOOKUP(E633, 'GERAL ENVIOS'!C:C, 'GERAL ENVIOS'!K:K,"NAO ESTA NA PLANILHA"))</f>
        <v>NAO ESTA NA PLANILHA</v>
      </c>
    </row>
    <row r="634" ht="17.25" customHeight="1">
      <c r="A634" s="211"/>
      <c r="B634" s="215" t="s">
        <v>1168</v>
      </c>
      <c r="C634" s="215" t="s">
        <v>1163</v>
      </c>
      <c r="D634" s="213">
        <v>88964.0</v>
      </c>
      <c r="E634" s="215" t="s">
        <v>2621</v>
      </c>
      <c r="F634" s="215" t="s">
        <v>2622</v>
      </c>
      <c r="G634" s="215" t="s">
        <v>2623</v>
      </c>
      <c r="H634" s="216" t="s">
        <v>2559</v>
      </c>
      <c r="I634" s="217" t="str">
        <f t="array" ref="I634">IF(E634="", "", _xlfn.XLOOKUP(E634, 'GERAL ENVIOS'!C:C, 'GERAL ENVIOS'!K:K,"NAO ESTA NA PLANILHA"))</f>
        <v>NAO ESTA NA PLANILHA</v>
      </c>
    </row>
    <row r="635" ht="17.25" customHeight="1">
      <c r="A635" s="211"/>
      <c r="B635" s="215" t="s">
        <v>1168</v>
      </c>
      <c r="C635" s="215" t="s">
        <v>1163</v>
      </c>
      <c r="D635" s="213">
        <v>86497.0</v>
      </c>
      <c r="E635" s="215" t="s">
        <v>2624</v>
      </c>
      <c r="F635" s="215" t="s">
        <v>2625</v>
      </c>
      <c r="G635" s="215" t="s">
        <v>2626</v>
      </c>
      <c r="H635" s="216" t="s">
        <v>2559</v>
      </c>
      <c r="I635" s="217" t="str">
        <f t="array" ref="I635">IF(E635="", "", _xlfn.XLOOKUP(E635, 'GERAL ENVIOS'!C:C, 'GERAL ENVIOS'!K:K,"NAO ESTA NA PLANILHA"))</f>
        <v>NAO ESTA NA PLANILHA</v>
      </c>
    </row>
    <row r="636" ht="17.25" customHeight="1">
      <c r="A636" s="211"/>
      <c r="B636" s="215" t="s">
        <v>1162</v>
      </c>
      <c r="C636" s="215" t="s">
        <v>1123</v>
      </c>
      <c r="D636" s="213">
        <v>86282.0</v>
      </c>
      <c r="E636" s="215" t="s">
        <v>630</v>
      </c>
      <c r="F636" s="215" t="s">
        <v>2627</v>
      </c>
      <c r="G636" s="215" t="s">
        <v>2628</v>
      </c>
      <c r="H636" s="216" t="s">
        <v>2559</v>
      </c>
      <c r="I636" s="217" t="str">
        <f t="array" ref="I636">IF(E636="", "", _xlfn.XLOOKUP(E636, 'GERAL ENVIOS'!C:C, 'GERAL ENVIOS'!K:K,"NAO ESTA NA PLANILHA"))</f>
        <v>Finalizado</v>
      </c>
    </row>
    <row r="637" ht="17.25" customHeight="1">
      <c r="A637" s="211"/>
      <c r="B637" s="215" t="s">
        <v>1168</v>
      </c>
      <c r="C637" s="215" t="s">
        <v>1163</v>
      </c>
      <c r="D637" s="213">
        <v>85734.0</v>
      </c>
      <c r="E637" s="215" t="s">
        <v>366</v>
      </c>
      <c r="F637" s="215" t="s">
        <v>2629</v>
      </c>
      <c r="G637" s="215" t="s">
        <v>2630</v>
      </c>
      <c r="H637" s="216" t="s">
        <v>2559</v>
      </c>
      <c r="I637" s="217" t="str">
        <f t="array" ref="I637">IF(E637="", "", _xlfn.XLOOKUP(E637, 'GERAL ENVIOS'!C:C, 'GERAL ENVIOS'!K:K,"NAO ESTA NA PLANILHA"))</f>
        <v>Finalizado</v>
      </c>
    </row>
    <row r="638" ht="17.25" customHeight="1">
      <c r="A638" s="211"/>
      <c r="B638" s="215" t="s">
        <v>1168</v>
      </c>
      <c r="C638" s="215" t="s">
        <v>1163</v>
      </c>
      <c r="D638" s="213">
        <v>85334.0</v>
      </c>
      <c r="E638" s="215" t="s">
        <v>2631</v>
      </c>
      <c r="F638" s="215" t="s">
        <v>2632</v>
      </c>
      <c r="G638" s="215" t="s">
        <v>2633</v>
      </c>
      <c r="H638" s="216" t="s">
        <v>2559</v>
      </c>
      <c r="I638" s="217" t="str">
        <f t="array" ref="I638">IF(E638="", "", _xlfn.XLOOKUP(E638, 'GERAL ENVIOS'!C:C, 'GERAL ENVIOS'!K:K,"NAO ESTA NA PLANILHA"))</f>
        <v>NAO ESTA NA PLANILHA</v>
      </c>
    </row>
    <row r="639" ht="17.25" customHeight="1">
      <c r="A639" s="211"/>
      <c r="B639" s="215" t="s">
        <v>1168</v>
      </c>
      <c r="C639" s="215" t="s">
        <v>1123</v>
      </c>
      <c r="D639" s="213">
        <v>85229.0</v>
      </c>
      <c r="E639" s="215" t="s">
        <v>128</v>
      </c>
      <c r="F639" s="215" t="s">
        <v>2634</v>
      </c>
      <c r="G639" s="215" t="s">
        <v>2635</v>
      </c>
      <c r="H639" s="216" t="s">
        <v>2559</v>
      </c>
      <c r="I639" s="217" t="str">
        <f t="array" ref="I639">IF(E639="", "", _xlfn.XLOOKUP(E639, 'GERAL ENVIOS'!C:C, 'GERAL ENVIOS'!K:K,"NAO ESTA NA PLANILHA"))</f>
        <v>Finalizado</v>
      </c>
    </row>
    <row r="640" ht="17.25" customHeight="1">
      <c r="A640" s="211"/>
      <c r="B640" s="215" t="s">
        <v>1162</v>
      </c>
      <c r="C640" s="215" t="s">
        <v>1163</v>
      </c>
      <c r="D640" s="213">
        <v>88636.0</v>
      </c>
      <c r="E640" s="215" t="s">
        <v>2636</v>
      </c>
      <c r="F640" s="215" t="s">
        <v>2637</v>
      </c>
      <c r="G640" s="215" t="s">
        <v>2638</v>
      </c>
      <c r="H640" s="216" t="s">
        <v>2559</v>
      </c>
      <c r="I640" s="217" t="str">
        <f t="array" ref="I640">IF(E640="", "", _xlfn.XLOOKUP(E640, 'GERAL ENVIOS'!C:C, 'GERAL ENVIOS'!K:K,"NAO ESTA NA PLANILHA"))</f>
        <v>NAO ESTA NA PLANILHA</v>
      </c>
    </row>
    <row r="641" ht="17.25" customHeight="1">
      <c r="A641" s="211"/>
      <c r="B641" s="215" t="s">
        <v>1168</v>
      </c>
      <c r="C641" s="215" t="s">
        <v>1163</v>
      </c>
      <c r="D641" s="213">
        <v>86467.0</v>
      </c>
      <c r="E641" s="215" t="s">
        <v>2639</v>
      </c>
      <c r="F641" s="215" t="s">
        <v>2640</v>
      </c>
      <c r="G641" s="215" t="s">
        <v>2641</v>
      </c>
      <c r="H641" s="216" t="s">
        <v>2559</v>
      </c>
      <c r="I641" s="217" t="str">
        <f t="array" ref="I641">IF(E641="", "", _xlfn.XLOOKUP(E641, 'GERAL ENVIOS'!C:C, 'GERAL ENVIOS'!K:K,"NAO ESTA NA PLANILHA"))</f>
        <v>NAO ESTA NA PLANILHA</v>
      </c>
    </row>
    <row r="642" ht="17.25" customHeight="1">
      <c r="A642" s="211"/>
      <c r="B642" s="215" t="s">
        <v>1162</v>
      </c>
      <c r="C642" s="215" t="s">
        <v>1235</v>
      </c>
      <c r="D642" s="213">
        <v>85083.0</v>
      </c>
      <c r="E642" s="215" t="s">
        <v>194</v>
      </c>
      <c r="F642" s="215" t="s">
        <v>2642</v>
      </c>
      <c r="G642" s="215" t="s">
        <v>2643</v>
      </c>
      <c r="H642" s="216" t="s">
        <v>2559</v>
      </c>
      <c r="I642" s="217" t="str">
        <f t="array" ref="I642">IF(E642="", "", _xlfn.XLOOKUP(E642, 'GERAL ENVIOS'!C:C, 'GERAL ENVIOS'!K:K,"NAO ESTA NA PLANILHA"))</f>
        <v>Finalizado</v>
      </c>
    </row>
    <row r="643" ht="17.25" customHeight="1">
      <c r="A643" s="211"/>
      <c r="B643" s="215" t="s">
        <v>1168</v>
      </c>
      <c r="C643" s="215" t="s">
        <v>1163</v>
      </c>
      <c r="D643" s="213">
        <v>88678.0</v>
      </c>
      <c r="E643" s="215" t="s">
        <v>2644</v>
      </c>
      <c r="F643" s="215" t="s">
        <v>2645</v>
      </c>
      <c r="G643" s="215" t="s">
        <v>2646</v>
      </c>
      <c r="H643" s="216" t="s">
        <v>2559</v>
      </c>
      <c r="I643" s="217" t="str">
        <f t="array" ref="I643">IF(E643="", "", _xlfn.XLOOKUP(E643, 'GERAL ENVIOS'!C:C, 'GERAL ENVIOS'!K:K,"NAO ESTA NA PLANILHA"))</f>
        <v>NAO ESTA NA PLANILHA</v>
      </c>
    </row>
    <row r="644" ht="17.25" customHeight="1">
      <c r="A644" s="211"/>
      <c r="B644" s="215" t="s">
        <v>1168</v>
      </c>
      <c r="C644" s="215" t="s">
        <v>1163</v>
      </c>
      <c r="D644" s="213">
        <v>88419.0</v>
      </c>
      <c r="E644" s="215" t="s">
        <v>743</v>
      </c>
      <c r="F644" s="215" t="s">
        <v>2647</v>
      </c>
      <c r="G644" s="215" t="s">
        <v>2648</v>
      </c>
      <c r="H644" s="216" t="s">
        <v>2559</v>
      </c>
      <c r="I644" s="217" t="str">
        <f t="array" ref="I644">IF(E644="", "", _xlfn.XLOOKUP(E644, 'GERAL ENVIOS'!C:C, 'GERAL ENVIOS'!K:K,"NAO ESTA NA PLANILHA"))</f>
        <v>IMPRESSÃO</v>
      </c>
    </row>
    <row r="645" ht="17.25" customHeight="1">
      <c r="A645" s="211"/>
      <c r="B645" s="215" t="s">
        <v>1162</v>
      </c>
      <c r="C645" s="215" t="s">
        <v>1163</v>
      </c>
      <c r="D645" s="213">
        <v>87438.0</v>
      </c>
      <c r="E645" s="215" t="s">
        <v>288</v>
      </c>
      <c r="F645" s="215" t="s">
        <v>2649</v>
      </c>
      <c r="G645" s="215" t="s">
        <v>2650</v>
      </c>
      <c r="H645" s="216" t="s">
        <v>2559</v>
      </c>
      <c r="I645" s="217" t="str">
        <f t="array" ref="I645">IF(E645="", "", _xlfn.XLOOKUP(E645, 'GERAL ENVIOS'!C:C, 'GERAL ENVIOS'!K:K,"NAO ESTA NA PLANILHA"))</f>
        <v>Sem álbum</v>
      </c>
    </row>
    <row r="646" ht="17.25" customHeight="1">
      <c r="A646" s="211"/>
      <c r="B646" s="215" t="s">
        <v>1168</v>
      </c>
      <c r="C646" s="215" t="s">
        <v>1246</v>
      </c>
      <c r="D646" s="213">
        <v>87580.0</v>
      </c>
      <c r="E646" s="215" t="s">
        <v>149</v>
      </c>
      <c r="F646" s="215" t="s">
        <v>2651</v>
      </c>
      <c r="G646" s="215" t="s">
        <v>2652</v>
      </c>
      <c r="H646" s="216" t="s">
        <v>2559</v>
      </c>
      <c r="I646" s="217" t="str">
        <f t="array" ref="I646">IF(E646="", "", _xlfn.XLOOKUP(E646, 'GERAL ENVIOS'!C:C, 'GERAL ENVIOS'!K:K,"NAO ESTA NA PLANILHA"))</f>
        <v>Aprovado</v>
      </c>
    </row>
    <row r="647" ht="17.25" customHeight="1">
      <c r="A647" s="211"/>
      <c r="B647" s="215" t="s">
        <v>1162</v>
      </c>
      <c r="C647" s="215" t="s">
        <v>1235</v>
      </c>
      <c r="D647" s="213">
        <v>85911.0</v>
      </c>
      <c r="E647" s="215" t="s">
        <v>648</v>
      </c>
      <c r="F647" s="215" t="s">
        <v>2653</v>
      </c>
      <c r="G647" s="215" t="s">
        <v>2654</v>
      </c>
      <c r="H647" s="216" t="s">
        <v>2559</v>
      </c>
      <c r="I647" s="217" t="str">
        <f t="array" ref="I647">IF(E647="", "", _xlfn.XLOOKUP(E647, 'GERAL ENVIOS'!C:C, 'GERAL ENVIOS'!K:K,"NAO ESTA NA PLANILHA"))</f>
        <v>Finalizado</v>
      </c>
    </row>
    <row r="648" ht="17.25" customHeight="1">
      <c r="A648" s="211"/>
      <c r="B648" s="215" t="s">
        <v>1168</v>
      </c>
      <c r="C648" s="215" t="s">
        <v>1163</v>
      </c>
      <c r="D648" s="213">
        <v>87068.0</v>
      </c>
      <c r="E648" s="215" t="s">
        <v>407</v>
      </c>
      <c r="F648" s="215" t="s">
        <v>2655</v>
      </c>
      <c r="G648" s="215" t="s">
        <v>2656</v>
      </c>
      <c r="H648" s="216" t="s">
        <v>2559</v>
      </c>
      <c r="I648" s="217" t="str">
        <f t="array" ref="I648">IF(E648="", "", _xlfn.XLOOKUP(E648, 'GERAL ENVIOS'!C:C, 'GERAL ENVIOS'!K:K,"NAO ESTA NA PLANILHA"))</f>
        <v>Aguardando Aprovação</v>
      </c>
    </row>
    <row r="649" ht="17.25" customHeight="1">
      <c r="A649" s="211"/>
      <c r="B649" s="215" t="s">
        <v>1168</v>
      </c>
      <c r="C649" s="215" t="s">
        <v>1163</v>
      </c>
      <c r="D649" s="213">
        <v>86930.0</v>
      </c>
      <c r="E649" s="215" t="s">
        <v>2657</v>
      </c>
      <c r="F649" s="215" t="s">
        <v>2658</v>
      </c>
      <c r="G649" s="215" t="s">
        <v>2659</v>
      </c>
      <c r="H649" s="216" t="s">
        <v>2559</v>
      </c>
      <c r="I649" s="217" t="str">
        <f t="array" ref="I649">IF(E649="", "", _xlfn.XLOOKUP(E649, 'GERAL ENVIOS'!C:C, 'GERAL ENVIOS'!K:K,"NAO ESTA NA PLANILHA"))</f>
        <v>NAO ESTA NA PLANILHA</v>
      </c>
    </row>
    <row r="650" ht="17.25" customHeight="1">
      <c r="A650" s="211"/>
      <c r="B650" s="215" t="s">
        <v>1162</v>
      </c>
      <c r="C650" s="215" t="s">
        <v>1163</v>
      </c>
      <c r="D650" s="213">
        <v>89163.0</v>
      </c>
      <c r="E650" s="215" t="s">
        <v>2660</v>
      </c>
      <c r="F650" s="215" t="s">
        <v>2661</v>
      </c>
      <c r="G650" s="215" t="s">
        <v>2662</v>
      </c>
      <c r="H650" s="216" t="s">
        <v>2559</v>
      </c>
      <c r="I650" s="217" t="str">
        <f t="array" ref="I650">IF(E650="", "", _xlfn.XLOOKUP(E650, 'GERAL ENVIOS'!C:C, 'GERAL ENVIOS'!K:K,"NAO ESTA NA PLANILHA"))</f>
        <v>NAO ESTA NA PLANILHA</v>
      </c>
    </row>
    <row r="651" ht="17.25" customHeight="1">
      <c r="A651" s="211"/>
      <c r="B651" s="215" t="s">
        <v>1168</v>
      </c>
      <c r="C651" s="215" t="s">
        <v>1163</v>
      </c>
      <c r="D651" s="213">
        <v>87375.0</v>
      </c>
      <c r="E651" s="215" t="s">
        <v>2663</v>
      </c>
      <c r="F651" s="215" t="s">
        <v>2664</v>
      </c>
      <c r="G651" s="215" t="s">
        <v>2665</v>
      </c>
      <c r="H651" s="216" t="s">
        <v>2559</v>
      </c>
      <c r="I651" s="217" t="str">
        <f t="array" ref="I651">IF(E651="", "", _xlfn.XLOOKUP(E651, 'GERAL ENVIOS'!C:C, 'GERAL ENVIOS'!K:K,"NAO ESTA NA PLANILHA"))</f>
        <v>NAO ESTA NA PLANILHA</v>
      </c>
    </row>
    <row r="652" ht="17.25" customHeight="1">
      <c r="A652" s="211"/>
      <c r="B652" s="215" t="s">
        <v>1168</v>
      </c>
      <c r="C652" s="215" t="s">
        <v>1163</v>
      </c>
      <c r="D652" s="213">
        <v>86974.0</v>
      </c>
      <c r="E652" s="215" t="s">
        <v>2666</v>
      </c>
      <c r="F652" s="215" t="s">
        <v>2667</v>
      </c>
      <c r="G652" s="215" t="s">
        <v>2668</v>
      </c>
      <c r="H652" s="216" t="s">
        <v>2559</v>
      </c>
      <c r="I652" s="217" t="str">
        <f t="array" ref="I652">IF(E652="", "", _xlfn.XLOOKUP(E652, 'GERAL ENVIOS'!C:C, 'GERAL ENVIOS'!K:K,"NAO ESTA NA PLANILHA"))</f>
        <v>NAO ESTA NA PLANILHA</v>
      </c>
    </row>
    <row r="653" ht="17.25" customHeight="1">
      <c r="A653" s="211"/>
      <c r="B653" s="215" t="s">
        <v>1168</v>
      </c>
      <c r="C653" s="215" t="s">
        <v>1123</v>
      </c>
      <c r="D653" s="213">
        <v>86928.0</v>
      </c>
      <c r="E653" s="215" t="s">
        <v>2669</v>
      </c>
      <c r="F653" s="215" t="s">
        <v>2670</v>
      </c>
      <c r="G653" s="215" t="s">
        <v>2671</v>
      </c>
      <c r="H653" s="216" t="s">
        <v>2559</v>
      </c>
      <c r="I653" s="217" t="str">
        <f t="array" ref="I653">IF(E653="", "", _xlfn.XLOOKUP(E653, 'GERAL ENVIOS'!C:C, 'GERAL ENVIOS'!K:K,"NAO ESTA NA PLANILHA"))</f>
        <v>Finalizado</v>
      </c>
    </row>
    <row r="654" ht="17.25" customHeight="1">
      <c r="A654" s="211"/>
      <c r="B654" s="215" t="s">
        <v>1162</v>
      </c>
      <c r="C654" s="215" t="s">
        <v>1163</v>
      </c>
      <c r="D654" s="213">
        <v>85525.0</v>
      </c>
      <c r="E654" s="215" t="s">
        <v>2672</v>
      </c>
      <c r="F654" s="215" t="s">
        <v>2673</v>
      </c>
      <c r="G654" s="215" t="s">
        <v>2674</v>
      </c>
      <c r="H654" s="216" t="s">
        <v>2559</v>
      </c>
      <c r="I654" s="217" t="str">
        <f t="array" ref="I654">IF(E654="", "", _xlfn.XLOOKUP(E654, 'GERAL ENVIOS'!C:C, 'GERAL ENVIOS'!K:K,"NAO ESTA NA PLANILHA"))</f>
        <v>NAO ESTA NA PLANILHA</v>
      </c>
    </row>
    <row r="655" ht="17.25" customHeight="1">
      <c r="A655" s="211"/>
      <c r="B655" s="215" t="s">
        <v>1162</v>
      </c>
      <c r="C655" s="215" t="s">
        <v>1426</v>
      </c>
      <c r="D655" s="213">
        <v>87742.0</v>
      </c>
      <c r="E655" s="215" t="s">
        <v>484</v>
      </c>
      <c r="F655" s="215" t="s">
        <v>2675</v>
      </c>
      <c r="G655" s="215" t="s">
        <v>2676</v>
      </c>
      <c r="H655" s="216" t="s">
        <v>2559</v>
      </c>
      <c r="I655" s="217" t="str">
        <f t="array" ref="I655">IF(E655="", "", _xlfn.XLOOKUP(E655, 'GERAL ENVIOS'!C:C, 'GERAL ENVIOS'!K:K,"NAO ESTA NA PLANILHA"))</f>
        <v>Finalizado</v>
      </c>
    </row>
    <row r="656" ht="17.25" customHeight="1">
      <c r="A656" s="211"/>
      <c r="B656" s="215" t="s">
        <v>1162</v>
      </c>
      <c r="C656" s="215" t="s">
        <v>1123</v>
      </c>
      <c r="D656" s="213">
        <v>84996.0</v>
      </c>
      <c r="E656" s="215" t="s">
        <v>991</v>
      </c>
      <c r="F656" s="215" t="s">
        <v>2677</v>
      </c>
      <c r="G656" s="215" t="s">
        <v>2678</v>
      </c>
      <c r="H656" s="216" t="s">
        <v>2559</v>
      </c>
      <c r="I656" s="217" t="str">
        <f t="array" ref="I656">IF(E656="", "", _xlfn.XLOOKUP(E656, 'GERAL ENVIOS'!C:C, 'GERAL ENVIOS'!K:K,"NAO ESTA NA PLANILHA"))</f>
        <v>Finalizado</v>
      </c>
    </row>
    <row r="657" ht="17.25" customHeight="1">
      <c r="A657" s="211"/>
      <c r="B657" s="215" t="s">
        <v>1162</v>
      </c>
      <c r="C657" s="215" t="s">
        <v>1163</v>
      </c>
      <c r="D657" s="213">
        <v>88561.0</v>
      </c>
      <c r="E657" s="215" t="s">
        <v>2679</v>
      </c>
      <c r="F657" s="215" t="s">
        <v>2680</v>
      </c>
      <c r="G657" s="215" t="s">
        <v>2681</v>
      </c>
      <c r="H657" s="216" t="s">
        <v>2559</v>
      </c>
      <c r="I657" s="217" t="str">
        <f t="array" ref="I657">IF(E657="", "", _xlfn.XLOOKUP(E657, 'GERAL ENVIOS'!C:C, 'GERAL ENVIOS'!K:K,"NAO ESTA NA PLANILHA"))</f>
        <v>NAO ESTA NA PLANILHA</v>
      </c>
    </row>
    <row r="658" ht="17.25" customHeight="1">
      <c r="A658" s="211"/>
      <c r="B658" s="215" t="s">
        <v>1168</v>
      </c>
      <c r="C658" s="215" t="s">
        <v>1163</v>
      </c>
      <c r="D658" s="213">
        <v>88799.0</v>
      </c>
      <c r="E658" s="215" t="s">
        <v>2682</v>
      </c>
      <c r="F658" s="215" t="s">
        <v>2683</v>
      </c>
      <c r="G658" s="215" t="s">
        <v>2684</v>
      </c>
      <c r="H658" s="216" t="s">
        <v>2559</v>
      </c>
      <c r="I658" s="217" t="str">
        <f t="array" ref="I658">IF(E658="", "", _xlfn.XLOOKUP(E658, 'GERAL ENVIOS'!C:C, 'GERAL ENVIOS'!K:K,"NAO ESTA NA PLANILHA"))</f>
        <v>NAO ESTA NA PLANILHA</v>
      </c>
    </row>
    <row r="659" ht="17.25" customHeight="1">
      <c r="A659" s="211"/>
      <c r="B659" s="215" t="s">
        <v>1168</v>
      </c>
      <c r="C659" s="215" t="s">
        <v>1163</v>
      </c>
      <c r="D659" s="213">
        <v>88587.0</v>
      </c>
      <c r="E659" s="215" t="s">
        <v>2685</v>
      </c>
      <c r="F659" s="215" t="s">
        <v>2686</v>
      </c>
      <c r="G659" s="215" t="s">
        <v>2687</v>
      </c>
      <c r="H659" s="216" t="s">
        <v>2559</v>
      </c>
      <c r="I659" s="217" t="str">
        <f t="array" ref="I659">IF(E659="", "", _xlfn.XLOOKUP(E659, 'GERAL ENVIOS'!C:C, 'GERAL ENVIOS'!K:K,"NAO ESTA NA PLANILHA"))</f>
        <v>NAO ESTA NA PLANILHA</v>
      </c>
    </row>
    <row r="660" ht="17.25" customHeight="1">
      <c r="A660" s="211"/>
      <c r="B660" s="215" t="s">
        <v>1168</v>
      </c>
      <c r="C660" s="215" t="s">
        <v>1163</v>
      </c>
      <c r="D660" s="213">
        <v>84921.0</v>
      </c>
      <c r="E660" s="215" t="s">
        <v>536</v>
      </c>
      <c r="F660" s="215" t="s">
        <v>2688</v>
      </c>
      <c r="G660" s="215" t="s">
        <v>2689</v>
      </c>
      <c r="H660" s="216" t="s">
        <v>2559</v>
      </c>
      <c r="I660" s="217" t="str">
        <f t="array" ref="I660">IF(E660="", "", _xlfn.XLOOKUP(E660, 'GERAL ENVIOS'!C:C, 'GERAL ENVIOS'!K:K,"NAO ESTA NA PLANILHA"))</f>
        <v>IMPRESSÃO</v>
      </c>
    </row>
    <row r="661" ht="17.25" customHeight="1">
      <c r="A661" s="211"/>
      <c r="B661" s="215" t="s">
        <v>1162</v>
      </c>
      <c r="C661" s="215" t="s">
        <v>1123</v>
      </c>
      <c r="D661" s="213">
        <v>88483.0</v>
      </c>
      <c r="E661" s="215" t="s">
        <v>114</v>
      </c>
      <c r="F661" s="215" t="s">
        <v>2690</v>
      </c>
      <c r="G661" s="215" t="s">
        <v>2691</v>
      </c>
      <c r="H661" s="216" t="s">
        <v>2559</v>
      </c>
      <c r="I661" s="217" t="str">
        <f t="array" ref="I661">IF(E661="", "", _xlfn.XLOOKUP(E661, 'GERAL ENVIOS'!C:C, 'GERAL ENVIOS'!K:K,"NAO ESTA NA PLANILHA"))</f>
        <v>Finalizado</v>
      </c>
    </row>
    <row r="662" ht="17.25" customHeight="1">
      <c r="A662" s="211"/>
      <c r="B662" s="215" t="s">
        <v>1162</v>
      </c>
      <c r="C662" s="215" t="s">
        <v>1163</v>
      </c>
      <c r="D662" s="213">
        <v>85121.0</v>
      </c>
      <c r="E662" s="215" t="s">
        <v>2692</v>
      </c>
      <c r="F662" s="215" t="s">
        <v>2693</v>
      </c>
      <c r="G662" s="215" t="s">
        <v>2694</v>
      </c>
      <c r="H662" s="216" t="s">
        <v>2559</v>
      </c>
      <c r="I662" s="217" t="str">
        <f t="array" ref="I662">IF(E662="", "", _xlfn.XLOOKUP(E662, 'GERAL ENVIOS'!C:C, 'GERAL ENVIOS'!K:K,"NAO ESTA NA PLANILHA"))</f>
        <v>NAO ESTA NA PLANILHA</v>
      </c>
    </row>
    <row r="663" ht="17.25" customHeight="1">
      <c r="A663" s="211"/>
      <c r="B663" s="215" t="s">
        <v>1168</v>
      </c>
      <c r="C663" s="215" t="s">
        <v>1163</v>
      </c>
      <c r="D663" s="213">
        <v>86804.0</v>
      </c>
      <c r="E663" s="215" t="s">
        <v>863</v>
      </c>
      <c r="F663" s="215" t="s">
        <v>2695</v>
      </c>
      <c r="G663" s="215" t="s">
        <v>2696</v>
      </c>
      <c r="H663" s="216" t="s">
        <v>2559</v>
      </c>
      <c r="I663" s="217" t="str">
        <f t="array" ref="I663">IF(E663="", "", _xlfn.XLOOKUP(E663, 'GERAL ENVIOS'!C:C, 'GERAL ENVIOS'!K:K,"NAO ESTA NA PLANILHA"))</f>
        <v>Finalizado</v>
      </c>
    </row>
    <row r="664" ht="17.25" customHeight="1">
      <c r="A664" s="211"/>
      <c r="B664" s="215" t="s">
        <v>1437</v>
      </c>
      <c r="C664" s="215" t="s">
        <v>1163</v>
      </c>
      <c r="D664" s="213">
        <v>85821.0</v>
      </c>
      <c r="E664" s="215" t="s">
        <v>2697</v>
      </c>
      <c r="F664" s="215" t="s">
        <v>2698</v>
      </c>
      <c r="G664" s="215" t="s">
        <v>2699</v>
      </c>
      <c r="H664" s="216" t="s">
        <v>2559</v>
      </c>
      <c r="I664" s="217" t="str">
        <f t="array" ref="I664">IF(E664="", "", _xlfn.XLOOKUP(E664, 'GERAL ENVIOS'!C:C, 'GERAL ENVIOS'!K:K,"NAO ESTA NA PLANILHA"))</f>
        <v>NAO ESTA NA PLANILHA</v>
      </c>
    </row>
    <row r="665" ht="17.25" customHeight="1">
      <c r="A665" s="211"/>
      <c r="B665" s="215" t="s">
        <v>1437</v>
      </c>
      <c r="C665" s="215" t="s">
        <v>1246</v>
      </c>
      <c r="D665" s="213">
        <v>89825.0</v>
      </c>
      <c r="E665" s="215" t="s">
        <v>909</v>
      </c>
      <c r="F665" s="215" t="s">
        <v>2700</v>
      </c>
      <c r="G665" s="215" t="s">
        <v>2701</v>
      </c>
      <c r="H665" s="216" t="s">
        <v>2559</v>
      </c>
      <c r="I665" s="217" t="str">
        <f t="array" ref="I665">IF(E665="", "", _xlfn.XLOOKUP(E665, 'GERAL ENVIOS'!C:C, 'GERAL ENVIOS'!K:K,"NAO ESTA NA PLANILHA"))</f>
        <v>Finalizado</v>
      </c>
    </row>
    <row r="666" ht="17.25" customHeight="1">
      <c r="A666" s="211"/>
      <c r="B666" s="215" t="s">
        <v>1437</v>
      </c>
      <c r="C666" s="215" t="s">
        <v>1235</v>
      </c>
      <c r="D666" s="213">
        <v>85728.0</v>
      </c>
      <c r="E666" s="215" t="s">
        <v>2702</v>
      </c>
      <c r="F666" s="215" t="s">
        <v>2703</v>
      </c>
      <c r="G666" s="215" t="s">
        <v>2704</v>
      </c>
      <c r="H666" s="216" t="s">
        <v>2559</v>
      </c>
      <c r="I666" s="217" t="str">
        <f t="array" ref="I666">IF(E666="", "", _xlfn.XLOOKUP(E666, 'GERAL ENVIOS'!C:C, 'GERAL ENVIOS'!K:K,"NAO ESTA NA PLANILHA"))</f>
        <v>Finalizado</v>
      </c>
    </row>
    <row r="667" ht="17.25" customHeight="1">
      <c r="A667" s="211"/>
      <c r="B667" s="215" t="s">
        <v>1437</v>
      </c>
      <c r="C667" s="215" t="s">
        <v>1235</v>
      </c>
      <c r="D667" s="213">
        <v>85212.0</v>
      </c>
      <c r="E667" s="215" t="s">
        <v>526</v>
      </c>
      <c r="F667" s="215" t="s">
        <v>2705</v>
      </c>
      <c r="G667" s="215" t="s">
        <v>2706</v>
      </c>
      <c r="H667" s="216" t="s">
        <v>2559</v>
      </c>
      <c r="I667" s="217" t="str">
        <f t="array" ref="I667">IF(E667="", "", _xlfn.XLOOKUP(E667, 'GERAL ENVIOS'!C:C, 'GERAL ENVIOS'!K:K,"NAO ESTA NA PLANILHA"))</f>
        <v>Finalizado</v>
      </c>
    </row>
    <row r="668" ht="17.25" customHeight="1">
      <c r="A668" s="211"/>
      <c r="B668" s="215" t="s">
        <v>1330</v>
      </c>
      <c r="C668" s="215" t="s">
        <v>1246</v>
      </c>
      <c r="D668" s="213">
        <v>85905.0</v>
      </c>
      <c r="E668" s="215" t="s">
        <v>905</v>
      </c>
      <c r="F668" s="215" t="s">
        <v>2707</v>
      </c>
      <c r="G668" s="215" t="s">
        <v>2708</v>
      </c>
      <c r="H668" s="216" t="s">
        <v>2559</v>
      </c>
      <c r="I668" s="217" t="str">
        <f t="array" ref="I668">IF(E668="", "", _xlfn.XLOOKUP(E668, 'GERAL ENVIOS'!C:C, 'GERAL ENVIOS'!K:K,"NAO ESTA NA PLANILHA"))</f>
        <v>Aguardando Aprovação</v>
      </c>
    </row>
    <row r="669" ht="17.25" customHeight="1">
      <c r="A669" s="211"/>
      <c r="B669" s="215" t="s">
        <v>1330</v>
      </c>
      <c r="C669" s="215" t="s">
        <v>1163</v>
      </c>
      <c r="D669" s="213">
        <v>85025.0</v>
      </c>
      <c r="E669" s="215" t="s">
        <v>2709</v>
      </c>
      <c r="F669" s="215" t="s">
        <v>2710</v>
      </c>
      <c r="G669" s="215" t="s">
        <v>2711</v>
      </c>
      <c r="H669" s="216" t="s">
        <v>2559</v>
      </c>
      <c r="I669" s="217" t="str">
        <f t="array" ref="I669">IF(E669="", "", _xlfn.XLOOKUP(E669, 'GERAL ENVIOS'!C:C, 'GERAL ENVIOS'!K:K,"NAO ESTA NA PLANILHA"))</f>
        <v>NAO ESTA NA PLANILHA</v>
      </c>
    </row>
    <row r="670" ht="17.25" customHeight="1">
      <c r="A670" s="211"/>
      <c r="B670" s="215" t="s">
        <v>1330</v>
      </c>
      <c r="C670" s="215" t="s">
        <v>1163</v>
      </c>
      <c r="D670" s="213">
        <v>85088.0</v>
      </c>
      <c r="E670" s="215" t="s">
        <v>378</v>
      </c>
      <c r="F670" s="215" t="s">
        <v>2712</v>
      </c>
      <c r="G670" s="215" t="s">
        <v>2713</v>
      </c>
      <c r="H670" s="216" t="s">
        <v>2559</v>
      </c>
      <c r="I670" s="217" t="str">
        <f t="array" ref="I670">IF(E670="", "", _xlfn.XLOOKUP(E670, 'GERAL ENVIOS'!C:C, 'GERAL ENVIOS'!K:K,"NAO ESTA NA PLANILHA"))</f>
        <v>Aguardando Aprovação</v>
      </c>
    </row>
    <row r="671" ht="17.25" customHeight="1">
      <c r="A671" s="211"/>
      <c r="B671" s="215" t="s">
        <v>1437</v>
      </c>
      <c r="C671" s="215" t="s">
        <v>1163</v>
      </c>
      <c r="D671" s="213">
        <v>85166.0</v>
      </c>
      <c r="E671" s="215" t="s">
        <v>2714</v>
      </c>
      <c r="F671" s="215" t="s">
        <v>2715</v>
      </c>
      <c r="G671" s="215" t="s">
        <v>2716</v>
      </c>
      <c r="H671" s="216" t="s">
        <v>2559</v>
      </c>
      <c r="I671" s="217" t="str">
        <f t="array" ref="I671">IF(E671="", "", _xlfn.XLOOKUP(E671, 'GERAL ENVIOS'!C:C, 'GERAL ENVIOS'!K:K,"NAO ESTA NA PLANILHA"))</f>
        <v>NAO ESTA NA PLANILHA</v>
      </c>
    </row>
    <row r="672" ht="17.25" customHeight="1">
      <c r="A672" s="211"/>
      <c r="B672" s="215" t="s">
        <v>1437</v>
      </c>
      <c r="C672" s="215" t="s">
        <v>1246</v>
      </c>
      <c r="D672" s="213">
        <v>87546.0</v>
      </c>
      <c r="E672" s="215" t="s">
        <v>174</v>
      </c>
      <c r="F672" s="215" t="s">
        <v>2717</v>
      </c>
      <c r="G672" s="215" t="s">
        <v>2718</v>
      </c>
      <c r="H672" s="216" t="s">
        <v>2559</v>
      </c>
      <c r="I672" s="217" t="str">
        <f t="array" ref="I672">IF(E672="", "", _xlfn.XLOOKUP(E672, 'GERAL ENVIOS'!C:C, 'GERAL ENVIOS'!K:K,"NAO ESTA NA PLANILHA"))</f>
        <v>Finalizado</v>
      </c>
    </row>
    <row r="673" ht="17.25" customHeight="1">
      <c r="A673" s="211"/>
      <c r="B673" s="215" t="s">
        <v>1437</v>
      </c>
      <c r="C673" s="215" t="s">
        <v>1163</v>
      </c>
      <c r="D673" s="213">
        <v>86055.0</v>
      </c>
      <c r="E673" s="215" t="s">
        <v>252</v>
      </c>
      <c r="F673" s="215" t="s">
        <v>2719</v>
      </c>
      <c r="G673" s="215" t="s">
        <v>2720</v>
      </c>
      <c r="H673" s="216" t="s">
        <v>2559</v>
      </c>
      <c r="I673" s="217" t="str">
        <f t="array" ref="I673">IF(E673="", "", _xlfn.XLOOKUP(E673, 'GERAL ENVIOS'!C:C, 'GERAL ENVIOS'!K:K,"NAO ESTA NA PLANILHA"))</f>
        <v>Finalizado</v>
      </c>
    </row>
    <row r="674" ht="17.25" customHeight="1">
      <c r="A674" s="211"/>
      <c r="B674" s="215" t="s">
        <v>1437</v>
      </c>
      <c r="C674" s="215" t="s">
        <v>1163</v>
      </c>
      <c r="D674" s="213">
        <v>79228.0</v>
      </c>
      <c r="E674" s="215" t="s">
        <v>2721</v>
      </c>
      <c r="F674" s="215" t="s">
        <v>2722</v>
      </c>
      <c r="G674" s="215" t="s">
        <v>2723</v>
      </c>
      <c r="H674" s="216" t="s">
        <v>2559</v>
      </c>
      <c r="I674" s="217" t="str">
        <f t="array" ref="I674">IF(E674="", "", _xlfn.XLOOKUP(E674, 'GERAL ENVIOS'!C:C, 'GERAL ENVIOS'!K:K,"NAO ESTA NA PLANILHA"))</f>
        <v>NAO ESTA NA PLANILHA</v>
      </c>
    </row>
    <row r="675" ht="17.25" customHeight="1">
      <c r="A675" s="211"/>
      <c r="B675" s="215" t="s">
        <v>1330</v>
      </c>
      <c r="C675" s="215" t="s">
        <v>1163</v>
      </c>
      <c r="D675" s="213">
        <v>89223.0</v>
      </c>
      <c r="E675" s="215" t="s">
        <v>929</v>
      </c>
      <c r="F675" s="215" t="s">
        <v>2724</v>
      </c>
      <c r="G675" s="215" t="s">
        <v>2725</v>
      </c>
      <c r="H675" s="216" t="s">
        <v>2559</v>
      </c>
      <c r="I675" s="217" t="str">
        <f t="array" ref="I675">IF(E675="", "", _xlfn.XLOOKUP(E675, 'GERAL ENVIOS'!C:C, 'GERAL ENVIOS'!K:K,"NAO ESTA NA PLANILHA"))</f>
        <v>Aguardando Aprovação</v>
      </c>
    </row>
    <row r="676" ht="17.25" customHeight="1">
      <c r="A676" s="211"/>
      <c r="B676" s="215" t="s">
        <v>1437</v>
      </c>
      <c r="C676" s="215" t="s">
        <v>1163</v>
      </c>
      <c r="D676" s="213">
        <v>67971.0</v>
      </c>
      <c r="E676" s="215" t="s">
        <v>2726</v>
      </c>
      <c r="F676" s="215" t="s">
        <v>2727</v>
      </c>
      <c r="G676" s="215" t="s">
        <v>2728</v>
      </c>
      <c r="H676" s="216" t="s">
        <v>2559</v>
      </c>
      <c r="I676" s="217" t="str">
        <f t="array" ref="I676">IF(E676="", "", _xlfn.XLOOKUP(E676, 'GERAL ENVIOS'!C:C, 'GERAL ENVIOS'!K:K,"NAO ESTA NA PLANILHA"))</f>
        <v>NAO ESTA NA PLANILHA</v>
      </c>
    </row>
    <row r="677" ht="17.25" customHeight="1">
      <c r="A677" s="211"/>
      <c r="B677" s="215" t="s">
        <v>1437</v>
      </c>
      <c r="C677" s="215" t="s">
        <v>1179</v>
      </c>
      <c r="D677" s="213">
        <v>89364.0</v>
      </c>
      <c r="E677" s="215" t="s">
        <v>2729</v>
      </c>
      <c r="F677" s="215" t="s">
        <v>2730</v>
      </c>
      <c r="G677" s="215" t="s">
        <v>2731</v>
      </c>
      <c r="H677" s="216" t="s">
        <v>2559</v>
      </c>
      <c r="I677" s="217" t="str">
        <f t="array" ref="I677">IF(E677="", "", _xlfn.XLOOKUP(E677, 'GERAL ENVIOS'!C:C, 'GERAL ENVIOS'!K:K,"NAO ESTA NA PLANILHA"))</f>
        <v>NAO ESTA NA PLANILHA</v>
      </c>
    </row>
    <row r="678" ht="17.25" customHeight="1">
      <c r="A678" s="211"/>
      <c r="B678" s="215" t="s">
        <v>1437</v>
      </c>
      <c r="C678" s="215" t="s">
        <v>1235</v>
      </c>
      <c r="D678" s="213">
        <v>90181.0</v>
      </c>
      <c r="E678" s="215" t="s">
        <v>500</v>
      </c>
      <c r="F678" s="215" t="s">
        <v>2732</v>
      </c>
      <c r="G678" s="223">
        <v>9.1983050099E10</v>
      </c>
      <c r="H678" s="216" t="s">
        <v>2559</v>
      </c>
      <c r="I678" s="217" t="str">
        <f t="array" ref="I678">IF(E678="", "", _xlfn.XLOOKUP(E678, 'GERAL ENVIOS'!C:C, 'GERAL ENVIOS'!K:K,"NAO ESTA NA PLANILHA"))</f>
        <v>Finalizado</v>
      </c>
    </row>
    <row r="679" ht="17.25" customHeight="1">
      <c r="A679" s="211"/>
      <c r="B679" s="215" t="s">
        <v>1437</v>
      </c>
      <c r="C679" s="215" t="s">
        <v>1179</v>
      </c>
      <c r="D679" s="213">
        <v>79228.0</v>
      </c>
      <c r="E679" s="215" t="s">
        <v>2721</v>
      </c>
      <c r="F679" s="215" t="s">
        <v>2722</v>
      </c>
      <c r="G679" s="215" t="s">
        <v>2723</v>
      </c>
      <c r="H679" s="216" t="s">
        <v>2559</v>
      </c>
      <c r="I679" s="217" t="str">
        <f t="array" ref="I679">IF(E679="", "", _xlfn.XLOOKUP(E679, 'GERAL ENVIOS'!C:C, 'GERAL ENVIOS'!K:K,"NAO ESTA NA PLANILHA"))</f>
        <v>NAO ESTA NA PLANILHA</v>
      </c>
    </row>
    <row r="680" ht="17.25" customHeight="1">
      <c r="A680" s="211"/>
      <c r="B680" s="215" t="s">
        <v>1330</v>
      </c>
      <c r="C680" s="215" t="s">
        <v>1163</v>
      </c>
      <c r="D680" s="213">
        <v>84844.0</v>
      </c>
      <c r="E680" s="215" t="s">
        <v>2733</v>
      </c>
      <c r="F680" s="215" t="s">
        <v>2734</v>
      </c>
      <c r="G680" s="215" t="s">
        <v>2735</v>
      </c>
      <c r="H680" s="216" t="s">
        <v>2559</v>
      </c>
      <c r="I680" s="217" t="str">
        <f t="array" ref="I680">IF(E680="", "", _xlfn.XLOOKUP(E680, 'GERAL ENVIOS'!C:C, 'GERAL ENVIOS'!K:K,"NAO ESTA NA PLANILHA"))</f>
        <v>NAO ESTA NA PLANILHA</v>
      </c>
    </row>
    <row r="681" ht="17.25" customHeight="1">
      <c r="A681" s="211"/>
      <c r="B681" s="215" t="s">
        <v>1330</v>
      </c>
      <c r="C681" s="215" t="s">
        <v>1179</v>
      </c>
      <c r="D681" s="213">
        <v>85041.0</v>
      </c>
      <c r="E681" s="215" t="s">
        <v>566</v>
      </c>
      <c r="F681" s="215" t="s">
        <v>2736</v>
      </c>
      <c r="G681" s="215" t="s">
        <v>2737</v>
      </c>
      <c r="H681" s="216" t="s">
        <v>2559</v>
      </c>
      <c r="I681" s="217" t="str">
        <f t="array" ref="I681">IF(E681="", "", _xlfn.XLOOKUP(E681, 'GERAL ENVIOS'!C:C, 'GERAL ENVIOS'!K:K,"NAO ESTA NA PLANILHA"))</f>
        <v>Aguardando Aprovação</v>
      </c>
    </row>
    <row r="682" ht="17.25" customHeight="1">
      <c r="A682" s="211"/>
      <c r="B682" s="215" t="s">
        <v>1330</v>
      </c>
      <c r="C682" s="215" t="s">
        <v>1179</v>
      </c>
      <c r="D682" s="213">
        <v>84872.0</v>
      </c>
      <c r="E682" s="215" t="s">
        <v>2738</v>
      </c>
      <c r="F682" s="215" t="s">
        <v>2739</v>
      </c>
      <c r="G682" s="215" t="s">
        <v>2740</v>
      </c>
      <c r="H682" s="216" t="s">
        <v>2559</v>
      </c>
      <c r="I682" s="217" t="str">
        <f t="array" ref="I682">IF(E682="", "", _xlfn.XLOOKUP(E682, 'GERAL ENVIOS'!C:C, 'GERAL ENVIOS'!K:K,"NAO ESTA NA PLANILHA"))</f>
        <v>NAO ESTA NA PLANILHA</v>
      </c>
    </row>
    <row r="683">
      <c r="A683" s="231"/>
      <c r="B683" s="215" t="s">
        <v>1162</v>
      </c>
      <c r="C683" s="215" t="s">
        <v>1235</v>
      </c>
      <c r="D683" s="213">
        <v>88706.0</v>
      </c>
      <c r="E683" s="215" t="s">
        <v>681</v>
      </c>
      <c r="F683" s="215" t="s">
        <v>2741</v>
      </c>
      <c r="G683" s="215" t="s">
        <v>2742</v>
      </c>
      <c r="H683" s="216" t="s">
        <v>2743</v>
      </c>
      <c r="I683" s="217" t="str">
        <f t="array" ref="I683">IF(E683="", "", _xlfn.XLOOKUP(E683, 'GERAL ENVIOS'!C:C, 'GERAL ENVIOS'!K:K,"NAO ESTA NA PLANILHA"))</f>
        <v>Finalizado</v>
      </c>
      <c r="J683" s="232"/>
      <c r="K683" s="232"/>
      <c r="L683" s="233"/>
      <c r="M683" s="234"/>
      <c r="N683" s="234"/>
      <c r="O683" s="235"/>
      <c r="T683" s="235"/>
      <c r="U683" s="236"/>
      <c r="V683" s="235"/>
      <c r="W683" s="235"/>
      <c r="X683" s="232"/>
      <c r="Y683" s="235"/>
      <c r="Z683" s="232"/>
      <c r="AA683" s="235"/>
      <c r="AB683" s="235"/>
    </row>
    <row r="684">
      <c r="A684" s="231"/>
      <c r="B684" s="215" t="s">
        <v>1168</v>
      </c>
      <c r="C684" s="215" t="s">
        <v>1123</v>
      </c>
      <c r="D684" s="213">
        <v>88146.0</v>
      </c>
      <c r="E684" s="215" t="s">
        <v>380</v>
      </c>
      <c r="F684" s="215" t="s">
        <v>2744</v>
      </c>
      <c r="G684" s="215" t="s">
        <v>2745</v>
      </c>
      <c r="H684" s="216" t="s">
        <v>2743</v>
      </c>
      <c r="I684" s="217" t="str">
        <f t="array" ref="I684">IF(E684="", "", _xlfn.XLOOKUP(E684, 'GERAL ENVIOS'!C:C, 'GERAL ENVIOS'!K:K,"NAO ESTA NA PLANILHA"))</f>
        <v>Finalizado</v>
      </c>
      <c r="J684" s="232"/>
      <c r="K684" s="232"/>
      <c r="L684" s="233"/>
      <c r="M684" s="234"/>
      <c r="N684" s="234"/>
      <c r="O684" s="235"/>
      <c r="T684" s="235"/>
      <c r="U684" s="236"/>
      <c r="V684" s="235"/>
      <c r="W684" s="235"/>
      <c r="X684" s="232"/>
      <c r="Y684" s="235"/>
      <c r="Z684" s="232"/>
      <c r="AA684" s="235"/>
      <c r="AB684" s="235"/>
    </row>
    <row r="685">
      <c r="A685" s="231"/>
      <c r="B685" s="215" t="s">
        <v>1484</v>
      </c>
      <c r="C685" s="215" t="s">
        <v>1163</v>
      </c>
      <c r="D685" s="213">
        <v>88240.0</v>
      </c>
      <c r="E685" s="215" t="s">
        <v>2746</v>
      </c>
      <c r="F685" s="215" t="s">
        <v>2747</v>
      </c>
      <c r="G685" s="215" t="s">
        <v>2748</v>
      </c>
      <c r="H685" s="216" t="s">
        <v>2743</v>
      </c>
      <c r="I685" s="217" t="str">
        <f t="array" ref="I685">IF(E685="", "", _xlfn.XLOOKUP(E685, 'GERAL ENVIOS'!C:C, 'GERAL ENVIOS'!K:K,"NAO ESTA NA PLANILHA"))</f>
        <v>NAO ESTA NA PLANILHA</v>
      </c>
      <c r="J685" s="232"/>
      <c r="K685" s="232"/>
      <c r="L685" s="233"/>
      <c r="M685" s="234"/>
      <c r="N685" s="234"/>
      <c r="O685" s="235"/>
      <c r="T685" s="235"/>
      <c r="U685" s="236"/>
      <c r="V685" s="235"/>
      <c r="W685" s="235"/>
      <c r="X685" s="232"/>
      <c r="Y685" s="235"/>
      <c r="Z685" s="232"/>
      <c r="AA685" s="235"/>
      <c r="AB685" s="235"/>
    </row>
    <row r="686">
      <c r="A686" s="231"/>
      <c r="B686" s="215" t="s">
        <v>1484</v>
      </c>
      <c r="C686" s="215" t="s">
        <v>1179</v>
      </c>
      <c r="D686" s="213">
        <v>88207.0</v>
      </c>
      <c r="E686" s="215" t="s">
        <v>2749</v>
      </c>
      <c r="F686" s="215" t="s">
        <v>2750</v>
      </c>
      <c r="G686" s="223">
        <v>9.1985034671E10</v>
      </c>
      <c r="H686" s="216" t="s">
        <v>2743</v>
      </c>
      <c r="I686" s="217" t="str">
        <f t="array" ref="I686">IF(E686="", "", _xlfn.XLOOKUP(E686, 'GERAL ENVIOS'!C:C, 'GERAL ENVIOS'!K:K,"NAO ESTA NA PLANILHA"))</f>
        <v>NAO ESTA NA PLANILHA</v>
      </c>
      <c r="J686" s="232"/>
      <c r="K686" s="232"/>
      <c r="L686" s="233"/>
      <c r="M686" s="234"/>
      <c r="N686" s="234"/>
      <c r="O686" s="235"/>
      <c r="T686" s="235"/>
      <c r="U686" s="236"/>
      <c r="V686" s="235"/>
      <c r="W686" s="235"/>
      <c r="X686" s="232"/>
      <c r="Y686" s="235"/>
      <c r="Z686" s="232"/>
      <c r="AA686" s="235"/>
      <c r="AB686" s="235"/>
    </row>
    <row r="687">
      <c r="A687" s="231"/>
      <c r="B687" s="215" t="s">
        <v>1168</v>
      </c>
      <c r="C687" s="215" t="s">
        <v>1179</v>
      </c>
      <c r="D687" s="213">
        <v>88207.0</v>
      </c>
      <c r="E687" s="215" t="s">
        <v>2749</v>
      </c>
      <c r="F687" s="215" t="s">
        <v>2750</v>
      </c>
      <c r="G687" s="223">
        <v>9.1985034671E10</v>
      </c>
      <c r="H687" s="216" t="s">
        <v>2743</v>
      </c>
      <c r="I687" s="217" t="str">
        <f t="array" ref="I687">IF(E687="", "", _xlfn.XLOOKUP(E687, 'GERAL ENVIOS'!C:C, 'GERAL ENVIOS'!K:K,"NAO ESTA NA PLANILHA"))</f>
        <v>NAO ESTA NA PLANILHA</v>
      </c>
      <c r="J687" s="232"/>
      <c r="K687" s="232"/>
      <c r="L687" s="233"/>
      <c r="M687" s="234"/>
      <c r="N687" s="234"/>
      <c r="O687" s="235"/>
      <c r="T687" s="235"/>
      <c r="U687" s="236"/>
      <c r="V687" s="235"/>
      <c r="W687" s="235"/>
      <c r="X687" s="232"/>
      <c r="Y687" s="235"/>
      <c r="Z687" s="232"/>
      <c r="AA687" s="235"/>
      <c r="AB687" s="235"/>
    </row>
    <row r="688">
      <c r="A688" s="231"/>
      <c r="B688" s="215" t="s">
        <v>1484</v>
      </c>
      <c r="C688" s="215" t="s">
        <v>1123</v>
      </c>
      <c r="D688" s="213">
        <v>88507.0</v>
      </c>
      <c r="E688" s="215" t="s">
        <v>2751</v>
      </c>
      <c r="F688" s="215" t="s">
        <v>2752</v>
      </c>
      <c r="G688" s="215" t="s">
        <v>2753</v>
      </c>
      <c r="H688" s="216" t="s">
        <v>2743</v>
      </c>
      <c r="I688" s="217" t="str">
        <f t="array" ref="I688">IF(E688="", "", _xlfn.XLOOKUP(E688, 'GERAL ENVIOS'!C:C, 'GERAL ENVIOS'!K:K,"NAO ESTA NA PLANILHA"))</f>
        <v>NAO ESTA NA PLANILHA</v>
      </c>
      <c r="J688" s="232"/>
      <c r="K688" s="232"/>
      <c r="L688" s="233"/>
      <c r="M688" s="234"/>
      <c r="N688" s="234"/>
      <c r="O688" s="235"/>
      <c r="T688" s="235"/>
      <c r="U688" s="236"/>
      <c r="V688" s="235"/>
      <c r="W688" s="235"/>
      <c r="X688" s="232"/>
      <c r="Y688" s="235"/>
      <c r="Z688" s="232"/>
      <c r="AA688" s="235"/>
      <c r="AB688" s="235"/>
    </row>
    <row r="689">
      <c r="A689" s="231"/>
      <c r="B689" s="215" t="s">
        <v>1484</v>
      </c>
      <c r="C689" s="215" t="s">
        <v>1123</v>
      </c>
      <c r="D689" s="213">
        <v>88591.0</v>
      </c>
      <c r="E689" s="215" t="s">
        <v>2754</v>
      </c>
      <c r="F689" s="215" t="s">
        <v>2755</v>
      </c>
      <c r="G689" s="215" t="s">
        <v>2756</v>
      </c>
      <c r="H689" s="216" t="s">
        <v>2743</v>
      </c>
      <c r="I689" s="217" t="str">
        <f t="array" ref="I689">IF(E689="", "", _xlfn.XLOOKUP(E689, 'GERAL ENVIOS'!C:C, 'GERAL ENVIOS'!K:K,"NAO ESTA NA PLANILHA"))</f>
        <v>NAO ESTA NA PLANILHA</v>
      </c>
      <c r="J689" s="232"/>
      <c r="K689" s="232"/>
      <c r="L689" s="233"/>
      <c r="M689" s="234"/>
      <c r="N689" s="234"/>
      <c r="O689" s="235"/>
      <c r="T689" s="235"/>
      <c r="U689" s="236"/>
      <c r="V689" s="235"/>
      <c r="W689" s="235"/>
      <c r="X689" s="232"/>
      <c r="Y689" s="235"/>
      <c r="Z689" s="232"/>
      <c r="AA689" s="235"/>
      <c r="AB689" s="235"/>
    </row>
    <row r="690">
      <c r="A690" s="231"/>
      <c r="B690" s="215" t="s">
        <v>2757</v>
      </c>
      <c r="C690" s="215" t="s">
        <v>1123</v>
      </c>
      <c r="D690" s="213">
        <v>88591.0</v>
      </c>
      <c r="E690" s="215" t="s">
        <v>2754</v>
      </c>
      <c r="F690" s="215" t="s">
        <v>2755</v>
      </c>
      <c r="G690" s="215" t="s">
        <v>2756</v>
      </c>
      <c r="H690" s="216" t="s">
        <v>2743</v>
      </c>
      <c r="I690" s="217" t="str">
        <f t="array" ref="I690">IF(E690="", "", _xlfn.XLOOKUP(E690, 'GERAL ENVIOS'!C:C, 'GERAL ENVIOS'!K:K,"NAO ESTA NA PLANILHA"))</f>
        <v>NAO ESTA NA PLANILHA</v>
      </c>
      <c r="J690" s="232"/>
      <c r="K690" s="232"/>
      <c r="L690" s="233"/>
      <c r="M690" s="234"/>
      <c r="N690" s="234"/>
      <c r="O690" s="235"/>
      <c r="T690" s="235"/>
      <c r="U690" s="236"/>
      <c r="V690" s="235"/>
      <c r="W690" s="235"/>
      <c r="X690" s="232"/>
      <c r="Y690" s="235"/>
      <c r="Z690" s="232"/>
      <c r="AA690" s="235"/>
      <c r="AB690" s="235"/>
    </row>
    <row r="691">
      <c r="A691" s="231"/>
      <c r="B691" s="215" t="s">
        <v>1484</v>
      </c>
      <c r="C691" s="215" t="s">
        <v>1179</v>
      </c>
      <c r="D691" s="213">
        <v>90094.0</v>
      </c>
      <c r="E691" s="215" t="s">
        <v>2758</v>
      </c>
      <c r="F691" s="215" t="s">
        <v>2759</v>
      </c>
      <c r="G691" s="215" t="s">
        <v>2760</v>
      </c>
      <c r="H691" s="216" t="s">
        <v>2743</v>
      </c>
      <c r="I691" s="217" t="str">
        <f t="array" ref="I691">IF(E691="", "", _xlfn.XLOOKUP(E691, 'GERAL ENVIOS'!C:C, 'GERAL ENVIOS'!K:K,"NAO ESTA NA PLANILHA"))</f>
        <v>IMPRESSÃO</v>
      </c>
      <c r="J691" s="232"/>
      <c r="K691" s="232"/>
      <c r="L691" s="233"/>
      <c r="M691" s="234"/>
      <c r="N691" s="234"/>
      <c r="O691" s="235"/>
      <c r="T691" s="235"/>
      <c r="U691" s="236"/>
      <c r="V691" s="235"/>
      <c r="W691" s="235"/>
      <c r="X691" s="232"/>
      <c r="Y691" s="235"/>
      <c r="Z691" s="232"/>
      <c r="AA691" s="235"/>
      <c r="AB691" s="235"/>
    </row>
    <row r="692">
      <c r="A692" s="231"/>
      <c r="B692" s="215" t="s">
        <v>1178</v>
      </c>
      <c r="C692" s="215" t="s">
        <v>1179</v>
      </c>
      <c r="D692" s="213">
        <v>90094.0</v>
      </c>
      <c r="E692" s="215" t="s">
        <v>2758</v>
      </c>
      <c r="F692" s="215" t="s">
        <v>2759</v>
      </c>
      <c r="G692" s="215" t="s">
        <v>2760</v>
      </c>
      <c r="H692" s="216" t="s">
        <v>2743</v>
      </c>
      <c r="I692" s="217" t="str">
        <f t="array" ref="I692">IF(E692="", "", _xlfn.XLOOKUP(E692, 'GERAL ENVIOS'!C:C, 'GERAL ENVIOS'!K:K,"NAO ESTA NA PLANILHA"))</f>
        <v>IMPRESSÃO</v>
      </c>
      <c r="J692" s="232"/>
      <c r="K692" s="232"/>
      <c r="L692" s="233"/>
      <c r="M692" s="234"/>
      <c r="N692" s="234"/>
      <c r="O692" s="235"/>
      <c r="T692" s="235"/>
      <c r="U692" s="236"/>
      <c r="V692" s="235"/>
      <c r="W692" s="235"/>
      <c r="X692" s="232"/>
      <c r="Y692" s="235"/>
      <c r="Z692" s="232"/>
      <c r="AA692" s="235"/>
      <c r="AB692" s="235"/>
    </row>
    <row r="693">
      <c r="A693" s="237"/>
      <c r="B693" s="238" t="s">
        <v>1178</v>
      </c>
      <c r="C693" s="238" t="s">
        <v>1179</v>
      </c>
      <c r="D693" s="239">
        <v>82758.0</v>
      </c>
      <c r="E693" s="240" t="s">
        <v>241</v>
      </c>
      <c r="F693" s="239" t="s">
        <v>2761</v>
      </c>
      <c r="G693" s="239">
        <v>9.1984497929E10</v>
      </c>
      <c r="H693" s="241" t="s">
        <v>1167</v>
      </c>
      <c r="I693" s="242" t="str">
        <f t="array" ref="I693">IF(E693="", "", _xlfn.XLOOKUP(E693, 'GERAL ENVIOS'!C:C, 'GERAL ENVIOS'!K:K,"NAO ESTA NA PLANILHA"))</f>
        <v>Aguardando Aprovação</v>
      </c>
    </row>
    <row r="694">
      <c r="D694" s="7"/>
      <c r="E694" s="7"/>
      <c r="H694" s="204"/>
    </row>
    <row r="695">
      <c r="D695" s="7"/>
      <c r="E695" s="7"/>
      <c r="H695" s="204"/>
    </row>
    <row r="696">
      <c r="D696" s="7"/>
      <c r="E696" s="7"/>
      <c r="H696" s="204"/>
    </row>
    <row r="697">
      <c r="D697" s="7"/>
      <c r="E697" s="7"/>
      <c r="H697" s="204"/>
    </row>
    <row r="698">
      <c r="D698" s="7"/>
      <c r="E698" s="7"/>
      <c r="H698" s="204"/>
    </row>
    <row r="699">
      <c r="D699" s="7"/>
      <c r="E699" s="7"/>
      <c r="H699" s="204"/>
    </row>
    <row r="700">
      <c r="D700" s="7"/>
      <c r="E700" s="7"/>
      <c r="H700" s="204"/>
    </row>
    <row r="701">
      <c r="D701" s="7"/>
      <c r="E701" s="7"/>
      <c r="H701" s="204"/>
    </row>
    <row r="702">
      <c r="D702" s="7"/>
      <c r="E702" s="7"/>
      <c r="H702" s="204"/>
    </row>
    <row r="703">
      <c r="D703" s="7"/>
      <c r="E703" s="7"/>
      <c r="H703" s="204"/>
    </row>
    <row r="704">
      <c r="D704" s="7"/>
      <c r="E704" s="7"/>
      <c r="H704" s="204"/>
    </row>
    <row r="705">
      <c r="D705" s="7"/>
      <c r="E705" s="7"/>
      <c r="H705" s="204"/>
    </row>
    <row r="706">
      <c r="D706" s="7"/>
      <c r="E706" s="7"/>
      <c r="H706" s="204"/>
    </row>
    <row r="707">
      <c r="D707" s="7"/>
      <c r="E707" s="7"/>
      <c r="H707" s="204"/>
    </row>
    <row r="708">
      <c r="D708" s="7"/>
      <c r="E708" s="7"/>
      <c r="H708" s="204"/>
    </row>
    <row r="709">
      <c r="D709" s="7"/>
      <c r="E709" s="7"/>
      <c r="H709" s="204"/>
    </row>
    <row r="710">
      <c r="D710" s="7"/>
      <c r="E710" s="7"/>
      <c r="H710" s="204"/>
    </row>
    <row r="711">
      <c r="D711" s="7"/>
      <c r="E711" s="7"/>
      <c r="H711" s="204"/>
    </row>
    <row r="712">
      <c r="D712" s="7"/>
      <c r="E712" s="7"/>
      <c r="H712" s="204"/>
    </row>
    <row r="713">
      <c r="D713" s="7"/>
      <c r="E713" s="7"/>
      <c r="H713" s="204"/>
    </row>
    <row r="714">
      <c r="D714" s="7"/>
      <c r="E714" s="7"/>
      <c r="H714" s="204"/>
    </row>
    <row r="715">
      <c r="D715" s="7"/>
      <c r="E715" s="7"/>
      <c r="H715" s="204"/>
    </row>
    <row r="716">
      <c r="D716" s="7"/>
      <c r="E716" s="7"/>
      <c r="H716" s="204"/>
    </row>
    <row r="717">
      <c r="D717" s="7"/>
      <c r="E717" s="7"/>
      <c r="H717" s="204"/>
    </row>
    <row r="718">
      <c r="D718" s="7"/>
      <c r="E718" s="7"/>
      <c r="H718" s="204"/>
    </row>
    <row r="719">
      <c r="D719" s="7"/>
      <c r="E719" s="7"/>
      <c r="H719" s="204"/>
    </row>
    <row r="720">
      <c r="D720" s="7"/>
      <c r="E720" s="7"/>
      <c r="H720" s="204"/>
    </row>
    <row r="721">
      <c r="D721" s="7"/>
      <c r="E721" s="7"/>
      <c r="H721" s="204"/>
    </row>
    <row r="722">
      <c r="D722" s="7"/>
      <c r="E722" s="7"/>
      <c r="H722" s="204"/>
    </row>
    <row r="723">
      <c r="D723" s="7"/>
      <c r="E723" s="7"/>
      <c r="H723" s="204"/>
    </row>
    <row r="724">
      <c r="D724" s="7"/>
      <c r="E724" s="7"/>
      <c r="H724" s="204"/>
    </row>
    <row r="725">
      <c r="D725" s="7"/>
      <c r="E725" s="7"/>
      <c r="H725" s="204"/>
    </row>
    <row r="726">
      <c r="D726" s="7"/>
      <c r="E726" s="7"/>
      <c r="H726" s="204"/>
    </row>
    <row r="727">
      <c r="D727" s="7"/>
      <c r="E727" s="7"/>
      <c r="H727" s="204"/>
    </row>
    <row r="728">
      <c r="D728" s="7"/>
      <c r="E728" s="7"/>
      <c r="H728" s="204"/>
    </row>
    <row r="729">
      <c r="D729" s="7"/>
      <c r="E729" s="7"/>
      <c r="H729" s="204"/>
    </row>
    <row r="730">
      <c r="D730" s="7"/>
      <c r="E730" s="7"/>
      <c r="H730" s="204"/>
    </row>
    <row r="731">
      <c r="D731" s="7"/>
      <c r="E731" s="7"/>
      <c r="H731" s="204"/>
    </row>
    <row r="732">
      <c r="D732" s="7"/>
      <c r="E732" s="7"/>
      <c r="H732" s="204"/>
    </row>
    <row r="733">
      <c r="D733" s="7"/>
      <c r="E733" s="7"/>
      <c r="H733" s="204"/>
    </row>
    <row r="734">
      <c r="D734" s="7"/>
      <c r="E734" s="7"/>
      <c r="H734" s="204"/>
    </row>
    <row r="735">
      <c r="D735" s="7"/>
      <c r="E735" s="7"/>
      <c r="H735" s="204"/>
    </row>
    <row r="736">
      <c r="D736" s="7"/>
      <c r="E736" s="7"/>
      <c r="H736" s="204"/>
    </row>
    <row r="737">
      <c r="D737" s="7"/>
      <c r="E737" s="7"/>
      <c r="H737" s="204"/>
    </row>
    <row r="738">
      <c r="D738" s="7"/>
      <c r="E738" s="7"/>
      <c r="H738" s="204"/>
    </row>
    <row r="739">
      <c r="D739" s="7"/>
      <c r="E739" s="7"/>
      <c r="H739" s="204"/>
    </row>
    <row r="740">
      <c r="D740" s="7"/>
      <c r="E740" s="7"/>
      <c r="H740" s="204"/>
    </row>
    <row r="741">
      <c r="D741" s="7"/>
      <c r="E741" s="7"/>
      <c r="H741" s="204"/>
    </row>
    <row r="742">
      <c r="D742" s="7"/>
      <c r="E742" s="7"/>
      <c r="H742" s="204"/>
    </row>
    <row r="743">
      <c r="D743" s="7"/>
      <c r="E743" s="7"/>
      <c r="H743" s="204"/>
    </row>
    <row r="744">
      <c r="D744" s="7"/>
      <c r="E744" s="7"/>
      <c r="H744" s="204"/>
    </row>
    <row r="745">
      <c r="D745" s="7"/>
      <c r="E745" s="7"/>
      <c r="H745" s="204"/>
    </row>
    <row r="746">
      <c r="D746" s="7"/>
      <c r="E746" s="7"/>
      <c r="H746" s="204"/>
    </row>
    <row r="747">
      <c r="D747" s="7"/>
      <c r="E747" s="7"/>
      <c r="H747" s="204"/>
    </row>
    <row r="748">
      <c r="D748" s="7"/>
      <c r="E748" s="7"/>
      <c r="H748" s="204"/>
    </row>
    <row r="749">
      <c r="D749" s="7"/>
      <c r="E749" s="7"/>
      <c r="H749" s="204"/>
    </row>
    <row r="750">
      <c r="D750" s="7"/>
      <c r="E750" s="7"/>
      <c r="H750" s="204"/>
    </row>
    <row r="751">
      <c r="D751" s="7"/>
      <c r="E751" s="7"/>
      <c r="H751" s="204"/>
    </row>
    <row r="752">
      <c r="D752" s="7"/>
      <c r="E752" s="7"/>
      <c r="H752" s="204"/>
    </row>
    <row r="753">
      <c r="D753" s="7"/>
      <c r="E753" s="7"/>
      <c r="H753" s="204"/>
    </row>
    <row r="754">
      <c r="D754" s="7"/>
      <c r="E754" s="7"/>
      <c r="H754" s="204"/>
    </row>
    <row r="755">
      <c r="D755" s="7"/>
      <c r="E755" s="7"/>
      <c r="H755" s="204"/>
    </row>
    <row r="756">
      <c r="D756" s="7"/>
      <c r="E756" s="7"/>
      <c r="H756" s="204"/>
    </row>
    <row r="757">
      <c r="D757" s="7"/>
      <c r="E757" s="7"/>
      <c r="H757" s="204"/>
    </row>
    <row r="758">
      <c r="D758" s="7"/>
      <c r="E758" s="7"/>
      <c r="H758" s="204"/>
    </row>
    <row r="759">
      <c r="D759" s="7"/>
      <c r="E759" s="7"/>
      <c r="H759" s="204"/>
    </row>
    <row r="760">
      <c r="D760" s="7"/>
      <c r="E760" s="7"/>
      <c r="H760" s="204"/>
    </row>
    <row r="761">
      <c r="D761" s="7"/>
      <c r="E761" s="7"/>
      <c r="H761" s="204"/>
    </row>
    <row r="762">
      <c r="D762" s="7"/>
      <c r="E762" s="7"/>
      <c r="H762" s="204"/>
    </row>
    <row r="763">
      <c r="D763" s="7"/>
      <c r="E763" s="7"/>
      <c r="H763" s="204"/>
    </row>
    <row r="764">
      <c r="D764" s="7"/>
      <c r="E764" s="7"/>
      <c r="H764" s="204"/>
    </row>
    <row r="765">
      <c r="D765" s="7"/>
      <c r="E765" s="7"/>
      <c r="H765" s="204"/>
    </row>
    <row r="766">
      <c r="D766" s="7"/>
      <c r="E766" s="7"/>
      <c r="H766" s="204"/>
    </row>
    <row r="767">
      <c r="D767" s="7"/>
      <c r="E767" s="7"/>
      <c r="H767" s="204"/>
    </row>
    <row r="768">
      <c r="D768" s="7"/>
      <c r="E768" s="7"/>
      <c r="H768" s="204"/>
    </row>
    <row r="769">
      <c r="D769" s="7"/>
      <c r="E769" s="7"/>
      <c r="H769" s="204"/>
    </row>
    <row r="770">
      <c r="D770" s="7"/>
      <c r="E770" s="7"/>
      <c r="H770" s="204"/>
    </row>
    <row r="771">
      <c r="D771" s="7"/>
      <c r="E771" s="7"/>
      <c r="H771" s="204"/>
    </row>
    <row r="772">
      <c r="D772" s="7"/>
      <c r="E772" s="7"/>
      <c r="H772" s="204"/>
    </row>
    <row r="773">
      <c r="D773" s="7"/>
      <c r="E773" s="7"/>
      <c r="H773" s="204"/>
    </row>
    <row r="774">
      <c r="D774" s="7"/>
      <c r="E774" s="7"/>
      <c r="H774" s="204"/>
    </row>
    <row r="775">
      <c r="D775" s="7"/>
      <c r="E775" s="7"/>
      <c r="H775" s="204"/>
    </row>
    <row r="776">
      <c r="D776" s="7"/>
      <c r="E776" s="7"/>
      <c r="H776" s="204"/>
    </row>
    <row r="777">
      <c r="D777" s="7"/>
      <c r="E777" s="7"/>
      <c r="H777" s="204"/>
    </row>
    <row r="778">
      <c r="D778" s="7"/>
      <c r="E778" s="7"/>
      <c r="H778" s="204"/>
    </row>
    <row r="779">
      <c r="D779" s="7"/>
      <c r="E779" s="7"/>
      <c r="H779" s="204"/>
    </row>
    <row r="780">
      <c r="D780" s="7"/>
      <c r="E780" s="7"/>
      <c r="H780" s="204"/>
    </row>
    <row r="781">
      <c r="D781" s="7"/>
      <c r="E781" s="7"/>
      <c r="H781" s="204"/>
    </row>
    <row r="782">
      <c r="D782" s="7"/>
      <c r="E782" s="7"/>
      <c r="H782" s="204"/>
    </row>
    <row r="783">
      <c r="D783" s="7"/>
      <c r="E783" s="7"/>
      <c r="H783" s="204"/>
    </row>
    <row r="784">
      <c r="D784" s="7"/>
      <c r="E784" s="7"/>
      <c r="H784" s="204"/>
    </row>
    <row r="785">
      <c r="D785" s="7"/>
      <c r="E785" s="7"/>
      <c r="H785" s="204"/>
    </row>
    <row r="786">
      <c r="D786" s="7"/>
      <c r="E786" s="7"/>
      <c r="H786" s="204"/>
    </row>
    <row r="787">
      <c r="D787" s="7"/>
      <c r="E787" s="7"/>
      <c r="H787" s="204"/>
    </row>
    <row r="788">
      <c r="D788" s="7"/>
      <c r="E788" s="7"/>
      <c r="H788" s="204"/>
    </row>
    <row r="789">
      <c r="D789" s="7"/>
      <c r="E789" s="7"/>
      <c r="H789" s="204"/>
    </row>
    <row r="790">
      <c r="D790" s="7"/>
      <c r="E790" s="7"/>
      <c r="H790" s="204"/>
    </row>
    <row r="791">
      <c r="D791" s="7"/>
      <c r="E791" s="7"/>
      <c r="H791" s="204"/>
    </row>
    <row r="792">
      <c r="D792" s="7"/>
      <c r="E792" s="7"/>
      <c r="H792" s="204"/>
    </row>
    <row r="793">
      <c r="D793" s="7"/>
      <c r="E793" s="7"/>
      <c r="H793" s="204"/>
    </row>
    <row r="794">
      <c r="D794" s="7"/>
      <c r="E794" s="7"/>
      <c r="H794" s="204"/>
    </row>
    <row r="795">
      <c r="D795" s="7"/>
      <c r="E795" s="7"/>
      <c r="H795" s="204"/>
    </row>
    <row r="796">
      <c r="D796" s="7"/>
      <c r="E796" s="7"/>
      <c r="H796" s="204"/>
    </row>
    <row r="797">
      <c r="D797" s="7"/>
      <c r="E797" s="7"/>
      <c r="H797" s="204"/>
    </row>
    <row r="798">
      <c r="D798" s="7"/>
      <c r="E798" s="7"/>
      <c r="H798" s="204"/>
    </row>
    <row r="799">
      <c r="D799" s="7"/>
      <c r="E799" s="7"/>
      <c r="H799" s="204"/>
    </row>
    <row r="800">
      <c r="D800" s="7"/>
      <c r="E800" s="7"/>
      <c r="H800" s="204"/>
    </row>
    <row r="801">
      <c r="D801" s="7"/>
      <c r="E801" s="7"/>
      <c r="H801" s="204"/>
    </row>
    <row r="802">
      <c r="D802" s="7"/>
      <c r="E802" s="7"/>
      <c r="H802" s="204"/>
    </row>
    <row r="803">
      <c r="D803" s="7"/>
      <c r="E803" s="7"/>
      <c r="H803" s="204"/>
    </row>
    <row r="804">
      <c r="D804" s="7"/>
      <c r="E804" s="7"/>
      <c r="H804" s="204"/>
    </row>
    <row r="805">
      <c r="D805" s="7"/>
      <c r="E805" s="7"/>
      <c r="H805" s="204"/>
    </row>
    <row r="806">
      <c r="D806" s="7"/>
      <c r="E806" s="7"/>
      <c r="H806" s="204"/>
    </row>
    <row r="807">
      <c r="D807" s="7"/>
      <c r="E807" s="7"/>
      <c r="H807" s="204"/>
    </row>
    <row r="808">
      <c r="D808" s="7"/>
      <c r="E808" s="7"/>
      <c r="H808" s="204"/>
    </row>
    <row r="809">
      <c r="D809" s="7"/>
      <c r="E809" s="7"/>
      <c r="H809" s="204"/>
    </row>
    <row r="810">
      <c r="D810" s="7"/>
      <c r="E810" s="7"/>
      <c r="H810" s="204"/>
    </row>
    <row r="811">
      <c r="D811" s="7"/>
      <c r="E811" s="7"/>
      <c r="H811" s="204"/>
    </row>
    <row r="812">
      <c r="D812" s="7"/>
      <c r="E812" s="7"/>
      <c r="H812" s="204"/>
    </row>
    <row r="813">
      <c r="D813" s="7"/>
      <c r="E813" s="7"/>
      <c r="H813" s="204"/>
    </row>
    <row r="814">
      <c r="D814" s="7"/>
      <c r="E814" s="7"/>
      <c r="H814" s="204"/>
    </row>
    <row r="815">
      <c r="D815" s="7"/>
      <c r="E815" s="7"/>
      <c r="H815" s="204"/>
    </row>
    <row r="816">
      <c r="D816" s="7"/>
      <c r="E816" s="7"/>
      <c r="H816" s="204"/>
    </row>
    <row r="817">
      <c r="D817" s="7"/>
      <c r="E817" s="7"/>
      <c r="H817" s="204"/>
    </row>
    <row r="818">
      <c r="D818" s="7"/>
      <c r="E818" s="7"/>
      <c r="H818" s="204"/>
    </row>
    <row r="819">
      <c r="D819" s="7"/>
      <c r="E819" s="7"/>
      <c r="H819" s="204"/>
    </row>
    <row r="820">
      <c r="D820" s="7"/>
      <c r="E820" s="7"/>
      <c r="H820" s="204"/>
    </row>
    <row r="821">
      <c r="D821" s="7"/>
      <c r="E821" s="7"/>
      <c r="H821" s="204"/>
    </row>
    <row r="822">
      <c r="D822" s="7"/>
      <c r="E822" s="7"/>
      <c r="H822" s="204"/>
    </row>
    <row r="823">
      <c r="D823" s="7"/>
      <c r="E823" s="7"/>
      <c r="H823" s="204"/>
    </row>
    <row r="824">
      <c r="D824" s="7"/>
      <c r="E824" s="7"/>
      <c r="H824" s="204"/>
    </row>
    <row r="825">
      <c r="D825" s="7"/>
      <c r="E825" s="7"/>
      <c r="H825" s="204"/>
    </row>
    <row r="826">
      <c r="D826" s="7"/>
      <c r="E826" s="7"/>
      <c r="H826" s="204"/>
    </row>
    <row r="827">
      <c r="D827" s="7"/>
      <c r="E827" s="7"/>
      <c r="H827" s="204"/>
    </row>
    <row r="828">
      <c r="D828" s="7"/>
      <c r="E828" s="7"/>
      <c r="H828" s="204"/>
    </row>
    <row r="829">
      <c r="D829" s="7"/>
      <c r="E829" s="7"/>
      <c r="H829" s="204"/>
    </row>
    <row r="830">
      <c r="D830" s="7"/>
      <c r="E830" s="7"/>
      <c r="H830" s="204"/>
    </row>
    <row r="831">
      <c r="D831" s="7"/>
      <c r="E831" s="7"/>
      <c r="H831" s="204"/>
    </row>
    <row r="832">
      <c r="D832" s="7"/>
      <c r="E832" s="7"/>
      <c r="H832" s="204"/>
    </row>
    <row r="833">
      <c r="D833" s="7"/>
      <c r="E833" s="7"/>
      <c r="H833" s="204"/>
    </row>
    <row r="834">
      <c r="D834" s="7"/>
      <c r="E834" s="7"/>
      <c r="H834" s="204"/>
    </row>
    <row r="835">
      <c r="D835" s="7"/>
      <c r="E835" s="7"/>
      <c r="H835" s="204"/>
    </row>
    <row r="836">
      <c r="D836" s="7"/>
      <c r="E836" s="7"/>
      <c r="H836" s="204"/>
    </row>
    <row r="837">
      <c r="D837" s="7"/>
      <c r="E837" s="7"/>
      <c r="H837" s="204"/>
    </row>
    <row r="838">
      <c r="D838" s="7"/>
      <c r="E838" s="7"/>
      <c r="H838" s="204"/>
    </row>
    <row r="839">
      <c r="D839" s="7"/>
      <c r="E839" s="7"/>
      <c r="H839" s="204"/>
    </row>
    <row r="840">
      <c r="D840" s="7"/>
      <c r="E840" s="7"/>
      <c r="H840" s="204"/>
    </row>
    <row r="841">
      <c r="D841" s="7"/>
      <c r="E841" s="7"/>
      <c r="H841" s="204"/>
    </row>
    <row r="842">
      <c r="D842" s="7"/>
      <c r="E842" s="7"/>
      <c r="H842" s="204"/>
    </row>
    <row r="843">
      <c r="D843" s="7"/>
      <c r="E843" s="7"/>
      <c r="H843" s="204"/>
    </row>
    <row r="844">
      <c r="D844" s="7"/>
      <c r="E844" s="7"/>
      <c r="H844" s="204"/>
    </row>
    <row r="845">
      <c r="D845" s="7"/>
      <c r="E845" s="7"/>
      <c r="H845" s="204"/>
    </row>
    <row r="846">
      <c r="D846" s="7"/>
      <c r="E846" s="7"/>
      <c r="H846" s="204"/>
    </row>
    <row r="847">
      <c r="D847" s="7"/>
      <c r="E847" s="7"/>
      <c r="H847" s="204"/>
    </row>
    <row r="848">
      <c r="D848" s="7"/>
      <c r="E848" s="7"/>
      <c r="H848" s="204"/>
    </row>
    <row r="849">
      <c r="D849" s="7"/>
      <c r="E849" s="7"/>
      <c r="H849" s="204"/>
    </row>
    <row r="850">
      <c r="D850" s="7"/>
      <c r="E850" s="7"/>
      <c r="H850" s="204"/>
    </row>
    <row r="851">
      <c r="D851" s="7"/>
      <c r="E851" s="7"/>
      <c r="H851" s="204"/>
    </row>
    <row r="852">
      <c r="D852" s="7"/>
      <c r="E852" s="7"/>
      <c r="H852" s="204"/>
    </row>
    <row r="853">
      <c r="D853" s="7"/>
      <c r="E853" s="7"/>
      <c r="H853" s="204"/>
    </row>
    <row r="854">
      <c r="D854" s="7"/>
      <c r="E854" s="7"/>
      <c r="H854" s="204"/>
    </row>
    <row r="855">
      <c r="D855" s="7"/>
      <c r="E855" s="7"/>
      <c r="H855" s="204"/>
    </row>
    <row r="856">
      <c r="D856" s="7"/>
      <c r="E856" s="7"/>
      <c r="H856" s="204"/>
    </row>
    <row r="857">
      <c r="D857" s="7"/>
      <c r="E857" s="7"/>
      <c r="H857" s="204"/>
    </row>
    <row r="858">
      <c r="D858" s="7"/>
      <c r="E858" s="7"/>
      <c r="H858" s="204"/>
    </row>
    <row r="859">
      <c r="D859" s="7"/>
      <c r="E859" s="7"/>
      <c r="H859" s="204"/>
    </row>
    <row r="860">
      <c r="D860" s="7"/>
      <c r="E860" s="7"/>
      <c r="H860" s="204"/>
    </row>
    <row r="861">
      <c r="D861" s="7"/>
      <c r="E861" s="7"/>
      <c r="H861" s="204"/>
    </row>
    <row r="862">
      <c r="D862" s="7"/>
      <c r="E862" s="7"/>
      <c r="H862" s="204"/>
    </row>
    <row r="863">
      <c r="D863" s="7"/>
      <c r="E863" s="7"/>
      <c r="H863" s="204"/>
    </row>
    <row r="864">
      <c r="D864" s="7"/>
      <c r="E864" s="7"/>
      <c r="H864" s="204"/>
    </row>
    <row r="865">
      <c r="D865" s="7"/>
      <c r="E865" s="7"/>
      <c r="H865" s="204"/>
    </row>
    <row r="866">
      <c r="D866" s="7"/>
      <c r="E866" s="7"/>
      <c r="H866" s="204"/>
    </row>
    <row r="867">
      <c r="D867" s="7"/>
      <c r="E867" s="7"/>
      <c r="H867" s="204"/>
    </row>
    <row r="868">
      <c r="D868" s="7"/>
      <c r="E868" s="7"/>
      <c r="H868" s="204"/>
    </row>
    <row r="869">
      <c r="D869" s="7"/>
      <c r="E869" s="7"/>
      <c r="H869" s="204"/>
    </row>
    <row r="870">
      <c r="D870" s="7"/>
      <c r="E870" s="7"/>
      <c r="H870" s="204"/>
    </row>
    <row r="871">
      <c r="D871" s="7"/>
      <c r="E871" s="7"/>
      <c r="H871" s="204"/>
    </row>
    <row r="872">
      <c r="D872" s="7"/>
      <c r="E872" s="7"/>
      <c r="H872" s="204"/>
    </row>
    <row r="873">
      <c r="D873" s="7"/>
      <c r="E873" s="7"/>
      <c r="H873" s="204"/>
    </row>
    <row r="874">
      <c r="D874" s="7"/>
      <c r="E874" s="7"/>
      <c r="H874" s="204"/>
    </row>
    <row r="875">
      <c r="D875" s="7"/>
      <c r="E875" s="7"/>
      <c r="H875" s="204"/>
    </row>
    <row r="876">
      <c r="D876" s="7"/>
      <c r="E876" s="7"/>
      <c r="H876" s="204"/>
    </row>
    <row r="877">
      <c r="D877" s="7"/>
      <c r="E877" s="7"/>
      <c r="H877" s="204"/>
    </row>
    <row r="878">
      <c r="D878" s="7"/>
      <c r="E878" s="7"/>
      <c r="H878" s="204"/>
    </row>
    <row r="879">
      <c r="D879" s="7"/>
      <c r="E879" s="7"/>
      <c r="H879" s="204"/>
    </row>
    <row r="880">
      <c r="D880" s="7"/>
      <c r="E880" s="7"/>
      <c r="H880" s="204"/>
    </row>
    <row r="881">
      <c r="D881" s="7"/>
      <c r="E881" s="7"/>
      <c r="H881" s="204"/>
    </row>
    <row r="882">
      <c r="D882" s="7"/>
      <c r="E882" s="7"/>
      <c r="H882" s="204"/>
    </row>
    <row r="883">
      <c r="D883" s="7"/>
      <c r="E883" s="7"/>
      <c r="H883" s="204"/>
    </row>
    <row r="884">
      <c r="D884" s="7"/>
      <c r="E884" s="7"/>
      <c r="H884" s="204"/>
    </row>
    <row r="885">
      <c r="D885" s="7"/>
      <c r="E885" s="7"/>
      <c r="H885" s="204"/>
    </row>
    <row r="886">
      <c r="D886" s="7"/>
      <c r="E886" s="7"/>
      <c r="H886" s="204"/>
    </row>
    <row r="887">
      <c r="D887" s="7"/>
      <c r="E887" s="7"/>
      <c r="H887" s="204"/>
    </row>
    <row r="888">
      <c r="D888" s="7"/>
      <c r="E888" s="7"/>
      <c r="H888" s="204"/>
    </row>
    <row r="889">
      <c r="D889" s="7"/>
      <c r="E889" s="7"/>
      <c r="H889" s="204"/>
    </row>
    <row r="890">
      <c r="D890" s="7"/>
      <c r="E890" s="7"/>
      <c r="H890" s="204"/>
    </row>
    <row r="891">
      <c r="D891" s="7"/>
      <c r="E891" s="7"/>
      <c r="H891" s="204"/>
    </row>
    <row r="892">
      <c r="D892" s="7"/>
      <c r="E892" s="7"/>
      <c r="H892" s="204"/>
    </row>
    <row r="893">
      <c r="D893" s="7"/>
      <c r="E893" s="7"/>
      <c r="H893" s="204"/>
    </row>
    <row r="894">
      <c r="D894" s="7"/>
      <c r="E894" s="7"/>
      <c r="H894" s="204"/>
    </row>
    <row r="895">
      <c r="D895" s="7"/>
      <c r="E895" s="7"/>
      <c r="H895" s="204"/>
    </row>
    <row r="896">
      <c r="D896" s="7"/>
      <c r="E896" s="7"/>
      <c r="H896" s="204"/>
    </row>
    <row r="897">
      <c r="D897" s="7"/>
      <c r="E897" s="7"/>
      <c r="H897" s="204"/>
    </row>
    <row r="898">
      <c r="D898" s="7"/>
      <c r="E898" s="7"/>
      <c r="H898" s="204"/>
    </row>
    <row r="899">
      <c r="D899" s="7"/>
      <c r="E899" s="7"/>
      <c r="H899" s="204"/>
    </row>
    <row r="900">
      <c r="D900" s="7"/>
      <c r="E900" s="7"/>
      <c r="H900" s="204"/>
    </row>
    <row r="901">
      <c r="D901" s="7"/>
      <c r="E901" s="7"/>
      <c r="H901" s="204"/>
    </row>
    <row r="902">
      <c r="D902" s="7"/>
      <c r="E902" s="7"/>
      <c r="H902" s="204"/>
    </row>
    <row r="903">
      <c r="D903" s="7"/>
      <c r="E903" s="7"/>
      <c r="H903" s="204"/>
    </row>
    <row r="904">
      <c r="D904" s="7"/>
      <c r="E904" s="7"/>
      <c r="H904" s="204"/>
    </row>
    <row r="905">
      <c r="D905" s="7"/>
      <c r="E905" s="7"/>
      <c r="H905" s="204"/>
    </row>
    <row r="906">
      <c r="D906" s="7"/>
      <c r="E906" s="7"/>
      <c r="H906" s="204"/>
    </row>
    <row r="907">
      <c r="D907" s="7"/>
      <c r="E907" s="7"/>
      <c r="H907" s="204"/>
    </row>
    <row r="908">
      <c r="D908" s="7"/>
      <c r="E908" s="7"/>
      <c r="H908" s="204"/>
    </row>
    <row r="909">
      <c r="D909" s="7"/>
      <c r="E909" s="7"/>
      <c r="H909" s="204"/>
    </row>
    <row r="910">
      <c r="D910" s="7"/>
      <c r="E910" s="7"/>
      <c r="H910" s="204"/>
    </row>
    <row r="911">
      <c r="D911" s="7"/>
      <c r="E911" s="7"/>
      <c r="H911" s="204"/>
    </row>
    <row r="912">
      <c r="D912" s="7"/>
      <c r="E912" s="7"/>
      <c r="H912" s="204"/>
    </row>
    <row r="913">
      <c r="D913" s="7"/>
      <c r="E913" s="7"/>
      <c r="H913" s="204"/>
    </row>
    <row r="914">
      <c r="D914" s="7"/>
      <c r="E914" s="7"/>
      <c r="H914" s="204"/>
    </row>
    <row r="915">
      <c r="D915" s="7"/>
      <c r="E915" s="7"/>
      <c r="H915" s="204"/>
    </row>
    <row r="916">
      <c r="D916" s="7"/>
      <c r="E916" s="7"/>
      <c r="H916" s="204"/>
    </row>
    <row r="917">
      <c r="D917" s="7"/>
      <c r="E917" s="7"/>
      <c r="H917" s="204"/>
    </row>
    <row r="918">
      <c r="D918" s="7"/>
      <c r="E918" s="7"/>
      <c r="H918" s="204"/>
    </row>
    <row r="919">
      <c r="D919" s="7"/>
      <c r="E919" s="7"/>
      <c r="H919" s="204"/>
    </row>
    <row r="920">
      <c r="D920" s="7"/>
      <c r="E920" s="7"/>
      <c r="H920" s="204"/>
    </row>
    <row r="921">
      <c r="D921" s="7"/>
      <c r="E921" s="7"/>
      <c r="H921" s="204"/>
    </row>
    <row r="922">
      <c r="D922" s="7"/>
      <c r="E922" s="7"/>
      <c r="H922" s="204"/>
    </row>
    <row r="923">
      <c r="D923" s="7"/>
      <c r="E923" s="7"/>
      <c r="H923" s="204"/>
    </row>
    <row r="924">
      <c r="D924" s="7"/>
      <c r="E924" s="7"/>
      <c r="H924" s="204"/>
    </row>
    <row r="925">
      <c r="D925" s="7"/>
      <c r="E925" s="7"/>
      <c r="H925" s="204"/>
    </row>
    <row r="926">
      <c r="D926" s="7"/>
      <c r="E926" s="7"/>
      <c r="H926" s="204"/>
    </row>
    <row r="927">
      <c r="D927" s="7"/>
      <c r="E927" s="7"/>
      <c r="H927" s="204"/>
    </row>
    <row r="928">
      <c r="D928" s="7"/>
      <c r="E928" s="7"/>
      <c r="H928" s="204"/>
    </row>
    <row r="929">
      <c r="D929" s="7"/>
      <c r="E929" s="7"/>
      <c r="H929" s="204"/>
    </row>
    <row r="930">
      <c r="D930" s="7"/>
      <c r="E930" s="7"/>
      <c r="H930" s="204"/>
    </row>
    <row r="931">
      <c r="D931" s="7"/>
      <c r="E931" s="7"/>
      <c r="H931" s="204"/>
    </row>
    <row r="932">
      <c r="D932" s="7"/>
      <c r="E932" s="7"/>
      <c r="H932" s="204"/>
    </row>
    <row r="933">
      <c r="D933" s="7"/>
      <c r="E933" s="7"/>
      <c r="H933" s="204"/>
    </row>
    <row r="934">
      <c r="D934" s="7"/>
      <c r="E934" s="7"/>
      <c r="H934" s="204"/>
    </row>
    <row r="935">
      <c r="D935" s="7"/>
      <c r="E935" s="7"/>
      <c r="H935" s="204"/>
    </row>
    <row r="936">
      <c r="D936" s="7"/>
      <c r="E936" s="7"/>
      <c r="H936" s="204"/>
    </row>
    <row r="937">
      <c r="D937" s="7"/>
      <c r="E937" s="7"/>
      <c r="H937" s="204"/>
    </row>
    <row r="938">
      <c r="D938" s="7"/>
      <c r="E938" s="7"/>
      <c r="H938" s="204"/>
    </row>
    <row r="939">
      <c r="D939" s="7"/>
      <c r="E939" s="7"/>
      <c r="H939" s="204"/>
    </row>
    <row r="940">
      <c r="D940" s="7"/>
      <c r="E940" s="7"/>
      <c r="H940" s="204"/>
    </row>
    <row r="941">
      <c r="D941" s="7"/>
      <c r="E941" s="7"/>
      <c r="H941" s="204"/>
    </row>
    <row r="942">
      <c r="D942" s="7"/>
      <c r="E942" s="7"/>
      <c r="H942" s="204"/>
    </row>
    <row r="943">
      <c r="D943" s="7"/>
      <c r="E943" s="7"/>
      <c r="H943" s="204"/>
    </row>
    <row r="944">
      <c r="D944" s="7"/>
      <c r="E944" s="7"/>
      <c r="H944" s="204"/>
    </row>
    <row r="945">
      <c r="D945" s="7"/>
      <c r="E945" s="7"/>
      <c r="H945" s="204"/>
    </row>
    <row r="946">
      <c r="D946" s="7"/>
      <c r="E946" s="7"/>
      <c r="H946" s="204"/>
    </row>
    <row r="947">
      <c r="D947" s="7"/>
      <c r="E947" s="7"/>
      <c r="H947" s="204"/>
    </row>
    <row r="948">
      <c r="D948" s="7"/>
      <c r="E948" s="7"/>
      <c r="H948" s="204"/>
    </row>
    <row r="949">
      <c r="D949" s="7"/>
      <c r="E949" s="7"/>
      <c r="H949" s="204"/>
    </row>
    <row r="950">
      <c r="D950" s="7"/>
      <c r="E950" s="7"/>
      <c r="H950" s="204"/>
    </row>
    <row r="951">
      <c r="D951" s="7"/>
      <c r="E951" s="7"/>
      <c r="H951" s="204"/>
    </row>
    <row r="952">
      <c r="D952" s="7"/>
      <c r="E952" s="7"/>
      <c r="H952" s="204"/>
    </row>
    <row r="953">
      <c r="D953" s="7"/>
      <c r="E953" s="7"/>
      <c r="H953" s="204"/>
    </row>
    <row r="954">
      <c r="D954" s="7"/>
      <c r="E954" s="7"/>
      <c r="H954" s="204"/>
    </row>
    <row r="955">
      <c r="D955" s="7"/>
      <c r="E955" s="7"/>
      <c r="H955" s="204"/>
    </row>
    <row r="956">
      <c r="D956" s="7"/>
      <c r="E956" s="7"/>
      <c r="H956" s="204"/>
    </row>
    <row r="957">
      <c r="D957" s="7"/>
      <c r="E957" s="7"/>
      <c r="H957" s="204"/>
    </row>
    <row r="958">
      <c r="D958" s="7"/>
      <c r="E958" s="7"/>
      <c r="H958" s="204"/>
    </row>
    <row r="959">
      <c r="D959" s="7"/>
      <c r="E959" s="7"/>
      <c r="H959" s="204"/>
    </row>
    <row r="960">
      <c r="D960" s="7"/>
      <c r="E960" s="7"/>
      <c r="H960" s="204"/>
    </row>
    <row r="961">
      <c r="D961" s="7"/>
      <c r="E961" s="7"/>
      <c r="H961" s="204"/>
    </row>
    <row r="962">
      <c r="D962" s="7"/>
      <c r="E962" s="7"/>
      <c r="H962" s="204"/>
    </row>
    <row r="963">
      <c r="D963" s="7"/>
      <c r="E963" s="7"/>
      <c r="H963" s="204"/>
    </row>
    <row r="964">
      <c r="D964" s="7"/>
      <c r="E964" s="7"/>
      <c r="H964" s="204"/>
    </row>
    <row r="965">
      <c r="D965" s="7"/>
      <c r="E965" s="7"/>
      <c r="H965" s="204"/>
    </row>
    <row r="966">
      <c r="D966" s="7"/>
      <c r="E966" s="7"/>
      <c r="H966" s="204"/>
    </row>
    <row r="967">
      <c r="D967" s="7"/>
      <c r="E967" s="7"/>
      <c r="H967" s="204"/>
    </row>
    <row r="968">
      <c r="D968" s="7"/>
      <c r="E968" s="7"/>
      <c r="H968" s="204"/>
    </row>
    <row r="969">
      <c r="D969" s="7"/>
      <c r="E969" s="7"/>
      <c r="H969" s="204"/>
    </row>
    <row r="970">
      <c r="D970" s="7"/>
      <c r="E970" s="7"/>
      <c r="H970" s="204"/>
    </row>
    <row r="971">
      <c r="D971" s="7"/>
      <c r="E971" s="7"/>
      <c r="H971" s="204"/>
    </row>
    <row r="972">
      <c r="D972" s="7"/>
      <c r="E972" s="7"/>
      <c r="H972" s="204"/>
    </row>
    <row r="973">
      <c r="D973" s="7"/>
      <c r="E973" s="7"/>
      <c r="H973" s="204"/>
    </row>
    <row r="974">
      <c r="D974" s="7"/>
      <c r="E974" s="7"/>
      <c r="H974" s="204"/>
    </row>
    <row r="975">
      <c r="D975" s="7"/>
      <c r="E975" s="7"/>
      <c r="H975" s="204"/>
    </row>
    <row r="976">
      <c r="D976" s="7"/>
      <c r="E976" s="7"/>
      <c r="H976" s="204"/>
    </row>
    <row r="977">
      <c r="D977" s="7"/>
      <c r="E977" s="7"/>
      <c r="H977" s="204"/>
    </row>
    <row r="978">
      <c r="D978" s="7"/>
      <c r="E978" s="7"/>
      <c r="H978" s="204"/>
    </row>
    <row r="979">
      <c r="D979" s="7"/>
      <c r="E979" s="7"/>
      <c r="H979" s="204"/>
    </row>
    <row r="980">
      <c r="D980" s="7"/>
      <c r="E980" s="7"/>
      <c r="H980" s="204"/>
    </row>
    <row r="981">
      <c r="D981" s="7"/>
      <c r="E981" s="7"/>
      <c r="H981" s="204"/>
    </row>
    <row r="982">
      <c r="D982" s="7"/>
      <c r="E982" s="7"/>
      <c r="H982" s="204"/>
    </row>
    <row r="983">
      <c r="D983" s="7"/>
      <c r="E983" s="7"/>
      <c r="H983" s="204"/>
    </row>
    <row r="984">
      <c r="D984" s="7"/>
      <c r="E984" s="7"/>
      <c r="H984" s="204"/>
    </row>
    <row r="985">
      <c r="D985" s="7"/>
      <c r="E985" s="7"/>
      <c r="H985" s="204"/>
    </row>
    <row r="986">
      <c r="D986" s="7"/>
      <c r="E986" s="7"/>
      <c r="H986" s="204"/>
    </row>
    <row r="987">
      <c r="D987" s="7"/>
      <c r="E987" s="7"/>
      <c r="H987" s="204"/>
    </row>
    <row r="988">
      <c r="D988" s="7"/>
      <c r="E988" s="7"/>
      <c r="H988" s="204"/>
    </row>
    <row r="989">
      <c r="D989" s="7"/>
      <c r="E989" s="7"/>
      <c r="H989" s="204"/>
    </row>
    <row r="990">
      <c r="D990" s="7"/>
      <c r="E990" s="7"/>
      <c r="H990" s="204"/>
    </row>
    <row r="991">
      <c r="D991" s="7"/>
      <c r="E991" s="7"/>
      <c r="H991" s="204"/>
    </row>
    <row r="992">
      <c r="D992" s="7"/>
      <c r="E992" s="7"/>
      <c r="H992" s="204"/>
    </row>
    <row r="993">
      <c r="D993" s="7"/>
      <c r="E993" s="7"/>
      <c r="H993" s="204"/>
    </row>
    <row r="994">
      <c r="D994" s="7"/>
      <c r="E994" s="7"/>
      <c r="H994" s="204"/>
    </row>
    <row r="995">
      <c r="D995" s="7"/>
      <c r="E995" s="7"/>
      <c r="H995" s="204"/>
    </row>
    <row r="996">
      <c r="D996" s="7"/>
      <c r="E996" s="7"/>
      <c r="H996" s="204"/>
    </row>
    <row r="997">
      <c r="D997" s="7"/>
      <c r="E997" s="7"/>
      <c r="H997" s="204"/>
    </row>
    <row r="998">
      <c r="D998" s="7"/>
      <c r="E998" s="7"/>
      <c r="H998" s="204"/>
    </row>
    <row r="999">
      <c r="D999" s="7"/>
      <c r="E999" s="7"/>
      <c r="H999" s="204"/>
    </row>
    <row r="1000">
      <c r="D1000" s="7"/>
      <c r="E1000" s="7"/>
      <c r="H1000" s="204"/>
    </row>
    <row r="1001">
      <c r="D1001" s="7"/>
      <c r="E1001" s="7"/>
      <c r="H1001" s="204"/>
    </row>
    <row r="1002">
      <c r="D1002" s="7"/>
      <c r="E1002" s="7"/>
      <c r="H1002" s="204"/>
    </row>
    <row r="1003">
      <c r="D1003" s="7"/>
      <c r="E1003" s="7"/>
      <c r="H1003" s="204"/>
    </row>
    <row r="1004">
      <c r="D1004" s="7"/>
      <c r="E1004" s="7"/>
      <c r="H1004" s="204"/>
    </row>
    <row r="1005">
      <c r="D1005" s="7"/>
      <c r="E1005" s="7"/>
      <c r="H1005" s="204"/>
    </row>
    <row r="1006">
      <c r="D1006" s="7"/>
      <c r="E1006" s="7"/>
      <c r="H1006" s="204"/>
    </row>
    <row r="1007">
      <c r="D1007" s="7"/>
      <c r="E1007" s="7"/>
      <c r="H1007" s="204"/>
    </row>
    <row r="1008">
      <c r="D1008" s="7"/>
      <c r="E1008" s="7"/>
      <c r="H1008" s="204"/>
    </row>
    <row r="1009">
      <c r="D1009" s="7"/>
      <c r="E1009" s="7"/>
      <c r="H1009" s="204"/>
    </row>
    <row r="1010">
      <c r="D1010" s="7"/>
      <c r="E1010" s="7"/>
      <c r="H1010" s="204"/>
    </row>
    <row r="1011">
      <c r="D1011" s="7"/>
      <c r="E1011" s="7"/>
      <c r="H1011" s="204"/>
    </row>
    <row r="1012">
      <c r="D1012" s="7"/>
      <c r="E1012" s="7"/>
      <c r="H1012" s="204"/>
    </row>
    <row r="1013">
      <c r="D1013" s="7"/>
      <c r="E1013" s="7"/>
      <c r="H1013" s="204"/>
    </row>
    <row r="1014">
      <c r="D1014" s="7"/>
      <c r="E1014" s="7"/>
      <c r="H1014" s="204"/>
    </row>
    <row r="1015">
      <c r="D1015" s="7"/>
      <c r="E1015" s="7"/>
      <c r="H1015" s="204"/>
    </row>
    <row r="1016">
      <c r="D1016" s="7"/>
      <c r="E1016" s="7"/>
      <c r="H1016" s="204"/>
    </row>
    <row r="1017">
      <c r="D1017" s="7"/>
      <c r="E1017" s="7"/>
      <c r="H1017" s="204"/>
    </row>
    <row r="1018">
      <c r="D1018" s="7"/>
      <c r="E1018" s="7"/>
      <c r="H1018" s="204"/>
    </row>
    <row r="1019">
      <c r="D1019" s="7"/>
      <c r="E1019" s="7"/>
      <c r="H1019" s="204"/>
    </row>
    <row r="1020">
      <c r="D1020" s="7"/>
      <c r="E1020" s="7"/>
      <c r="H1020" s="204"/>
    </row>
    <row r="1021">
      <c r="D1021" s="7"/>
      <c r="E1021" s="7"/>
      <c r="H1021" s="204"/>
    </row>
    <row r="1022">
      <c r="D1022" s="7"/>
      <c r="E1022" s="7"/>
      <c r="H1022" s="204"/>
    </row>
    <row r="1023">
      <c r="D1023" s="7"/>
      <c r="E1023" s="7"/>
      <c r="H1023" s="204"/>
    </row>
    <row r="1024">
      <c r="D1024" s="7"/>
      <c r="E1024" s="7"/>
      <c r="H1024" s="204"/>
    </row>
    <row r="1025">
      <c r="D1025" s="7"/>
      <c r="E1025" s="7"/>
      <c r="H1025" s="204"/>
    </row>
    <row r="1026">
      <c r="D1026" s="7"/>
      <c r="E1026" s="7"/>
      <c r="H1026" s="204"/>
    </row>
    <row r="1027">
      <c r="D1027" s="7"/>
      <c r="E1027" s="7"/>
      <c r="H1027" s="204"/>
    </row>
    <row r="1028">
      <c r="D1028" s="7"/>
      <c r="E1028" s="7"/>
      <c r="H1028" s="204"/>
    </row>
    <row r="1029">
      <c r="D1029" s="7"/>
      <c r="E1029" s="7"/>
      <c r="H1029" s="204"/>
    </row>
    <row r="1030">
      <c r="D1030" s="7"/>
      <c r="E1030" s="7"/>
      <c r="H1030" s="204"/>
    </row>
    <row r="1031">
      <c r="D1031" s="7"/>
      <c r="E1031" s="7"/>
      <c r="H1031" s="204"/>
    </row>
    <row r="1032">
      <c r="D1032" s="7"/>
      <c r="E1032" s="7"/>
      <c r="H1032" s="204"/>
    </row>
    <row r="1033">
      <c r="D1033" s="7"/>
      <c r="E1033" s="7"/>
      <c r="H1033" s="204"/>
    </row>
    <row r="1034">
      <c r="D1034" s="7"/>
      <c r="E1034" s="7"/>
      <c r="H1034" s="204"/>
    </row>
    <row r="1035">
      <c r="D1035" s="7"/>
      <c r="E1035" s="7"/>
      <c r="H1035" s="204"/>
    </row>
    <row r="1036">
      <c r="D1036" s="7"/>
      <c r="E1036" s="7"/>
      <c r="H1036" s="204"/>
    </row>
    <row r="1037">
      <c r="D1037" s="7"/>
      <c r="E1037" s="7"/>
      <c r="H1037" s="204"/>
    </row>
    <row r="1038">
      <c r="D1038" s="7"/>
      <c r="E1038" s="7"/>
      <c r="H1038" s="204"/>
    </row>
    <row r="1039">
      <c r="D1039" s="7"/>
      <c r="E1039" s="7"/>
      <c r="H1039" s="204"/>
    </row>
    <row r="1040">
      <c r="D1040" s="7"/>
      <c r="E1040" s="7"/>
      <c r="H1040" s="204"/>
    </row>
    <row r="1041">
      <c r="D1041" s="7"/>
      <c r="E1041" s="7"/>
      <c r="H1041" s="204"/>
    </row>
    <row r="1042">
      <c r="D1042" s="7"/>
      <c r="E1042" s="7"/>
      <c r="H1042" s="204"/>
    </row>
    <row r="1043">
      <c r="D1043" s="7"/>
      <c r="E1043" s="7"/>
      <c r="H1043" s="204"/>
    </row>
    <row r="1044">
      <c r="D1044" s="7"/>
      <c r="E1044" s="7"/>
      <c r="H1044" s="204"/>
    </row>
    <row r="1045">
      <c r="D1045" s="7"/>
      <c r="E1045" s="7"/>
      <c r="H1045" s="204"/>
    </row>
    <row r="1046">
      <c r="D1046" s="7"/>
      <c r="E1046" s="7"/>
      <c r="H1046" s="204"/>
    </row>
    <row r="1047">
      <c r="D1047" s="7"/>
      <c r="E1047" s="7"/>
      <c r="H1047" s="204"/>
    </row>
    <row r="1048">
      <c r="D1048" s="7"/>
      <c r="E1048" s="7"/>
      <c r="H1048" s="204"/>
    </row>
    <row r="1049">
      <c r="D1049" s="7"/>
      <c r="E1049" s="7"/>
      <c r="H1049" s="204"/>
    </row>
    <row r="1050">
      <c r="D1050" s="7"/>
      <c r="E1050" s="7"/>
      <c r="H1050" s="204"/>
    </row>
    <row r="1051">
      <c r="D1051" s="7"/>
      <c r="E1051" s="7"/>
      <c r="H1051" s="204"/>
    </row>
    <row r="1052">
      <c r="D1052" s="7"/>
      <c r="E1052" s="7"/>
      <c r="H1052" s="204"/>
    </row>
    <row r="1053">
      <c r="D1053" s="7"/>
      <c r="E1053" s="7"/>
      <c r="H1053" s="204"/>
    </row>
    <row r="1054">
      <c r="D1054" s="7"/>
      <c r="E1054" s="7"/>
      <c r="H1054" s="204"/>
    </row>
    <row r="1055">
      <c r="D1055" s="7"/>
      <c r="E1055" s="7"/>
      <c r="H1055" s="204"/>
    </row>
    <row r="1056">
      <c r="D1056" s="7"/>
      <c r="E1056" s="7"/>
      <c r="H1056" s="204"/>
    </row>
    <row r="1057">
      <c r="D1057" s="7"/>
      <c r="E1057" s="7"/>
      <c r="H1057" s="204"/>
    </row>
    <row r="1058">
      <c r="D1058" s="7"/>
      <c r="E1058" s="7"/>
      <c r="H1058" s="204"/>
    </row>
    <row r="1059">
      <c r="D1059" s="7"/>
      <c r="E1059" s="7"/>
      <c r="H1059" s="204"/>
    </row>
    <row r="1060">
      <c r="D1060" s="7"/>
      <c r="E1060" s="7"/>
      <c r="H1060" s="204"/>
    </row>
    <row r="1061">
      <c r="D1061" s="7"/>
      <c r="E1061" s="7"/>
      <c r="H1061" s="204"/>
    </row>
    <row r="1062">
      <c r="D1062" s="7"/>
      <c r="E1062" s="7"/>
      <c r="H1062" s="204"/>
    </row>
    <row r="1063">
      <c r="D1063" s="7"/>
      <c r="E1063" s="7"/>
      <c r="H1063" s="204"/>
    </row>
    <row r="1064">
      <c r="D1064" s="7"/>
      <c r="E1064" s="7"/>
      <c r="H1064" s="204"/>
    </row>
    <row r="1065">
      <c r="D1065" s="7"/>
      <c r="E1065" s="7"/>
      <c r="H1065" s="204"/>
    </row>
    <row r="1066">
      <c r="D1066" s="7"/>
      <c r="E1066" s="7"/>
      <c r="H1066" s="204"/>
    </row>
    <row r="1067">
      <c r="D1067" s="7"/>
      <c r="E1067" s="7"/>
      <c r="H1067" s="204"/>
    </row>
    <row r="1068">
      <c r="D1068" s="7"/>
      <c r="E1068" s="7"/>
      <c r="H1068" s="204"/>
    </row>
    <row r="1069">
      <c r="D1069" s="7"/>
      <c r="E1069" s="7"/>
      <c r="H1069" s="204"/>
    </row>
    <row r="1070">
      <c r="D1070" s="7"/>
      <c r="E1070" s="7"/>
      <c r="H1070" s="204"/>
    </row>
    <row r="1071">
      <c r="D1071" s="7"/>
      <c r="E1071" s="7"/>
      <c r="H1071" s="204"/>
    </row>
    <row r="1072">
      <c r="D1072" s="7"/>
      <c r="E1072" s="7"/>
      <c r="H1072" s="204"/>
    </row>
    <row r="1073">
      <c r="D1073" s="7"/>
      <c r="E1073" s="7"/>
      <c r="H1073" s="204"/>
    </row>
    <row r="1074">
      <c r="D1074" s="7"/>
      <c r="E1074" s="7"/>
      <c r="H1074" s="204"/>
    </row>
    <row r="1075">
      <c r="D1075" s="7"/>
      <c r="E1075" s="7"/>
      <c r="H1075" s="204"/>
    </row>
    <row r="1076">
      <c r="D1076" s="7"/>
      <c r="E1076" s="7"/>
      <c r="H1076" s="204"/>
    </row>
    <row r="1077">
      <c r="D1077" s="7"/>
      <c r="E1077" s="7"/>
      <c r="H1077" s="204"/>
    </row>
    <row r="1078">
      <c r="D1078" s="7"/>
      <c r="E1078" s="7"/>
      <c r="H1078" s="204"/>
    </row>
    <row r="1079">
      <c r="D1079" s="7"/>
      <c r="E1079" s="7"/>
      <c r="H1079" s="204"/>
    </row>
    <row r="1080">
      <c r="D1080" s="7"/>
      <c r="E1080" s="7"/>
      <c r="H1080" s="204"/>
    </row>
    <row r="1081">
      <c r="D1081" s="7"/>
      <c r="E1081" s="7"/>
      <c r="H1081" s="204"/>
    </row>
    <row r="1082">
      <c r="D1082" s="7"/>
      <c r="E1082" s="7"/>
      <c r="H1082" s="204"/>
    </row>
    <row r="1083">
      <c r="D1083" s="7"/>
      <c r="E1083" s="7"/>
      <c r="H1083" s="204"/>
    </row>
    <row r="1084">
      <c r="D1084" s="7"/>
      <c r="E1084" s="7"/>
      <c r="H1084" s="204"/>
    </row>
    <row r="1085">
      <c r="D1085" s="7"/>
      <c r="E1085" s="7"/>
      <c r="H1085" s="204"/>
    </row>
    <row r="1086">
      <c r="D1086" s="7"/>
      <c r="E1086" s="7"/>
      <c r="H1086" s="204"/>
    </row>
    <row r="1087">
      <c r="D1087" s="7"/>
      <c r="E1087" s="7"/>
      <c r="H1087" s="204"/>
    </row>
    <row r="1088">
      <c r="D1088" s="7"/>
      <c r="E1088" s="7"/>
      <c r="H1088" s="204"/>
    </row>
    <row r="1089">
      <c r="D1089" s="7"/>
      <c r="E1089" s="7"/>
      <c r="H1089" s="204"/>
    </row>
    <row r="1090">
      <c r="D1090" s="7"/>
      <c r="E1090" s="7"/>
      <c r="H1090" s="204"/>
    </row>
    <row r="1091">
      <c r="D1091" s="7"/>
      <c r="E1091" s="7"/>
      <c r="H1091" s="204"/>
    </row>
    <row r="1092">
      <c r="D1092" s="7"/>
      <c r="E1092" s="7"/>
      <c r="H1092" s="204"/>
    </row>
    <row r="1093">
      <c r="D1093" s="7"/>
      <c r="E1093" s="7"/>
      <c r="H1093" s="204"/>
    </row>
    <row r="1094">
      <c r="D1094" s="7"/>
      <c r="E1094" s="7"/>
      <c r="H1094" s="204"/>
    </row>
    <row r="1095">
      <c r="D1095" s="7"/>
      <c r="E1095" s="7"/>
      <c r="H1095" s="204"/>
    </row>
    <row r="1096">
      <c r="D1096" s="7"/>
      <c r="E1096" s="7"/>
      <c r="H1096" s="204"/>
    </row>
    <row r="1097">
      <c r="D1097" s="7"/>
      <c r="E1097" s="7"/>
      <c r="H1097" s="204"/>
    </row>
    <row r="1098">
      <c r="D1098" s="7"/>
      <c r="E1098" s="7"/>
      <c r="H1098" s="204"/>
    </row>
    <row r="1099">
      <c r="D1099" s="7"/>
      <c r="E1099" s="7"/>
      <c r="H1099" s="204"/>
    </row>
    <row r="1100">
      <c r="D1100" s="7"/>
      <c r="E1100" s="7"/>
      <c r="H1100" s="204"/>
    </row>
    <row r="1101">
      <c r="D1101" s="7"/>
      <c r="E1101" s="7"/>
      <c r="H1101" s="204"/>
    </row>
    <row r="1102">
      <c r="D1102" s="7"/>
      <c r="E1102" s="7"/>
      <c r="H1102" s="204"/>
    </row>
    <row r="1103">
      <c r="D1103" s="7"/>
      <c r="E1103" s="7"/>
      <c r="H1103" s="204"/>
    </row>
    <row r="1104">
      <c r="D1104" s="7"/>
      <c r="E1104" s="7"/>
      <c r="H1104" s="204"/>
    </row>
    <row r="1105">
      <c r="D1105" s="7"/>
      <c r="E1105" s="7"/>
      <c r="H1105" s="204"/>
    </row>
    <row r="1106">
      <c r="D1106" s="7"/>
      <c r="E1106" s="7"/>
      <c r="H1106" s="204"/>
    </row>
    <row r="1107">
      <c r="D1107" s="7"/>
      <c r="E1107" s="7"/>
      <c r="H1107" s="204"/>
    </row>
    <row r="1108">
      <c r="D1108" s="7"/>
      <c r="E1108" s="7"/>
      <c r="H1108" s="204"/>
    </row>
    <row r="1109">
      <c r="D1109" s="7"/>
      <c r="E1109" s="7"/>
      <c r="H1109" s="204"/>
    </row>
    <row r="1110">
      <c r="D1110" s="7"/>
      <c r="E1110" s="7"/>
      <c r="H1110" s="204"/>
    </row>
    <row r="1111">
      <c r="D1111" s="7"/>
      <c r="E1111" s="7"/>
      <c r="H1111" s="204"/>
    </row>
    <row r="1112">
      <c r="D1112" s="7"/>
      <c r="E1112" s="7"/>
      <c r="H1112" s="204"/>
    </row>
    <row r="1113">
      <c r="D1113" s="7"/>
      <c r="E1113" s="7"/>
      <c r="H1113" s="204"/>
    </row>
    <row r="1114">
      <c r="D1114" s="7"/>
      <c r="E1114" s="7"/>
      <c r="H1114" s="204"/>
    </row>
    <row r="1115">
      <c r="D1115" s="7"/>
      <c r="E1115" s="7"/>
      <c r="H1115" s="204"/>
    </row>
    <row r="1116">
      <c r="D1116" s="7"/>
      <c r="E1116" s="7"/>
      <c r="H1116" s="204"/>
    </row>
    <row r="1117">
      <c r="D1117" s="7"/>
      <c r="E1117" s="7"/>
      <c r="H1117" s="204"/>
    </row>
    <row r="1118">
      <c r="D1118" s="7"/>
      <c r="E1118" s="7"/>
      <c r="H1118" s="204"/>
    </row>
    <row r="1119">
      <c r="D1119" s="7"/>
      <c r="E1119" s="7"/>
      <c r="H1119" s="204"/>
    </row>
    <row r="1120">
      <c r="D1120" s="7"/>
      <c r="E1120" s="7"/>
      <c r="H1120" s="204"/>
    </row>
    <row r="1121">
      <c r="D1121" s="7"/>
      <c r="E1121" s="7"/>
      <c r="H1121" s="204"/>
    </row>
    <row r="1122">
      <c r="D1122" s="7"/>
      <c r="E1122" s="7"/>
      <c r="H1122" s="204"/>
    </row>
    <row r="1123">
      <c r="D1123" s="7"/>
      <c r="E1123" s="7"/>
      <c r="H1123" s="204"/>
    </row>
    <row r="1124">
      <c r="D1124" s="7"/>
      <c r="E1124" s="7"/>
      <c r="H1124" s="204"/>
    </row>
    <row r="1125">
      <c r="D1125" s="7"/>
      <c r="E1125" s="7"/>
      <c r="H1125" s="204"/>
    </row>
    <row r="1126">
      <c r="D1126" s="7"/>
      <c r="E1126" s="7"/>
      <c r="H1126" s="204"/>
    </row>
    <row r="1127">
      <c r="D1127" s="7"/>
      <c r="E1127" s="7"/>
      <c r="H1127" s="204"/>
    </row>
    <row r="1128">
      <c r="D1128" s="7"/>
      <c r="E1128" s="7"/>
      <c r="H1128" s="204"/>
    </row>
    <row r="1129">
      <c r="D1129" s="7"/>
      <c r="E1129" s="7"/>
      <c r="H1129" s="204"/>
    </row>
    <row r="1130">
      <c r="D1130" s="7"/>
      <c r="E1130" s="7"/>
      <c r="H1130" s="204"/>
    </row>
    <row r="1131">
      <c r="D1131" s="7"/>
      <c r="E1131" s="7"/>
      <c r="H1131" s="204"/>
    </row>
    <row r="1132">
      <c r="D1132" s="7"/>
      <c r="E1132" s="7"/>
      <c r="H1132" s="204"/>
    </row>
    <row r="1133">
      <c r="D1133" s="7"/>
      <c r="E1133" s="7"/>
      <c r="H1133" s="204"/>
    </row>
    <row r="1134">
      <c r="D1134" s="7"/>
      <c r="E1134" s="7"/>
      <c r="H1134" s="204"/>
    </row>
    <row r="1135">
      <c r="D1135" s="7"/>
      <c r="E1135" s="7"/>
      <c r="H1135" s="204"/>
    </row>
    <row r="1136">
      <c r="D1136" s="7"/>
      <c r="E1136" s="7"/>
      <c r="H1136" s="204"/>
    </row>
    <row r="1137">
      <c r="D1137" s="7"/>
      <c r="E1137" s="7"/>
      <c r="H1137" s="204"/>
    </row>
    <row r="1138">
      <c r="D1138" s="7"/>
      <c r="E1138" s="7"/>
      <c r="H1138" s="204"/>
    </row>
    <row r="1139">
      <c r="D1139" s="7"/>
      <c r="E1139" s="7"/>
      <c r="H1139" s="204"/>
    </row>
    <row r="1140">
      <c r="D1140" s="7"/>
      <c r="E1140" s="7"/>
      <c r="H1140" s="204"/>
    </row>
    <row r="1141">
      <c r="D1141" s="7"/>
      <c r="E1141" s="7"/>
      <c r="H1141" s="204"/>
    </row>
    <row r="1142">
      <c r="D1142" s="7"/>
      <c r="E1142" s="7"/>
      <c r="H1142" s="204"/>
    </row>
    <row r="1143">
      <c r="D1143" s="7"/>
      <c r="E1143" s="7"/>
      <c r="H1143" s="204"/>
    </row>
    <row r="1144">
      <c r="D1144" s="7"/>
      <c r="E1144" s="7"/>
      <c r="H1144" s="204"/>
    </row>
    <row r="1145">
      <c r="D1145" s="7"/>
      <c r="E1145" s="7"/>
      <c r="H1145" s="204"/>
    </row>
    <row r="1146">
      <c r="D1146" s="7"/>
      <c r="E1146" s="7"/>
      <c r="H1146" s="204"/>
    </row>
    <row r="1147">
      <c r="D1147" s="7"/>
      <c r="E1147" s="7"/>
      <c r="H1147" s="204"/>
    </row>
    <row r="1148">
      <c r="D1148" s="7"/>
      <c r="E1148" s="7"/>
      <c r="H1148" s="204"/>
    </row>
    <row r="1149">
      <c r="D1149" s="7"/>
      <c r="E1149" s="7"/>
      <c r="H1149" s="204"/>
    </row>
    <row r="1150">
      <c r="D1150" s="7"/>
      <c r="E1150" s="7"/>
      <c r="H1150" s="204"/>
    </row>
    <row r="1151">
      <c r="D1151" s="7"/>
      <c r="E1151" s="7"/>
      <c r="H1151" s="204"/>
    </row>
    <row r="1152">
      <c r="D1152" s="7"/>
      <c r="E1152" s="7"/>
      <c r="H1152" s="204"/>
    </row>
    <row r="1153">
      <c r="D1153" s="7"/>
      <c r="E1153" s="7"/>
      <c r="H1153" s="204"/>
    </row>
    <row r="1154">
      <c r="D1154" s="7"/>
      <c r="E1154" s="7"/>
      <c r="H1154" s="204"/>
    </row>
    <row r="1155">
      <c r="D1155" s="7"/>
      <c r="E1155" s="7"/>
      <c r="H1155" s="204"/>
    </row>
    <row r="1156">
      <c r="D1156" s="7"/>
      <c r="E1156" s="7"/>
      <c r="H1156" s="204"/>
    </row>
    <row r="1157">
      <c r="D1157" s="7"/>
      <c r="E1157" s="7"/>
      <c r="H1157" s="204"/>
    </row>
    <row r="1158">
      <c r="D1158" s="7"/>
      <c r="E1158" s="7"/>
      <c r="H1158" s="204"/>
    </row>
    <row r="1159">
      <c r="D1159" s="7"/>
      <c r="E1159" s="7"/>
      <c r="H1159" s="204"/>
    </row>
    <row r="1160">
      <c r="D1160" s="7"/>
      <c r="E1160" s="7"/>
      <c r="H1160" s="204"/>
    </row>
    <row r="1161">
      <c r="D1161" s="7"/>
      <c r="E1161" s="7"/>
      <c r="H1161" s="204"/>
    </row>
    <row r="1162">
      <c r="D1162" s="7"/>
      <c r="E1162" s="7"/>
      <c r="H1162" s="204"/>
    </row>
    <row r="1163">
      <c r="D1163" s="7"/>
      <c r="E1163" s="7"/>
      <c r="H1163" s="204"/>
    </row>
    <row r="1164">
      <c r="D1164" s="7"/>
      <c r="E1164" s="7"/>
      <c r="H1164" s="204"/>
    </row>
    <row r="1165">
      <c r="D1165" s="7"/>
      <c r="E1165" s="7"/>
      <c r="H1165" s="204"/>
    </row>
    <row r="1166">
      <c r="D1166" s="7"/>
      <c r="E1166" s="7"/>
      <c r="H1166" s="204"/>
    </row>
    <row r="1167">
      <c r="D1167" s="7"/>
      <c r="E1167" s="7"/>
      <c r="H1167" s="204"/>
    </row>
    <row r="1168">
      <c r="D1168" s="7"/>
      <c r="E1168" s="7"/>
      <c r="H1168" s="204"/>
    </row>
    <row r="1169">
      <c r="D1169" s="7"/>
      <c r="E1169" s="7"/>
      <c r="H1169" s="204"/>
    </row>
    <row r="1170">
      <c r="D1170" s="7"/>
      <c r="E1170" s="7"/>
      <c r="H1170" s="204"/>
    </row>
    <row r="1171">
      <c r="D1171" s="7"/>
      <c r="E1171" s="7"/>
      <c r="H1171" s="204"/>
    </row>
    <row r="1172">
      <c r="D1172" s="7"/>
      <c r="E1172" s="7"/>
      <c r="H1172" s="204"/>
    </row>
    <row r="1173">
      <c r="D1173" s="7"/>
      <c r="E1173" s="7"/>
      <c r="H1173" s="204"/>
    </row>
    <row r="1174">
      <c r="D1174" s="7"/>
      <c r="E1174" s="7"/>
      <c r="H1174" s="204"/>
    </row>
    <row r="1175">
      <c r="D1175" s="7"/>
      <c r="E1175" s="7"/>
      <c r="H1175" s="204"/>
    </row>
    <row r="1176">
      <c r="D1176" s="7"/>
      <c r="E1176" s="7"/>
      <c r="H1176" s="204"/>
    </row>
    <row r="1177">
      <c r="D1177" s="7"/>
      <c r="E1177" s="7"/>
      <c r="H1177" s="204"/>
    </row>
    <row r="1178">
      <c r="D1178" s="7"/>
      <c r="E1178" s="7"/>
      <c r="H1178" s="204"/>
    </row>
    <row r="1179">
      <c r="D1179" s="7"/>
      <c r="E1179" s="7"/>
      <c r="H1179" s="204"/>
    </row>
    <row r="1180">
      <c r="D1180" s="7"/>
      <c r="E1180" s="7"/>
      <c r="H1180" s="204"/>
    </row>
    <row r="1181">
      <c r="D1181" s="7"/>
      <c r="E1181" s="7"/>
      <c r="H1181" s="204"/>
    </row>
    <row r="1182">
      <c r="D1182" s="7"/>
      <c r="E1182" s="7"/>
      <c r="H1182" s="204"/>
    </row>
    <row r="1183">
      <c r="D1183" s="7"/>
      <c r="E1183" s="7"/>
      <c r="H1183" s="204"/>
    </row>
    <row r="1184">
      <c r="D1184" s="7"/>
      <c r="E1184" s="7"/>
      <c r="H1184" s="204"/>
    </row>
    <row r="1185">
      <c r="D1185" s="7"/>
      <c r="E1185" s="7"/>
      <c r="H1185" s="204"/>
    </row>
    <row r="1186">
      <c r="D1186" s="7"/>
      <c r="E1186" s="7"/>
      <c r="H1186" s="204"/>
    </row>
    <row r="1187">
      <c r="D1187" s="7"/>
      <c r="E1187" s="7"/>
      <c r="H1187" s="204"/>
    </row>
    <row r="1188">
      <c r="D1188" s="7"/>
      <c r="E1188" s="7"/>
      <c r="H1188" s="204"/>
    </row>
    <row r="1189">
      <c r="D1189" s="7"/>
      <c r="E1189" s="7"/>
      <c r="H1189" s="204"/>
    </row>
    <row r="1190">
      <c r="D1190" s="7"/>
      <c r="E1190" s="7"/>
      <c r="H1190" s="204"/>
    </row>
    <row r="1191">
      <c r="D1191" s="7"/>
      <c r="E1191" s="7"/>
      <c r="H1191" s="204"/>
    </row>
    <row r="1192">
      <c r="D1192" s="7"/>
      <c r="E1192" s="7"/>
      <c r="H1192" s="204"/>
    </row>
    <row r="1193">
      <c r="D1193" s="7"/>
      <c r="E1193" s="7"/>
      <c r="H1193" s="204"/>
    </row>
    <row r="1194">
      <c r="D1194" s="7"/>
      <c r="E1194" s="7"/>
      <c r="H1194" s="204"/>
    </row>
    <row r="1195">
      <c r="D1195" s="7"/>
      <c r="E1195" s="7"/>
      <c r="H1195" s="204"/>
    </row>
    <row r="1196">
      <c r="D1196" s="7"/>
      <c r="E1196" s="7"/>
      <c r="H1196" s="204"/>
    </row>
    <row r="1197">
      <c r="D1197" s="7"/>
      <c r="E1197" s="7"/>
      <c r="H1197" s="204"/>
    </row>
    <row r="1198">
      <c r="D1198" s="7"/>
      <c r="E1198" s="7"/>
      <c r="H1198" s="204"/>
    </row>
    <row r="1199">
      <c r="D1199" s="7"/>
      <c r="E1199" s="7"/>
      <c r="H1199" s="204"/>
    </row>
    <row r="1200">
      <c r="D1200" s="7"/>
      <c r="E1200" s="7"/>
      <c r="H1200" s="204"/>
    </row>
    <row r="1201">
      <c r="D1201" s="7"/>
      <c r="E1201" s="7"/>
      <c r="H1201" s="204"/>
    </row>
    <row r="1202">
      <c r="D1202" s="7"/>
      <c r="E1202" s="7"/>
      <c r="H1202" s="204"/>
    </row>
    <row r="1203">
      <c r="D1203" s="7"/>
      <c r="E1203" s="7"/>
      <c r="H1203" s="204"/>
    </row>
    <row r="1204">
      <c r="D1204" s="7"/>
      <c r="E1204" s="7"/>
      <c r="H1204" s="204"/>
    </row>
    <row r="1205">
      <c r="D1205" s="7"/>
      <c r="E1205" s="7"/>
      <c r="H1205" s="204"/>
    </row>
    <row r="1206">
      <c r="D1206" s="7"/>
      <c r="E1206" s="7"/>
      <c r="H1206" s="204"/>
    </row>
    <row r="1207">
      <c r="D1207" s="7"/>
      <c r="E1207" s="7"/>
      <c r="H1207" s="204"/>
    </row>
    <row r="1208">
      <c r="D1208" s="7"/>
      <c r="E1208" s="7"/>
      <c r="H1208" s="204"/>
    </row>
    <row r="1209">
      <c r="D1209" s="7"/>
      <c r="E1209" s="7"/>
      <c r="H1209" s="204"/>
    </row>
    <row r="1210">
      <c r="D1210" s="7"/>
      <c r="E1210" s="7"/>
      <c r="H1210" s="204"/>
    </row>
    <row r="1211">
      <c r="D1211" s="7"/>
      <c r="E1211" s="7"/>
      <c r="H1211" s="204"/>
    </row>
    <row r="1212">
      <c r="D1212" s="7"/>
      <c r="E1212" s="7"/>
      <c r="H1212" s="204"/>
    </row>
    <row r="1213">
      <c r="D1213" s="7"/>
      <c r="E1213" s="7"/>
      <c r="H1213" s="204"/>
    </row>
    <row r="1214">
      <c r="D1214" s="7"/>
      <c r="E1214" s="7"/>
      <c r="H1214" s="204"/>
    </row>
    <row r="1215">
      <c r="D1215" s="7"/>
      <c r="E1215" s="7"/>
      <c r="H1215" s="204"/>
    </row>
    <row r="1216">
      <c r="D1216" s="7"/>
      <c r="E1216" s="7"/>
      <c r="H1216" s="204"/>
    </row>
    <row r="1217">
      <c r="D1217" s="7"/>
      <c r="E1217" s="7"/>
      <c r="H1217" s="204"/>
    </row>
    <row r="1218">
      <c r="D1218" s="7"/>
      <c r="E1218" s="7"/>
      <c r="H1218" s="204"/>
    </row>
    <row r="1219">
      <c r="D1219" s="7"/>
      <c r="E1219" s="7"/>
      <c r="H1219" s="204"/>
    </row>
    <row r="1220">
      <c r="D1220" s="7"/>
      <c r="E1220" s="7"/>
      <c r="H1220" s="204"/>
    </row>
    <row r="1221">
      <c r="D1221" s="7"/>
      <c r="E1221" s="7"/>
      <c r="H1221" s="204"/>
    </row>
    <row r="1222">
      <c r="D1222" s="7"/>
      <c r="E1222" s="7"/>
      <c r="H1222" s="204"/>
    </row>
    <row r="1223">
      <c r="D1223" s="7"/>
      <c r="E1223" s="7"/>
      <c r="H1223" s="204"/>
    </row>
    <row r="1224">
      <c r="D1224" s="7"/>
      <c r="E1224" s="7"/>
      <c r="H1224" s="204"/>
    </row>
    <row r="1225">
      <c r="D1225" s="7"/>
      <c r="E1225" s="7"/>
      <c r="H1225" s="204"/>
    </row>
    <row r="1226">
      <c r="D1226" s="7"/>
      <c r="E1226" s="7"/>
      <c r="H1226" s="204"/>
    </row>
    <row r="1227">
      <c r="D1227" s="7"/>
      <c r="E1227" s="7"/>
      <c r="H1227" s="204"/>
    </row>
    <row r="1228">
      <c r="D1228" s="7"/>
      <c r="E1228" s="7"/>
      <c r="H1228" s="204"/>
    </row>
    <row r="1229">
      <c r="D1229" s="7"/>
      <c r="E1229" s="7"/>
      <c r="H1229" s="204"/>
    </row>
    <row r="1230">
      <c r="D1230" s="7"/>
      <c r="E1230" s="7"/>
      <c r="H1230" s="204"/>
    </row>
    <row r="1231">
      <c r="D1231" s="7"/>
      <c r="E1231" s="7"/>
      <c r="H1231" s="204"/>
    </row>
    <row r="1232">
      <c r="D1232" s="7"/>
      <c r="E1232" s="7"/>
      <c r="H1232" s="204"/>
    </row>
    <row r="1233">
      <c r="D1233" s="7"/>
      <c r="E1233" s="7"/>
      <c r="H1233" s="204"/>
    </row>
    <row r="1234">
      <c r="D1234" s="7"/>
      <c r="E1234" s="7"/>
      <c r="H1234" s="204"/>
    </row>
    <row r="1235">
      <c r="D1235" s="7"/>
      <c r="E1235" s="7"/>
      <c r="H1235" s="204"/>
    </row>
    <row r="1236">
      <c r="D1236" s="7"/>
      <c r="E1236" s="7"/>
      <c r="H1236" s="204"/>
    </row>
    <row r="1237">
      <c r="D1237" s="7"/>
      <c r="E1237" s="7"/>
      <c r="H1237" s="204"/>
    </row>
    <row r="1238">
      <c r="D1238" s="7"/>
      <c r="E1238" s="7"/>
      <c r="H1238" s="204"/>
    </row>
    <row r="1239">
      <c r="D1239" s="7"/>
      <c r="E1239" s="7"/>
      <c r="H1239" s="204"/>
    </row>
    <row r="1240">
      <c r="D1240" s="7"/>
      <c r="E1240" s="7"/>
      <c r="H1240" s="204"/>
    </row>
    <row r="1241">
      <c r="D1241" s="7"/>
      <c r="E1241" s="7"/>
      <c r="H1241" s="204"/>
    </row>
    <row r="1242">
      <c r="D1242" s="7"/>
      <c r="E1242" s="7"/>
      <c r="H1242" s="204"/>
    </row>
    <row r="1243">
      <c r="D1243" s="7"/>
      <c r="E1243" s="7"/>
      <c r="H1243" s="204"/>
    </row>
    <row r="1244">
      <c r="D1244" s="7"/>
      <c r="E1244" s="7"/>
      <c r="H1244" s="204"/>
    </row>
    <row r="1245">
      <c r="D1245" s="7"/>
      <c r="E1245" s="7"/>
      <c r="H1245" s="204"/>
    </row>
    <row r="1246">
      <c r="D1246" s="7"/>
      <c r="E1246" s="7"/>
      <c r="H1246" s="204"/>
    </row>
    <row r="1247">
      <c r="D1247" s="7"/>
      <c r="E1247" s="7"/>
      <c r="H1247" s="204"/>
    </row>
    <row r="1248">
      <c r="D1248" s="7"/>
      <c r="E1248" s="7"/>
      <c r="H1248" s="204"/>
    </row>
    <row r="1249">
      <c r="D1249" s="7"/>
      <c r="E1249" s="7"/>
      <c r="H1249" s="204"/>
    </row>
    <row r="1250">
      <c r="D1250" s="7"/>
      <c r="E1250" s="7"/>
      <c r="H1250" s="204"/>
    </row>
    <row r="1251">
      <c r="D1251" s="7"/>
      <c r="E1251" s="7"/>
      <c r="H1251" s="204"/>
    </row>
    <row r="1252">
      <c r="D1252" s="7"/>
      <c r="E1252" s="7"/>
      <c r="H1252" s="204"/>
    </row>
    <row r="1253">
      <c r="D1253" s="7"/>
      <c r="E1253" s="7"/>
      <c r="H1253" s="204"/>
    </row>
    <row r="1254">
      <c r="D1254" s="7"/>
      <c r="E1254" s="7"/>
      <c r="H1254" s="204"/>
    </row>
    <row r="1255">
      <c r="D1255" s="7"/>
      <c r="E1255" s="7"/>
      <c r="H1255" s="204"/>
    </row>
    <row r="1256">
      <c r="D1256" s="7"/>
      <c r="E1256" s="7"/>
      <c r="H1256" s="204"/>
    </row>
    <row r="1257">
      <c r="D1257" s="7"/>
      <c r="E1257" s="7"/>
      <c r="H1257" s="204"/>
    </row>
    <row r="1258">
      <c r="D1258" s="7"/>
      <c r="E1258" s="7"/>
      <c r="H1258" s="204"/>
    </row>
    <row r="1259">
      <c r="D1259" s="7"/>
      <c r="E1259" s="7"/>
      <c r="H1259" s="204"/>
    </row>
    <row r="1260">
      <c r="D1260" s="7"/>
      <c r="E1260" s="7"/>
      <c r="H1260" s="204"/>
    </row>
    <row r="1261">
      <c r="D1261" s="7"/>
      <c r="E1261" s="7"/>
      <c r="H1261" s="204"/>
    </row>
    <row r="1262">
      <c r="D1262" s="7"/>
      <c r="E1262" s="7"/>
      <c r="H1262" s="204"/>
    </row>
    <row r="1263">
      <c r="D1263" s="7"/>
      <c r="E1263" s="7"/>
      <c r="H1263" s="204"/>
    </row>
    <row r="1264">
      <c r="D1264" s="7"/>
      <c r="E1264" s="7"/>
      <c r="H1264" s="204"/>
    </row>
    <row r="1265">
      <c r="D1265" s="7"/>
      <c r="E1265" s="7"/>
      <c r="H1265" s="204"/>
    </row>
    <row r="1266">
      <c r="D1266" s="7"/>
      <c r="E1266" s="7"/>
      <c r="H1266" s="204"/>
    </row>
    <row r="1267">
      <c r="D1267" s="7"/>
      <c r="E1267" s="7"/>
      <c r="H1267" s="204"/>
    </row>
    <row r="1268">
      <c r="D1268" s="7"/>
      <c r="E1268" s="7"/>
      <c r="H1268" s="204"/>
    </row>
    <row r="1269">
      <c r="D1269" s="7"/>
      <c r="E1269" s="7"/>
      <c r="H1269" s="204"/>
    </row>
    <row r="1270">
      <c r="D1270" s="7"/>
      <c r="E1270" s="7"/>
      <c r="H1270" s="204"/>
    </row>
    <row r="1271">
      <c r="D1271" s="7"/>
      <c r="E1271" s="7"/>
      <c r="H1271" s="204"/>
    </row>
    <row r="1272">
      <c r="D1272" s="7"/>
      <c r="E1272" s="7"/>
      <c r="H1272" s="204"/>
    </row>
    <row r="1273">
      <c r="D1273" s="7"/>
      <c r="E1273" s="7"/>
      <c r="H1273" s="204"/>
    </row>
    <row r="1274">
      <c r="D1274" s="7"/>
      <c r="E1274" s="7"/>
      <c r="H1274" s="204"/>
    </row>
    <row r="1275">
      <c r="D1275" s="7"/>
      <c r="E1275" s="7"/>
      <c r="H1275" s="204"/>
    </row>
    <row r="1276">
      <c r="D1276" s="7"/>
      <c r="E1276" s="7"/>
      <c r="H1276" s="204"/>
    </row>
    <row r="1277">
      <c r="D1277" s="7"/>
      <c r="E1277" s="7"/>
      <c r="H1277" s="204"/>
    </row>
    <row r="1278">
      <c r="D1278" s="7"/>
      <c r="E1278" s="7"/>
      <c r="H1278" s="204"/>
    </row>
    <row r="1279">
      <c r="D1279" s="7"/>
      <c r="E1279" s="7"/>
      <c r="H1279" s="204"/>
    </row>
    <row r="1280">
      <c r="D1280" s="7"/>
      <c r="E1280" s="7"/>
      <c r="H1280" s="204"/>
    </row>
    <row r="1281">
      <c r="D1281" s="7"/>
      <c r="E1281" s="7"/>
      <c r="H1281" s="204"/>
    </row>
    <row r="1282">
      <c r="D1282" s="7"/>
      <c r="E1282" s="7"/>
      <c r="H1282" s="204"/>
    </row>
    <row r="1283">
      <c r="D1283" s="7"/>
      <c r="E1283" s="7"/>
      <c r="H1283" s="204"/>
    </row>
    <row r="1284">
      <c r="D1284" s="7"/>
      <c r="E1284" s="7"/>
      <c r="H1284" s="204"/>
    </row>
    <row r="1285">
      <c r="D1285" s="7"/>
      <c r="E1285" s="7"/>
      <c r="H1285" s="204"/>
    </row>
    <row r="1286">
      <c r="D1286" s="7"/>
      <c r="E1286" s="7"/>
      <c r="H1286" s="204"/>
    </row>
    <row r="1287">
      <c r="D1287" s="7"/>
      <c r="E1287" s="7"/>
      <c r="H1287" s="204"/>
    </row>
    <row r="1288">
      <c r="D1288" s="7"/>
      <c r="E1288" s="7"/>
      <c r="H1288" s="204"/>
    </row>
    <row r="1289">
      <c r="D1289" s="7"/>
      <c r="E1289" s="7"/>
      <c r="H1289" s="204"/>
    </row>
    <row r="1290">
      <c r="D1290" s="7"/>
      <c r="E1290" s="7"/>
      <c r="H1290" s="204"/>
    </row>
    <row r="1291">
      <c r="D1291" s="7"/>
      <c r="E1291" s="7"/>
      <c r="H1291" s="204"/>
    </row>
    <row r="1292">
      <c r="D1292" s="7"/>
      <c r="E1292" s="7"/>
      <c r="H1292" s="204"/>
    </row>
    <row r="1293">
      <c r="D1293" s="7"/>
      <c r="E1293" s="7"/>
      <c r="H1293" s="204"/>
    </row>
    <row r="1294">
      <c r="D1294" s="7"/>
      <c r="E1294" s="7"/>
      <c r="H1294" s="204"/>
    </row>
    <row r="1295">
      <c r="D1295" s="7"/>
      <c r="E1295" s="7"/>
      <c r="H1295" s="204"/>
    </row>
    <row r="1296">
      <c r="D1296" s="7"/>
      <c r="E1296" s="7"/>
      <c r="H1296" s="204"/>
    </row>
    <row r="1297">
      <c r="D1297" s="7"/>
      <c r="E1297" s="7"/>
      <c r="H1297" s="204"/>
    </row>
    <row r="1298">
      <c r="D1298" s="7"/>
      <c r="E1298" s="7"/>
      <c r="H1298" s="204"/>
    </row>
    <row r="1299">
      <c r="D1299" s="7"/>
      <c r="E1299" s="7"/>
      <c r="H1299" s="204"/>
    </row>
    <row r="1300">
      <c r="D1300" s="7"/>
      <c r="E1300" s="7"/>
      <c r="H1300" s="204"/>
    </row>
    <row r="1301">
      <c r="D1301" s="7"/>
      <c r="E1301" s="7"/>
      <c r="H1301" s="204"/>
    </row>
    <row r="1302">
      <c r="D1302" s="7"/>
      <c r="E1302" s="7"/>
      <c r="H1302" s="204"/>
    </row>
    <row r="1303">
      <c r="D1303" s="7"/>
      <c r="E1303" s="7"/>
      <c r="H1303" s="204"/>
    </row>
    <row r="1304">
      <c r="D1304" s="7"/>
      <c r="E1304" s="7"/>
      <c r="H1304" s="204"/>
    </row>
    <row r="1305">
      <c r="D1305" s="7"/>
      <c r="E1305" s="7"/>
      <c r="H1305" s="204"/>
    </row>
    <row r="1306">
      <c r="D1306" s="7"/>
      <c r="E1306" s="7"/>
      <c r="H1306" s="204"/>
    </row>
    <row r="1307">
      <c r="D1307" s="7"/>
      <c r="E1307" s="7"/>
      <c r="H1307" s="204"/>
    </row>
    <row r="1308">
      <c r="D1308" s="7"/>
      <c r="E1308" s="7"/>
      <c r="H1308" s="204"/>
    </row>
    <row r="1309">
      <c r="D1309" s="7"/>
      <c r="E1309" s="7"/>
      <c r="H1309" s="204"/>
    </row>
    <row r="1310">
      <c r="D1310" s="7"/>
      <c r="E1310" s="7"/>
      <c r="H1310" s="204"/>
    </row>
    <row r="1311">
      <c r="D1311" s="7"/>
      <c r="E1311" s="7"/>
      <c r="H1311" s="204"/>
    </row>
    <row r="1312">
      <c r="D1312" s="7"/>
      <c r="E1312" s="7"/>
      <c r="H1312" s="204"/>
    </row>
    <row r="1313">
      <c r="D1313" s="7"/>
      <c r="E1313" s="7"/>
      <c r="H1313" s="204"/>
    </row>
    <row r="1314">
      <c r="D1314" s="7"/>
      <c r="E1314" s="7"/>
      <c r="H1314" s="204"/>
    </row>
    <row r="1315">
      <c r="D1315" s="7"/>
      <c r="E1315" s="7"/>
      <c r="H1315" s="204"/>
    </row>
    <row r="1316">
      <c r="D1316" s="7"/>
      <c r="E1316" s="7"/>
      <c r="H1316" s="204"/>
    </row>
    <row r="1317">
      <c r="D1317" s="7"/>
      <c r="E1317" s="7"/>
      <c r="H1317" s="204"/>
    </row>
    <row r="1318">
      <c r="D1318" s="7"/>
      <c r="E1318" s="7"/>
      <c r="H1318" s="204"/>
    </row>
    <row r="1319">
      <c r="D1319" s="7"/>
      <c r="E1319" s="7"/>
      <c r="H1319" s="204"/>
    </row>
    <row r="1320">
      <c r="D1320" s="7"/>
      <c r="E1320" s="7"/>
      <c r="H1320" s="204"/>
    </row>
    <row r="1321">
      <c r="D1321" s="7"/>
      <c r="E1321" s="7"/>
      <c r="H1321" s="204"/>
    </row>
    <row r="1322">
      <c r="D1322" s="7"/>
      <c r="E1322" s="7"/>
      <c r="H1322" s="204"/>
    </row>
    <row r="1323">
      <c r="D1323" s="7"/>
      <c r="E1323" s="7"/>
      <c r="H1323" s="204"/>
    </row>
    <row r="1324">
      <c r="D1324" s="7"/>
      <c r="E1324" s="7"/>
      <c r="H1324" s="204"/>
    </row>
    <row r="1325">
      <c r="D1325" s="7"/>
      <c r="E1325" s="7"/>
      <c r="H1325" s="204"/>
    </row>
    <row r="1326">
      <c r="D1326" s="7"/>
      <c r="E1326" s="7"/>
      <c r="H1326" s="204"/>
    </row>
    <row r="1327">
      <c r="D1327" s="7"/>
      <c r="E1327" s="7"/>
      <c r="H1327" s="204"/>
    </row>
    <row r="1328">
      <c r="D1328" s="7"/>
      <c r="E1328" s="7"/>
      <c r="H1328" s="204"/>
    </row>
    <row r="1329">
      <c r="D1329" s="7"/>
      <c r="E1329" s="7"/>
      <c r="H1329" s="204"/>
    </row>
    <row r="1330">
      <c r="D1330" s="7"/>
      <c r="E1330" s="7"/>
      <c r="H1330" s="204"/>
    </row>
    <row r="1331">
      <c r="D1331" s="7"/>
      <c r="E1331" s="7"/>
      <c r="H1331" s="204"/>
    </row>
    <row r="1332">
      <c r="D1332" s="7"/>
      <c r="E1332" s="7"/>
      <c r="H1332" s="204"/>
    </row>
    <row r="1333">
      <c r="D1333" s="7"/>
      <c r="E1333" s="7"/>
      <c r="H1333" s="204"/>
    </row>
    <row r="1334">
      <c r="D1334" s="7"/>
      <c r="E1334" s="7"/>
      <c r="H1334" s="204"/>
    </row>
    <row r="1335">
      <c r="D1335" s="7"/>
      <c r="E1335" s="7"/>
      <c r="H1335" s="204"/>
    </row>
    <row r="1336">
      <c r="D1336" s="7"/>
      <c r="E1336" s="7"/>
      <c r="H1336" s="204"/>
    </row>
    <row r="1337">
      <c r="D1337" s="7"/>
      <c r="E1337" s="7"/>
      <c r="H1337" s="204"/>
    </row>
    <row r="1338">
      <c r="D1338" s="7"/>
      <c r="E1338" s="7"/>
      <c r="H1338" s="204"/>
    </row>
    <row r="1339">
      <c r="D1339" s="7"/>
      <c r="E1339" s="7"/>
      <c r="H1339" s="204"/>
    </row>
    <row r="1340">
      <c r="D1340" s="7"/>
      <c r="E1340" s="7"/>
      <c r="H1340" s="204"/>
    </row>
    <row r="1341">
      <c r="D1341" s="7"/>
      <c r="E1341" s="7"/>
      <c r="H1341" s="204"/>
    </row>
    <row r="1342">
      <c r="D1342" s="7"/>
      <c r="E1342" s="7"/>
      <c r="H1342" s="204"/>
    </row>
    <row r="1343">
      <c r="D1343" s="7"/>
      <c r="E1343" s="7"/>
      <c r="H1343" s="204"/>
    </row>
    <row r="1344">
      <c r="D1344" s="7"/>
      <c r="E1344" s="7"/>
      <c r="H1344" s="204"/>
    </row>
    <row r="1345">
      <c r="D1345" s="7"/>
      <c r="E1345" s="7"/>
      <c r="H1345" s="204"/>
    </row>
    <row r="1346">
      <c r="D1346" s="7"/>
      <c r="E1346" s="7"/>
      <c r="H1346" s="204"/>
    </row>
    <row r="1347">
      <c r="D1347" s="7"/>
      <c r="E1347" s="7"/>
      <c r="H1347" s="204"/>
    </row>
    <row r="1348">
      <c r="D1348" s="7"/>
      <c r="E1348" s="7"/>
      <c r="H1348" s="204"/>
    </row>
    <row r="1349">
      <c r="D1349" s="7"/>
      <c r="E1349" s="7"/>
      <c r="H1349" s="204"/>
    </row>
    <row r="1350">
      <c r="D1350" s="7"/>
      <c r="E1350" s="7"/>
      <c r="H1350" s="204"/>
    </row>
    <row r="1351">
      <c r="D1351" s="7"/>
      <c r="E1351" s="7"/>
      <c r="H1351" s="204"/>
    </row>
    <row r="1352">
      <c r="D1352" s="7"/>
      <c r="E1352" s="7"/>
      <c r="H1352" s="204"/>
    </row>
    <row r="1353">
      <c r="D1353" s="7"/>
      <c r="E1353" s="7"/>
      <c r="H1353" s="204"/>
    </row>
    <row r="1354">
      <c r="D1354" s="7"/>
      <c r="E1354" s="7"/>
      <c r="H1354" s="204"/>
    </row>
    <row r="1355">
      <c r="D1355" s="7"/>
      <c r="E1355" s="7"/>
      <c r="H1355" s="204"/>
    </row>
    <row r="1356">
      <c r="D1356" s="7"/>
      <c r="E1356" s="7"/>
      <c r="H1356" s="204"/>
    </row>
    <row r="1357">
      <c r="D1357" s="7"/>
      <c r="E1357" s="7"/>
      <c r="H1357" s="204"/>
    </row>
    <row r="1358">
      <c r="D1358" s="7"/>
      <c r="E1358" s="7"/>
      <c r="H1358" s="204"/>
    </row>
    <row r="1359">
      <c r="D1359" s="7"/>
      <c r="E1359" s="7"/>
      <c r="H1359" s="204"/>
    </row>
    <row r="1360">
      <c r="D1360" s="7"/>
      <c r="E1360" s="7"/>
      <c r="H1360" s="204"/>
    </row>
    <row r="1361">
      <c r="D1361" s="7"/>
      <c r="E1361" s="7"/>
      <c r="H1361" s="204"/>
    </row>
    <row r="1362">
      <c r="D1362" s="7"/>
      <c r="E1362" s="7"/>
      <c r="H1362" s="204"/>
    </row>
    <row r="1363">
      <c r="D1363" s="7"/>
      <c r="E1363" s="7"/>
      <c r="H1363" s="204"/>
    </row>
    <row r="1364">
      <c r="D1364" s="7"/>
      <c r="E1364" s="7"/>
      <c r="H1364" s="204"/>
    </row>
    <row r="1365">
      <c r="D1365" s="7"/>
      <c r="E1365" s="7"/>
      <c r="H1365" s="204"/>
    </row>
    <row r="1366">
      <c r="D1366" s="7"/>
      <c r="E1366" s="7"/>
      <c r="H1366" s="204"/>
    </row>
    <row r="1367">
      <c r="D1367" s="7"/>
      <c r="E1367" s="7"/>
      <c r="H1367" s="204"/>
    </row>
    <row r="1368">
      <c r="D1368" s="7"/>
      <c r="E1368" s="7"/>
      <c r="H1368" s="204"/>
    </row>
    <row r="1369">
      <c r="D1369" s="7"/>
      <c r="E1369" s="7"/>
      <c r="H1369" s="204"/>
    </row>
    <row r="1370">
      <c r="D1370" s="7"/>
      <c r="E1370" s="7"/>
      <c r="H1370" s="204"/>
    </row>
    <row r="1371">
      <c r="D1371" s="7"/>
      <c r="E1371" s="7"/>
      <c r="H1371" s="204"/>
    </row>
    <row r="1372">
      <c r="D1372" s="7"/>
      <c r="E1372" s="7"/>
      <c r="H1372" s="204"/>
    </row>
    <row r="1373">
      <c r="D1373" s="7"/>
      <c r="E1373" s="7"/>
      <c r="H1373" s="204"/>
    </row>
    <row r="1374">
      <c r="D1374" s="7"/>
      <c r="E1374" s="7"/>
      <c r="H1374" s="204"/>
    </row>
    <row r="1375">
      <c r="D1375" s="7"/>
      <c r="E1375" s="7"/>
      <c r="H1375" s="204"/>
    </row>
    <row r="1376">
      <c r="D1376" s="7"/>
      <c r="E1376" s="7"/>
      <c r="H1376" s="204"/>
    </row>
    <row r="1377">
      <c r="D1377" s="7"/>
      <c r="E1377" s="7"/>
      <c r="H1377" s="204"/>
    </row>
    <row r="1378">
      <c r="D1378" s="7"/>
      <c r="E1378" s="7"/>
      <c r="H1378" s="204"/>
    </row>
    <row r="1379">
      <c r="D1379" s="7"/>
      <c r="E1379" s="7"/>
      <c r="H1379" s="204"/>
    </row>
    <row r="1380">
      <c r="D1380" s="7"/>
      <c r="E1380" s="7"/>
      <c r="H1380" s="204"/>
    </row>
    <row r="1381">
      <c r="D1381" s="7"/>
      <c r="E1381" s="7"/>
      <c r="H1381" s="204"/>
    </row>
    <row r="1382">
      <c r="D1382" s="7"/>
      <c r="E1382" s="7"/>
      <c r="H1382" s="204"/>
    </row>
    <row r="1383">
      <c r="D1383" s="7"/>
      <c r="E1383" s="7"/>
      <c r="H1383" s="204"/>
    </row>
    <row r="1384">
      <c r="D1384" s="7"/>
      <c r="E1384" s="7"/>
      <c r="H1384" s="204"/>
    </row>
    <row r="1385">
      <c r="D1385" s="7"/>
      <c r="E1385" s="7"/>
      <c r="H1385" s="204"/>
    </row>
    <row r="1386">
      <c r="D1386" s="7"/>
      <c r="E1386" s="7"/>
      <c r="H1386" s="204"/>
    </row>
    <row r="1387">
      <c r="D1387" s="7"/>
      <c r="E1387" s="7"/>
      <c r="H1387" s="204"/>
    </row>
    <row r="1388">
      <c r="D1388" s="7"/>
      <c r="E1388" s="7"/>
      <c r="H1388" s="204"/>
    </row>
    <row r="1389">
      <c r="D1389" s="7"/>
      <c r="E1389" s="7"/>
      <c r="H1389" s="204"/>
    </row>
    <row r="1390">
      <c r="D1390" s="7"/>
      <c r="E1390" s="7"/>
      <c r="H1390" s="204"/>
    </row>
    <row r="1391">
      <c r="D1391" s="7"/>
      <c r="E1391" s="7"/>
      <c r="H1391" s="204"/>
    </row>
    <row r="1392">
      <c r="D1392" s="7"/>
      <c r="E1392" s="7"/>
      <c r="H1392" s="204"/>
    </row>
    <row r="1393">
      <c r="D1393" s="7"/>
      <c r="E1393" s="7"/>
      <c r="H1393" s="204"/>
    </row>
    <row r="1394">
      <c r="D1394" s="7"/>
      <c r="E1394" s="7"/>
      <c r="H1394" s="204"/>
    </row>
    <row r="1395">
      <c r="D1395" s="7"/>
      <c r="E1395" s="7"/>
      <c r="H1395" s="204"/>
    </row>
    <row r="1396">
      <c r="D1396" s="7"/>
      <c r="E1396" s="7"/>
      <c r="H1396" s="204"/>
    </row>
    <row r="1397">
      <c r="D1397" s="7"/>
      <c r="E1397" s="7"/>
      <c r="H1397" s="204"/>
    </row>
    <row r="1398">
      <c r="D1398" s="7"/>
      <c r="E1398" s="7"/>
      <c r="H1398" s="204"/>
    </row>
    <row r="1399">
      <c r="D1399" s="7"/>
      <c r="E1399" s="7"/>
      <c r="H1399" s="204"/>
    </row>
    <row r="1400">
      <c r="D1400" s="7"/>
      <c r="E1400" s="7"/>
      <c r="H1400" s="204"/>
    </row>
    <row r="1401">
      <c r="D1401" s="7"/>
      <c r="E1401" s="7"/>
      <c r="H1401" s="204"/>
    </row>
    <row r="1402">
      <c r="D1402" s="7"/>
      <c r="E1402" s="7"/>
      <c r="H1402" s="204"/>
    </row>
    <row r="1403">
      <c r="D1403" s="7"/>
      <c r="E1403" s="7"/>
      <c r="H1403" s="204"/>
    </row>
    <row r="1404">
      <c r="D1404" s="7"/>
      <c r="E1404" s="7"/>
      <c r="H1404" s="204"/>
    </row>
    <row r="1405">
      <c r="D1405" s="7"/>
      <c r="E1405" s="7"/>
      <c r="H1405" s="204"/>
    </row>
    <row r="1406">
      <c r="D1406" s="7"/>
      <c r="E1406" s="7"/>
      <c r="H1406" s="204"/>
    </row>
    <row r="1407">
      <c r="D1407" s="7"/>
      <c r="E1407" s="7"/>
      <c r="H1407" s="204"/>
    </row>
    <row r="1408">
      <c r="D1408" s="7"/>
      <c r="E1408" s="7"/>
      <c r="H1408" s="204"/>
    </row>
    <row r="1409">
      <c r="D1409" s="7"/>
      <c r="E1409" s="7"/>
      <c r="H1409" s="204"/>
    </row>
    <row r="1410">
      <c r="D1410" s="7"/>
      <c r="E1410" s="7"/>
      <c r="H1410" s="204"/>
    </row>
    <row r="1411">
      <c r="D1411" s="7"/>
      <c r="E1411" s="7"/>
      <c r="H1411" s="204"/>
    </row>
    <row r="1412">
      <c r="D1412" s="7"/>
      <c r="E1412" s="7"/>
      <c r="H1412" s="204"/>
    </row>
    <row r="1413">
      <c r="D1413" s="7"/>
      <c r="E1413" s="7"/>
      <c r="H1413" s="204"/>
    </row>
    <row r="1414">
      <c r="D1414" s="7"/>
      <c r="E1414" s="7"/>
      <c r="H1414" s="204"/>
    </row>
    <row r="1415">
      <c r="D1415" s="7"/>
      <c r="E1415" s="7"/>
      <c r="H1415" s="204"/>
    </row>
    <row r="1416">
      <c r="D1416" s="7"/>
      <c r="E1416" s="7"/>
      <c r="H1416" s="204"/>
    </row>
    <row r="1417">
      <c r="D1417" s="7"/>
      <c r="E1417" s="7"/>
      <c r="H1417" s="204"/>
    </row>
    <row r="1418">
      <c r="D1418" s="7"/>
      <c r="E1418" s="7"/>
      <c r="H1418" s="204"/>
    </row>
    <row r="1419">
      <c r="D1419" s="7"/>
      <c r="E1419" s="7"/>
      <c r="H1419" s="204"/>
    </row>
    <row r="1420">
      <c r="D1420" s="7"/>
      <c r="E1420" s="7"/>
      <c r="H1420" s="204"/>
    </row>
    <row r="1421">
      <c r="D1421" s="7"/>
      <c r="E1421" s="7"/>
      <c r="H1421" s="204"/>
    </row>
    <row r="1422">
      <c r="D1422" s="7"/>
      <c r="E1422" s="7"/>
      <c r="H1422" s="204"/>
    </row>
    <row r="1423">
      <c r="D1423" s="7"/>
      <c r="E1423" s="7"/>
      <c r="H1423" s="204"/>
    </row>
    <row r="1424">
      <c r="D1424" s="7"/>
      <c r="E1424" s="7"/>
      <c r="H1424" s="204"/>
    </row>
    <row r="1425">
      <c r="D1425" s="7"/>
      <c r="E1425" s="7"/>
      <c r="H1425" s="204"/>
    </row>
    <row r="1426">
      <c r="D1426" s="7"/>
      <c r="E1426" s="7"/>
      <c r="H1426" s="204"/>
    </row>
    <row r="1427">
      <c r="D1427" s="7"/>
      <c r="E1427" s="7"/>
      <c r="H1427" s="204"/>
    </row>
    <row r="1428">
      <c r="D1428" s="7"/>
      <c r="E1428" s="7"/>
      <c r="H1428" s="204"/>
    </row>
    <row r="1429">
      <c r="D1429" s="7"/>
      <c r="E1429" s="7"/>
      <c r="H1429" s="204"/>
    </row>
    <row r="1430">
      <c r="D1430" s="7"/>
      <c r="E1430" s="7"/>
      <c r="H1430" s="204"/>
    </row>
    <row r="1431">
      <c r="D1431" s="7"/>
      <c r="E1431" s="7"/>
      <c r="H1431" s="204"/>
    </row>
    <row r="1432">
      <c r="D1432" s="7"/>
      <c r="E1432" s="7"/>
      <c r="H1432" s="204"/>
    </row>
    <row r="1433">
      <c r="D1433" s="7"/>
      <c r="E1433" s="7"/>
      <c r="H1433" s="204"/>
    </row>
    <row r="1434">
      <c r="D1434" s="7"/>
      <c r="E1434" s="7"/>
      <c r="H1434" s="204"/>
    </row>
    <row r="1435">
      <c r="D1435" s="7"/>
      <c r="E1435" s="7"/>
      <c r="H1435" s="204"/>
    </row>
    <row r="1436">
      <c r="D1436" s="7"/>
      <c r="E1436" s="7"/>
      <c r="H1436" s="204"/>
    </row>
    <row r="1437">
      <c r="D1437" s="7"/>
      <c r="E1437" s="7"/>
      <c r="H1437" s="204"/>
    </row>
    <row r="1438">
      <c r="D1438" s="7"/>
      <c r="E1438" s="7"/>
      <c r="H1438" s="204"/>
    </row>
    <row r="1439">
      <c r="D1439" s="7"/>
      <c r="E1439" s="7"/>
      <c r="H1439" s="204"/>
    </row>
    <row r="1440">
      <c r="D1440" s="7"/>
      <c r="E1440" s="7"/>
      <c r="H1440" s="204"/>
    </row>
    <row r="1441">
      <c r="D1441" s="7"/>
      <c r="E1441" s="7"/>
      <c r="H1441" s="204"/>
    </row>
    <row r="1442">
      <c r="D1442" s="7"/>
      <c r="E1442" s="7"/>
      <c r="H1442" s="204"/>
    </row>
    <row r="1443">
      <c r="D1443" s="7"/>
      <c r="E1443" s="7"/>
      <c r="H1443" s="204"/>
    </row>
    <row r="1444">
      <c r="D1444" s="7"/>
      <c r="E1444" s="7"/>
      <c r="H1444" s="204"/>
    </row>
    <row r="1445">
      <c r="D1445" s="7"/>
      <c r="E1445" s="7"/>
      <c r="H1445" s="204"/>
    </row>
    <row r="1446">
      <c r="D1446" s="7"/>
      <c r="E1446" s="7"/>
      <c r="H1446" s="204"/>
    </row>
    <row r="1447">
      <c r="D1447" s="7"/>
      <c r="E1447" s="7"/>
      <c r="H1447" s="204"/>
    </row>
    <row r="1448">
      <c r="D1448" s="7"/>
      <c r="E1448" s="7"/>
      <c r="H1448" s="204"/>
    </row>
    <row r="1449">
      <c r="D1449" s="7"/>
      <c r="E1449" s="7"/>
      <c r="H1449" s="204"/>
    </row>
    <row r="1450">
      <c r="D1450" s="7"/>
      <c r="E1450" s="7"/>
      <c r="H1450" s="204"/>
    </row>
    <row r="1451">
      <c r="D1451" s="7"/>
      <c r="E1451" s="7"/>
      <c r="H1451" s="204"/>
    </row>
    <row r="1452">
      <c r="D1452" s="7"/>
      <c r="E1452" s="7"/>
      <c r="H1452" s="204"/>
    </row>
    <row r="1453">
      <c r="D1453" s="7"/>
      <c r="E1453" s="7"/>
      <c r="H1453" s="204"/>
    </row>
    <row r="1454">
      <c r="D1454" s="7"/>
      <c r="E1454" s="7"/>
      <c r="H1454" s="204"/>
    </row>
    <row r="1455">
      <c r="D1455" s="7"/>
      <c r="E1455" s="7"/>
      <c r="H1455" s="204"/>
    </row>
    <row r="1456">
      <c r="D1456" s="7"/>
      <c r="E1456" s="7"/>
      <c r="H1456" s="204"/>
    </row>
    <row r="1457">
      <c r="D1457" s="7"/>
      <c r="E1457" s="7"/>
      <c r="H1457" s="204"/>
    </row>
    <row r="1458">
      <c r="D1458" s="7"/>
      <c r="E1458" s="7"/>
      <c r="H1458" s="204"/>
    </row>
    <row r="1459">
      <c r="D1459" s="7"/>
      <c r="E1459" s="7"/>
      <c r="H1459" s="204"/>
    </row>
    <row r="1460">
      <c r="D1460" s="7"/>
      <c r="E1460" s="7"/>
      <c r="H1460" s="204"/>
    </row>
    <row r="1461">
      <c r="D1461" s="7"/>
      <c r="E1461" s="7"/>
      <c r="H1461" s="204"/>
    </row>
    <row r="1462">
      <c r="D1462" s="7"/>
      <c r="E1462" s="7"/>
      <c r="H1462" s="204"/>
    </row>
    <row r="1463">
      <c r="D1463" s="7"/>
      <c r="E1463" s="7"/>
      <c r="H1463" s="204"/>
    </row>
    <row r="1464">
      <c r="D1464" s="7"/>
      <c r="E1464" s="7"/>
      <c r="H1464" s="204"/>
    </row>
    <row r="1465">
      <c r="D1465" s="7"/>
      <c r="E1465" s="7"/>
      <c r="H1465" s="204"/>
    </row>
    <row r="1466">
      <c r="D1466" s="7"/>
      <c r="E1466" s="7"/>
      <c r="H1466" s="204"/>
    </row>
    <row r="1467">
      <c r="D1467" s="7"/>
      <c r="E1467" s="7"/>
      <c r="H1467" s="204"/>
    </row>
    <row r="1468">
      <c r="D1468" s="7"/>
      <c r="E1468" s="7"/>
      <c r="H1468" s="204"/>
    </row>
    <row r="1469">
      <c r="D1469" s="7"/>
      <c r="E1469" s="7"/>
      <c r="H1469" s="204"/>
    </row>
    <row r="1470">
      <c r="D1470" s="7"/>
      <c r="E1470" s="7"/>
      <c r="H1470" s="204"/>
    </row>
    <row r="1471">
      <c r="D1471" s="7"/>
      <c r="E1471" s="7"/>
      <c r="H1471" s="204"/>
    </row>
    <row r="1472">
      <c r="D1472" s="7"/>
      <c r="E1472" s="7"/>
      <c r="H1472" s="204"/>
    </row>
    <row r="1473">
      <c r="D1473" s="7"/>
      <c r="E1473" s="7"/>
      <c r="H1473" s="204"/>
    </row>
    <row r="1474">
      <c r="D1474" s="7"/>
      <c r="E1474" s="7"/>
      <c r="H1474" s="204"/>
    </row>
    <row r="1475">
      <c r="D1475" s="7"/>
      <c r="E1475" s="7"/>
      <c r="H1475" s="204"/>
    </row>
    <row r="1476">
      <c r="D1476" s="7"/>
      <c r="E1476" s="7"/>
      <c r="H1476" s="204"/>
    </row>
    <row r="1477">
      <c r="D1477" s="7"/>
      <c r="E1477" s="7"/>
      <c r="H1477" s="204"/>
    </row>
    <row r="1478">
      <c r="D1478" s="7"/>
      <c r="E1478" s="7"/>
      <c r="H1478" s="204"/>
    </row>
    <row r="1479">
      <c r="D1479" s="7"/>
      <c r="E1479" s="7"/>
      <c r="H1479" s="204"/>
    </row>
    <row r="1480">
      <c r="D1480" s="7"/>
      <c r="E1480" s="7"/>
      <c r="H1480" s="204"/>
    </row>
    <row r="1481">
      <c r="D1481" s="7"/>
      <c r="E1481" s="7"/>
      <c r="H1481" s="204"/>
    </row>
    <row r="1482">
      <c r="D1482" s="7"/>
      <c r="E1482" s="7"/>
      <c r="H1482" s="204"/>
    </row>
    <row r="1483">
      <c r="D1483" s="7"/>
      <c r="E1483" s="7"/>
      <c r="H1483" s="204"/>
    </row>
    <row r="1484">
      <c r="D1484" s="7"/>
      <c r="E1484" s="7"/>
      <c r="H1484" s="204"/>
    </row>
    <row r="1485">
      <c r="D1485" s="7"/>
      <c r="E1485" s="7"/>
      <c r="H1485" s="204"/>
    </row>
    <row r="1486">
      <c r="D1486" s="7"/>
      <c r="E1486" s="7"/>
      <c r="H1486" s="204"/>
    </row>
    <row r="1487">
      <c r="D1487" s="7"/>
      <c r="E1487" s="7"/>
      <c r="H1487" s="204"/>
    </row>
    <row r="1488">
      <c r="D1488" s="7"/>
      <c r="E1488" s="7"/>
      <c r="H1488" s="204"/>
    </row>
    <row r="1489">
      <c r="D1489" s="7"/>
      <c r="E1489" s="7"/>
      <c r="H1489" s="204"/>
    </row>
    <row r="1490">
      <c r="D1490" s="7"/>
      <c r="E1490" s="7"/>
      <c r="H1490" s="204"/>
    </row>
    <row r="1491">
      <c r="D1491" s="7"/>
      <c r="E1491" s="7"/>
      <c r="H1491" s="204"/>
    </row>
    <row r="1492">
      <c r="D1492" s="7"/>
      <c r="E1492" s="7"/>
      <c r="H1492" s="204"/>
    </row>
    <row r="1493">
      <c r="D1493" s="7"/>
      <c r="E1493" s="7"/>
      <c r="H1493" s="204"/>
    </row>
    <row r="1494">
      <c r="D1494" s="7"/>
      <c r="E1494" s="7"/>
      <c r="H1494" s="204"/>
    </row>
    <row r="1495">
      <c r="D1495" s="7"/>
      <c r="E1495" s="7"/>
      <c r="H1495" s="204"/>
    </row>
    <row r="1496">
      <c r="D1496" s="7"/>
      <c r="E1496" s="7"/>
      <c r="H1496" s="204"/>
    </row>
    <row r="1497">
      <c r="D1497" s="7"/>
      <c r="E1497" s="7"/>
      <c r="H1497" s="204"/>
    </row>
    <row r="1498">
      <c r="D1498" s="7"/>
      <c r="E1498" s="7"/>
      <c r="H1498" s="204"/>
    </row>
    <row r="1499">
      <c r="D1499" s="7"/>
      <c r="E1499" s="7"/>
      <c r="H1499" s="204"/>
    </row>
    <row r="1500">
      <c r="D1500" s="7"/>
      <c r="E1500" s="7"/>
      <c r="H1500" s="204"/>
    </row>
    <row r="1501">
      <c r="D1501" s="7"/>
      <c r="E1501" s="7"/>
      <c r="H1501" s="204"/>
    </row>
    <row r="1502">
      <c r="D1502" s="7"/>
      <c r="E1502" s="7"/>
      <c r="H1502" s="204"/>
    </row>
    <row r="1503">
      <c r="D1503" s="7"/>
      <c r="E1503" s="7"/>
      <c r="H1503" s="204"/>
    </row>
    <row r="1504">
      <c r="D1504" s="7"/>
      <c r="E1504" s="7"/>
      <c r="H1504" s="204"/>
    </row>
    <row r="1505">
      <c r="D1505" s="7"/>
      <c r="E1505" s="7"/>
      <c r="H1505" s="204"/>
    </row>
    <row r="1506">
      <c r="D1506" s="7"/>
      <c r="E1506" s="7"/>
      <c r="H1506" s="204"/>
    </row>
    <row r="1507">
      <c r="D1507" s="7"/>
      <c r="E1507" s="7"/>
      <c r="H1507" s="204"/>
    </row>
    <row r="1508">
      <c r="D1508" s="7"/>
      <c r="E1508" s="7"/>
      <c r="H1508" s="204"/>
    </row>
    <row r="1509">
      <c r="D1509" s="7"/>
      <c r="E1509" s="7"/>
      <c r="H1509" s="204"/>
    </row>
    <row r="1510">
      <c r="D1510" s="7"/>
      <c r="E1510" s="7"/>
      <c r="H1510" s="204"/>
    </row>
    <row r="1511">
      <c r="D1511" s="7"/>
      <c r="E1511" s="7"/>
      <c r="H1511" s="204"/>
    </row>
    <row r="1512">
      <c r="D1512" s="7"/>
      <c r="E1512" s="7"/>
      <c r="H1512" s="204"/>
    </row>
    <row r="1513">
      <c r="D1513" s="7"/>
      <c r="E1513" s="7"/>
      <c r="H1513" s="204"/>
    </row>
    <row r="1514">
      <c r="D1514" s="7"/>
      <c r="E1514" s="7"/>
      <c r="H1514" s="204"/>
    </row>
    <row r="1515">
      <c r="D1515" s="7"/>
      <c r="E1515" s="7"/>
      <c r="H1515" s="204"/>
    </row>
    <row r="1516">
      <c r="D1516" s="7"/>
      <c r="E1516" s="7"/>
      <c r="H1516" s="204"/>
    </row>
    <row r="1517">
      <c r="D1517" s="7"/>
      <c r="E1517" s="7"/>
      <c r="H1517" s="204"/>
    </row>
    <row r="1518">
      <c r="D1518" s="7"/>
      <c r="E1518" s="7"/>
      <c r="H1518" s="204"/>
    </row>
    <row r="1519">
      <c r="D1519" s="7"/>
      <c r="E1519" s="7"/>
      <c r="H1519" s="204"/>
    </row>
    <row r="1520">
      <c r="D1520" s="7"/>
      <c r="E1520" s="7"/>
      <c r="H1520" s="204"/>
    </row>
    <row r="1521">
      <c r="D1521" s="7"/>
      <c r="E1521" s="7"/>
      <c r="H1521" s="204"/>
    </row>
    <row r="1522">
      <c r="D1522" s="7"/>
      <c r="E1522" s="7"/>
      <c r="H1522" s="204"/>
    </row>
    <row r="1523">
      <c r="D1523" s="7"/>
      <c r="E1523" s="7"/>
      <c r="H1523" s="204"/>
    </row>
    <row r="1524">
      <c r="D1524" s="7"/>
      <c r="E1524" s="7"/>
      <c r="H1524" s="204"/>
    </row>
    <row r="1525">
      <c r="D1525" s="7"/>
      <c r="E1525" s="7"/>
      <c r="H1525" s="204"/>
    </row>
    <row r="1526">
      <c r="D1526" s="7"/>
      <c r="E1526" s="7"/>
      <c r="H1526" s="204"/>
    </row>
    <row r="1527">
      <c r="D1527" s="7"/>
      <c r="E1527" s="7"/>
      <c r="H1527" s="204"/>
    </row>
    <row r="1528">
      <c r="D1528" s="7"/>
      <c r="E1528" s="7"/>
      <c r="H1528" s="204"/>
    </row>
    <row r="1529">
      <c r="D1529" s="7"/>
      <c r="E1529" s="7"/>
      <c r="H1529" s="204"/>
    </row>
    <row r="1530">
      <c r="D1530" s="7"/>
      <c r="E1530" s="7"/>
      <c r="H1530" s="204"/>
    </row>
    <row r="1531">
      <c r="D1531" s="7"/>
      <c r="E1531" s="7"/>
      <c r="H1531" s="204"/>
    </row>
    <row r="1532">
      <c r="D1532" s="7"/>
      <c r="E1532" s="7"/>
      <c r="H1532" s="204"/>
    </row>
    <row r="1533">
      <c r="D1533" s="7"/>
      <c r="E1533" s="7"/>
      <c r="H1533" s="204"/>
    </row>
    <row r="1534">
      <c r="D1534" s="7"/>
      <c r="E1534" s="7"/>
      <c r="H1534" s="204"/>
    </row>
    <row r="1535">
      <c r="D1535" s="7"/>
      <c r="E1535" s="7"/>
      <c r="H1535" s="204"/>
    </row>
    <row r="1536">
      <c r="D1536" s="7"/>
      <c r="E1536" s="7"/>
      <c r="H1536" s="204"/>
    </row>
    <row r="1537">
      <c r="D1537" s="7"/>
      <c r="E1537" s="7"/>
      <c r="H1537" s="204"/>
    </row>
    <row r="1538">
      <c r="D1538" s="7"/>
      <c r="E1538" s="7"/>
      <c r="H1538" s="204"/>
    </row>
    <row r="1539">
      <c r="D1539" s="7"/>
      <c r="E1539" s="7"/>
      <c r="H1539" s="204"/>
    </row>
    <row r="1540">
      <c r="D1540" s="7"/>
      <c r="E1540" s="7"/>
      <c r="H1540" s="204"/>
    </row>
    <row r="1541">
      <c r="D1541" s="7"/>
      <c r="E1541" s="7"/>
      <c r="H1541" s="204"/>
    </row>
    <row r="1542">
      <c r="D1542" s="7"/>
      <c r="E1542" s="7"/>
      <c r="H1542" s="204"/>
    </row>
    <row r="1543">
      <c r="D1543" s="7"/>
      <c r="E1543" s="7"/>
      <c r="H1543" s="204"/>
    </row>
    <row r="1544">
      <c r="D1544" s="7"/>
      <c r="E1544" s="7"/>
      <c r="H1544" s="204"/>
    </row>
    <row r="1545">
      <c r="D1545" s="7"/>
      <c r="E1545" s="7"/>
      <c r="H1545" s="204"/>
    </row>
    <row r="1546">
      <c r="D1546" s="7"/>
      <c r="E1546" s="7"/>
      <c r="H1546" s="204"/>
    </row>
    <row r="1547">
      <c r="D1547" s="7"/>
      <c r="E1547" s="7"/>
      <c r="H1547" s="204"/>
    </row>
    <row r="1548">
      <c r="D1548" s="7"/>
      <c r="E1548" s="7"/>
      <c r="H1548" s="204"/>
    </row>
    <row r="1549">
      <c r="D1549" s="7"/>
      <c r="E1549" s="7"/>
      <c r="H1549" s="204"/>
    </row>
    <row r="1550">
      <c r="D1550" s="7"/>
      <c r="E1550" s="7"/>
      <c r="H1550" s="204"/>
    </row>
    <row r="1551">
      <c r="D1551" s="7"/>
      <c r="E1551" s="7"/>
      <c r="H1551" s="204"/>
    </row>
    <row r="1552">
      <c r="D1552" s="7"/>
      <c r="E1552" s="7"/>
      <c r="H1552" s="204"/>
    </row>
    <row r="1553">
      <c r="D1553" s="7"/>
      <c r="E1553" s="7"/>
      <c r="H1553" s="204"/>
    </row>
    <row r="1554">
      <c r="D1554" s="7"/>
      <c r="E1554" s="7"/>
      <c r="H1554" s="204"/>
    </row>
    <row r="1555">
      <c r="D1555" s="7"/>
      <c r="E1555" s="7"/>
      <c r="H1555" s="204"/>
    </row>
    <row r="1556">
      <c r="D1556" s="7"/>
      <c r="E1556" s="7"/>
      <c r="H1556" s="204"/>
    </row>
    <row r="1557">
      <c r="D1557" s="7"/>
      <c r="E1557" s="7"/>
      <c r="H1557" s="204"/>
    </row>
    <row r="1558">
      <c r="D1558" s="7"/>
      <c r="E1558" s="7"/>
      <c r="H1558" s="204"/>
    </row>
    <row r="1559">
      <c r="D1559" s="7"/>
      <c r="E1559" s="7"/>
      <c r="H1559" s="204"/>
    </row>
    <row r="1560">
      <c r="D1560" s="7"/>
      <c r="E1560" s="7"/>
      <c r="H1560" s="204"/>
    </row>
    <row r="1561">
      <c r="D1561" s="7"/>
      <c r="E1561" s="7"/>
      <c r="H1561" s="204"/>
    </row>
    <row r="1562">
      <c r="D1562" s="7"/>
      <c r="E1562" s="7"/>
      <c r="H1562" s="204"/>
    </row>
    <row r="1563">
      <c r="D1563" s="7"/>
      <c r="E1563" s="7"/>
      <c r="H1563" s="204"/>
    </row>
    <row r="1564">
      <c r="D1564" s="7"/>
      <c r="E1564" s="7"/>
      <c r="H1564" s="204"/>
    </row>
    <row r="1565">
      <c r="D1565" s="7"/>
      <c r="E1565" s="7"/>
      <c r="H1565" s="204"/>
    </row>
    <row r="1566">
      <c r="D1566" s="7"/>
      <c r="E1566" s="7"/>
      <c r="H1566" s="204"/>
    </row>
    <row r="1567">
      <c r="D1567" s="7"/>
      <c r="E1567" s="7"/>
      <c r="H1567" s="204"/>
    </row>
    <row r="1568">
      <c r="D1568" s="7"/>
      <c r="E1568" s="7"/>
      <c r="H1568" s="204"/>
    </row>
    <row r="1569">
      <c r="D1569" s="7"/>
      <c r="E1569" s="7"/>
      <c r="H1569" s="204"/>
    </row>
    <row r="1570">
      <c r="D1570" s="7"/>
      <c r="E1570" s="7"/>
      <c r="H1570" s="204"/>
    </row>
    <row r="1571">
      <c r="D1571" s="7"/>
      <c r="E1571" s="7"/>
      <c r="H1571" s="204"/>
    </row>
    <row r="1572">
      <c r="D1572" s="7"/>
      <c r="E1572" s="7"/>
      <c r="H1572" s="204"/>
    </row>
    <row r="1573">
      <c r="D1573" s="7"/>
      <c r="E1573" s="7"/>
      <c r="H1573" s="204"/>
    </row>
    <row r="1574">
      <c r="D1574" s="7"/>
      <c r="E1574" s="7"/>
      <c r="H1574" s="204"/>
    </row>
    <row r="1575">
      <c r="D1575" s="7"/>
      <c r="E1575" s="7"/>
      <c r="H1575" s="204"/>
    </row>
    <row r="1576">
      <c r="D1576" s="7"/>
      <c r="E1576" s="7"/>
      <c r="H1576" s="204"/>
    </row>
    <row r="1577">
      <c r="D1577" s="7"/>
      <c r="E1577" s="7"/>
      <c r="H1577" s="204"/>
    </row>
    <row r="1578">
      <c r="D1578" s="7"/>
      <c r="E1578" s="7"/>
      <c r="H1578" s="204"/>
    </row>
    <row r="1579">
      <c r="D1579" s="7"/>
      <c r="E1579" s="7"/>
      <c r="H1579" s="204"/>
    </row>
    <row r="1580">
      <c r="D1580" s="7"/>
      <c r="E1580" s="7"/>
      <c r="H1580" s="204"/>
    </row>
    <row r="1581">
      <c r="D1581" s="7"/>
      <c r="E1581" s="7"/>
      <c r="H1581" s="204"/>
    </row>
    <row r="1582">
      <c r="D1582" s="7"/>
      <c r="E1582" s="7"/>
      <c r="H1582" s="204"/>
    </row>
    <row r="1583">
      <c r="D1583" s="7"/>
      <c r="E1583" s="7"/>
      <c r="H1583" s="204"/>
    </row>
    <row r="1584">
      <c r="D1584" s="7"/>
      <c r="E1584" s="7"/>
      <c r="H1584" s="204"/>
    </row>
    <row r="1585">
      <c r="D1585" s="7"/>
      <c r="E1585" s="7"/>
      <c r="H1585" s="204"/>
    </row>
    <row r="1586">
      <c r="D1586" s="7"/>
      <c r="E1586" s="7"/>
      <c r="H1586" s="204"/>
    </row>
    <row r="1587">
      <c r="D1587" s="7"/>
      <c r="E1587" s="7"/>
      <c r="H1587" s="204"/>
    </row>
    <row r="1588">
      <c r="D1588" s="7"/>
      <c r="E1588" s="7"/>
      <c r="H1588" s="204"/>
    </row>
    <row r="1589">
      <c r="D1589" s="7"/>
      <c r="E1589" s="7"/>
      <c r="H1589" s="204"/>
    </row>
    <row r="1590">
      <c r="D1590" s="7"/>
      <c r="E1590" s="7"/>
      <c r="H1590" s="204"/>
    </row>
    <row r="1591">
      <c r="D1591" s="7"/>
      <c r="E1591" s="7"/>
      <c r="H1591" s="204"/>
    </row>
    <row r="1592">
      <c r="D1592" s="7"/>
      <c r="E1592" s="7"/>
      <c r="H1592" s="204"/>
    </row>
    <row r="1593">
      <c r="D1593" s="7"/>
      <c r="E1593" s="7"/>
      <c r="H1593" s="204"/>
    </row>
    <row r="1594">
      <c r="D1594" s="7"/>
      <c r="E1594" s="7"/>
      <c r="H1594" s="204"/>
    </row>
    <row r="1595">
      <c r="D1595" s="7"/>
      <c r="E1595" s="7"/>
      <c r="H1595" s="204"/>
    </row>
    <row r="1596">
      <c r="D1596" s="7"/>
      <c r="E1596" s="7"/>
      <c r="H1596" s="204"/>
    </row>
    <row r="1597">
      <c r="D1597" s="7"/>
      <c r="E1597" s="7"/>
      <c r="H1597" s="204"/>
    </row>
    <row r="1598">
      <c r="D1598" s="7"/>
      <c r="E1598" s="7"/>
      <c r="H1598" s="204"/>
    </row>
    <row r="1599">
      <c r="D1599" s="7"/>
      <c r="E1599" s="7"/>
      <c r="H1599" s="204"/>
    </row>
    <row r="1600">
      <c r="D1600" s="7"/>
      <c r="E1600" s="7"/>
      <c r="H1600" s="204"/>
    </row>
    <row r="1601">
      <c r="D1601" s="7"/>
      <c r="E1601" s="7"/>
      <c r="H1601" s="204"/>
    </row>
    <row r="1602">
      <c r="D1602" s="7"/>
      <c r="E1602" s="7"/>
      <c r="H1602" s="204"/>
    </row>
    <row r="1603">
      <c r="D1603" s="7"/>
      <c r="E1603" s="7"/>
      <c r="H1603" s="204"/>
    </row>
    <row r="1604">
      <c r="D1604" s="7"/>
      <c r="E1604" s="7"/>
      <c r="H1604" s="204"/>
    </row>
    <row r="1605">
      <c r="D1605" s="7"/>
      <c r="E1605" s="7"/>
      <c r="H1605" s="204"/>
    </row>
    <row r="1606">
      <c r="D1606" s="7"/>
      <c r="E1606" s="7"/>
      <c r="H1606" s="204"/>
    </row>
    <row r="1607">
      <c r="D1607" s="7"/>
      <c r="E1607" s="7"/>
      <c r="H1607" s="204"/>
    </row>
    <row r="1608">
      <c r="D1608" s="7"/>
      <c r="E1608" s="7"/>
      <c r="H1608" s="204"/>
    </row>
    <row r="1609">
      <c r="D1609" s="7"/>
      <c r="E1609" s="7"/>
      <c r="H1609" s="204"/>
    </row>
    <row r="1610">
      <c r="D1610" s="7"/>
      <c r="E1610" s="7"/>
      <c r="H1610" s="204"/>
    </row>
    <row r="1611">
      <c r="D1611" s="7"/>
      <c r="E1611" s="7"/>
      <c r="H1611" s="204"/>
    </row>
    <row r="1612">
      <c r="D1612" s="7"/>
      <c r="E1612" s="7"/>
      <c r="H1612" s="204"/>
    </row>
    <row r="1613">
      <c r="D1613" s="7"/>
      <c r="E1613" s="7"/>
      <c r="H1613" s="204"/>
    </row>
    <row r="1614">
      <c r="D1614" s="7"/>
      <c r="E1614" s="7"/>
      <c r="H1614" s="204"/>
    </row>
    <row r="1615">
      <c r="D1615" s="7"/>
      <c r="E1615" s="7"/>
      <c r="H1615" s="204"/>
    </row>
    <row r="1616">
      <c r="D1616" s="7"/>
      <c r="E1616" s="7"/>
      <c r="H1616" s="204"/>
    </row>
    <row r="1617">
      <c r="D1617" s="7"/>
      <c r="E1617" s="7"/>
      <c r="H1617" s="204"/>
    </row>
    <row r="1618">
      <c r="D1618" s="7"/>
      <c r="E1618" s="7"/>
      <c r="H1618" s="204"/>
    </row>
    <row r="1619">
      <c r="D1619" s="7"/>
      <c r="E1619" s="7"/>
      <c r="H1619" s="204"/>
    </row>
    <row r="1620">
      <c r="D1620" s="7"/>
      <c r="E1620" s="7"/>
      <c r="H1620" s="204"/>
    </row>
    <row r="1621">
      <c r="D1621" s="7"/>
      <c r="E1621" s="7"/>
      <c r="H1621" s="204"/>
    </row>
    <row r="1622">
      <c r="D1622" s="7"/>
      <c r="E1622" s="7"/>
      <c r="H1622" s="204"/>
    </row>
    <row r="1623">
      <c r="D1623" s="7"/>
      <c r="E1623" s="7"/>
      <c r="H1623" s="204"/>
    </row>
    <row r="1624">
      <c r="D1624" s="7"/>
      <c r="E1624" s="7"/>
      <c r="H1624" s="204"/>
    </row>
    <row r="1625">
      <c r="D1625" s="7"/>
      <c r="E1625" s="7"/>
      <c r="H1625" s="204"/>
    </row>
    <row r="1626">
      <c r="D1626" s="7"/>
      <c r="E1626" s="7"/>
      <c r="H1626" s="204"/>
    </row>
    <row r="1627">
      <c r="D1627" s="7"/>
      <c r="E1627" s="7"/>
      <c r="H1627" s="204"/>
    </row>
    <row r="1628">
      <c r="D1628" s="7"/>
      <c r="E1628" s="7"/>
      <c r="H1628" s="204"/>
    </row>
    <row r="1629">
      <c r="D1629" s="7"/>
      <c r="E1629" s="7"/>
      <c r="H1629" s="204"/>
    </row>
    <row r="1630">
      <c r="D1630" s="7"/>
      <c r="E1630" s="7"/>
      <c r="H1630" s="204"/>
    </row>
    <row r="1631">
      <c r="D1631" s="7"/>
      <c r="E1631" s="7"/>
      <c r="H1631" s="204"/>
    </row>
    <row r="1632">
      <c r="D1632" s="7"/>
      <c r="E1632" s="7"/>
      <c r="H1632" s="204"/>
    </row>
    <row r="1633">
      <c r="D1633" s="7"/>
      <c r="E1633" s="7"/>
      <c r="H1633" s="204"/>
    </row>
    <row r="1634">
      <c r="D1634" s="7"/>
      <c r="E1634" s="7"/>
      <c r="H1634" s="204"/>
    </row>
    <row r="1635">
      <c r="D1635" s="7"/>
      <c r="E1635" s="7"/>
      <c r="H1635" s="204"/>
    </row>
    <row r="1636">
      <c r="D1636" s="7"/>
      <c r="E1636" s="7"/>
      <c r="H1636" s="204"/>
    </row>
    <row r="1637">
      <c r="D1637" s="7"/>
      <c r="E1637" s="7"/>
      <c r="H1637" s="204"/>
    </row>
    <row r="1638">
      <c r="D1638" s="7"/>
      <c r="E1638" s="7"/>
      <c r="H1638" s="204"/>
    </row>
    <row r="1639">
      <c r="D1639" s="7"/>
      <c r="E1639" s="7"/>
      <c r="H1639" s="204"/>
    </row>
    <row r="1640">
      <c r="D1640" s="7"/>
      <c r="E1640" s="7"/>
      <c r="H1640" s="204"/>
    </row>
    <row r="1641">
      <c r="D1641" s="7"/>
      <c r="E1641" s="7"/>
      <c r="H1641" s="204"/>
    </row>
    <row r="1642">
      <c r="D1642" s="7"/>
      <c r="E1642" s="7"/>
      <c r="H1642" s="204"/>
    </row>
    <row r="1643">
      <c r="D1643" s="7"/>
      <c r="E1643" s="7"/>
      <c r="H1643" s="204"/>
    </row>
    <row r="1644">
      <c r="D1644" s="7"/>
      <c r="E1644" s="7"/>
      <c r="H1644" s="204"/>
    </row>
    <row r="1645">
      <c r="D1645" s="7"/>
      <c r="E1645" s="7"/>
      <c r="H1645" s="204"/>
    </row>
    <row r="1646">
      <c r="D1646" s="7"/>
      <c r="E1646" s="7"/>
      <c r="H1646" s="204"/>
    </row>
    <row r="1647">
      <c r="D1647" s="7"/>
      <c r="E1647" s="7"/>
      <c r="H1647" s="204"/>
    </row>
    <row r="1648">
      <c r="D1648" s="7"/>
      <c r="E1648" s="7"/>
      <c r="H1648" s="204"/>
    </row>
    <row r="1649">
      <c r="D1649" s="7"/>
      <c r="E1649" s="7"/>
      <c r="H1649" s="204"/>
    </row>
    <row r="1650">
      <c r="D1650" s="7"/>
      <c r="E1650" s="7"/>
      <c r="H1650" s="204"/>
    </row>
    <row r="1651">
      <c r="D1651" s="7"/>
      <c r="E1651" s="7"/>
      <c r="H1651" s="204"/>
    </row>
    <row r="1652">
      <c r="D1652" s="7"/>
      <c r="E1652" s="7"/>
      <c r="H1652" s="204"/>
    </row>
    <row r="1653">
      <c r="D1653" s="7"/>
      <c r="E1653" s="7"/>
      <c r="H1653" s="204"/>
    </row>
    <row r="1654">
      <c r="D1654" s="7"/>
      <c r="E1654" s="7"/>
      <c r="H1654" s="204"/>
    </row>
    <row r="1655">
      <c r="D1655" s="7"/>
      <c r="E1655" s="7"/>
      <c r="H1655" s="204"/>
    </row>
    <row r="1656">
      <c r="D1656" s="7"/>
      <c r="E1656" s="7"/>
      <c r="H1656" s="204"/>
    </row>
    <row r="1657">
      <c r="D1657" s="7"/>
      <c r="E1657" s="7"/>
      <c r="H1657" s="204"/>
    </row>
    <row r="1658">
      <c r="D1658" s="7"/>
      <c r="E1658" s="7"/>
      <c r="H1658" s="204"/>
    </row>
    <row r="1659">
      <c r="D1659" s="7"/>
      <c r="E1659" s="7"/>
      <c r="H1659" s="204"/>
    </row>
    <row r="1660">
      <c r="D1660" s="7"/>
      <c r="E1660" s="7"/>
      <c r="H1660" s="204"/>
    </row>
    <row r="1661">
      <c r="D1661" s="7"/>
      <c r="E1661" s="7"/>
      <c r="H1661" s="204"/>
    </row>
    <row r="1662">
      <c r="D1662" s="7"/>
      <c r="E1662" s="7"/>
      <c r="H1662" s="204"/>
    </row>
    <row r="1663">
      <c r="D1663" s="7"/>
      <c r="E1663" s="7"/>
      <c r="H1663" s="204"/>
    </row>
    <row r="1664">
      <c r="D1664" s="7"/>
      <c r="E1664" s="7"/>
      <c r="H1664" s="204"/>
    </row>
    <row r="1665">
      <c r="D1665" s="7"/>
      <c r="E1665" s="7"/>
      <c r="H1665" s="204"/>
    </row>
    <row r="1666">
      <c r="D1666" s="7"/>
      <c r="E1666" s="7"/>
      <c r="H1666" s="204"/>
    </row>
    <row r="1667">
      <c r="D1667" s="7"/>
      <c r="E1667" s="7"/>
      <c r="H1667" s="204"/>
    </row>
    <row r="1668">
      <c r="D1668" s="7"/>
      <c r="E1668" s="7"/>
      <c r="H1668" s="204"/>
    </row>
    <row r="1669">
      <c r="D1669" s="7"/>
      <c r="E1669" s="7"/>
      <c r="H1669" s="204"/>
    </row>
    <row r="1670">
      <c r="D1670" s="7"/>
      <c r="E1670" s="7"/>
      <c r="H1670" s="204"/>
    </row>
    <row r="1671">
      <c r="D1671" s="7"/>
      <c r="E1671" s="7"/>
      <c r="H1671" s="204"/>
    </row>
    <row r="1672">
      <c r="D1672" s="7"/>
      <c r="E1672" s="7"/>
      <c r="H1672" s="204"/>
    </row>
    <row r="1673">
      <c r="D1673" s="7"/>
      <c r="E1673" s="7"/>
      <c r="H1673" s="204"/>
    </row>
    <row r="1674">
      <c r="D1674" s="7"/>
      <c r="E1674" s="7"/>
      <c r="H1674" s="204"/>
    </row>
    <row r="1675">
      <c r="D1675" s="7"/>
      <c r="E1675" s="7"/>
      <c r="H1675" s="204"/>
    </row>
    <row r="1676">
      <c r="D1676" s="7"/>
      <c r="E1676" s="7"/>
      <c r="H1676" s="204"/>
    </row>
    <row r="1677">
      <c r="D1677" s="7"/>
      <c r="E1677" s="7"/>
      <c r="H1677" s="204"/>
    </row>
    <row r="1678">
      <c r="D1678" s="7"/>
      <c r="E1678" s="7"/>
      <c r="H1678" s="204"/>
    </row>
    <row r="1679">
      <c r="D1679" s="7"/>
      <c r="E1679" s="7"/>
      <c r="H1679" s="204"/>
    </row>
    <row r="1680">
      <c r="D1680" s="7"/>
      <c r="E1680" s="7"/>
      <c r="H1680" s="204"/>
    </row>
    <row r="1681">
      <c r="D1681" s="7"/>
      <c r="E1681" s="7"/>
      <c r="H1681" s="204"/>
    </row>
    <row r="1682">
      <c r="D1682" s="7"/>
      <c r="E1682" s="7"/>
      <c r="H1682" s="204"/>
    </row>
    <row r="1683">
      <c r="D1683" s="7"/>
      <c r="E1683" s="7"/>
      <c r="H1683" s="204"/>
    </row>
    <row r="1684">
      <c r="D1684" s="7"/>
      <c r="E1684" s="7"/>
      <c r="H1684" s="204"/>
    </row>
    <row r="1685">
      <c r="D1685" s="7"/>
      <c r="E1685" s="7"/>
      <c r="H1685" s="204"/>
    </row>
    <row r="1686">
      <c r="D1686" s="7"/>
      <c r="E1686" s="7"/>
      <c r="H1686" s="204"/>
    </row>
    <row r="1687">
      <c r="D1687" s="7"/>
      <c r="E1687" s="7"/>
      <c r="H1687" s="204"/>
    </row>
    <row r="1688">
      <c r="D1688" s="7"/>
      <c r="E1688" s="7"/>
      <c r="H1688" s="204"/>
    </row>
    <row r="1689">
      <c r="D1689" s="7"/>
      <c r="E1689" s="7"/>
      <c r="H1689" s="204"/>
    </row>
    <row r="1690">
      <c r="D1690" s="7"/>
      <c r="E1690" s="7"/>
      <c r="H1690" s="204"/>
    </row>
    <row r="1691">
      <c r="D1691" s="7"/>
      <c r="E1691" s="7"/>
      <c r="H1691" s="204"/>
    </row>
    <row r="1692">
      <c r="D1692" s="7"/>
      <c r="E1692" s="7"/>
      <c r="H1692" s="204"/>
    </row>
    <row r="1693">
      <c r="D1693" s="7"/>
      <c r="E1693" s="7"/>
      <c r="H1693" s="204"/>
    </row>
    <row r="1694">
      <c r="D1694" s="7"/>
      <c r="E1694" s="7"/>
      <c r="H1694" s="204"/>
    </row>
    <row r="1695">
      <c r="D1695" s="7"/>
      <c r="E1695" s="7"/>
      <c r="H1695" s="204"/>
    </row>
    <row r="1696">
      <c r="D1696" s="7"/>
      <c r="E1696" s="7"/>
      <c r="H1696" s="204"/>
    </row>
    <row r="1697">
      <c r="D1697" s="7"/>
      <c r="E1697" s="7"/>
      <c r="H1697" s="204"/>
    </row>
    <row r="1698">
      <c r="D1698" s="7"/>
      <c r="E1698" s="7"/>
      <c r="H1698" s="204"/>
    </row>
    <row r="1699">
      <c r="D1699" s="7"/>
      <c r="E1699" s="7"/>
      <c r="H1699" s="204"/>
    </row>
    <row r="1700">
      <c r="D1700" s="7"/>
      <c r="E1700" s="7"/>
      <c r="H1700" s="204"/>
    </row>
    <row r="1701">
      <c r="D1701" s="7"/>
      <c r="E1701" s="7"/>
      <c r="H1701" s="204"/>
    </row>
    <row r="1702">
      <c r="D1702" s="7"/>
      <c r="E1702" s="7"/>
      <c r="H1702" s="204"/>
    </row>
    <row r="1703">
      <c r="D1703" s="7"/>
      <c r="E1703" s="7"/>
      <c r="H1703" s="204"/>
    </row>
    <row r="1704">
      <c r="D1704" s="7"/>
      <c r="E1704" s="7"/>
      <c r="H1704" s="204"/>
    </row>
    <row r="1705">
      <c r="D1705" s="7"/>
      <c r="E1705" s="7"/>
      <c r="H1705" s="204"/>
    </row>
    <row r="1706">
      <c r="D1706" s="7"/>
      <c r="E1706" s="7"/>
      <c r="H1706" s="204"/>
    </row>
    <row r="1707">
      <c r="D1707" s="7"/>
      <c r="E1707" s="7"/>
      <c r="H1707" s="204"/>
    </row>
    <row r="1708">
      <c r="D1708" s="7"/>
      <c r="E1708" s="7"/>
      <c r="H1708" s="204"/>
    </row>
    <row r="1709">
      <c r="D1709" s="7"/>
      <c r="E1709" s="7"/>
      <c r="H1709" s="204"/>
    </row>
    <row r="1710">
      <c r="D1710" s="7"/>
      <c r="E1710" s="7"/>
      <c r="H1710" s="204"/>
    </row>
    <row r="1711">
      <c r="D1711" s="7"/>
      <c r="E1711" s="7"/>
      <c r="H1711" s="204"/>
    </row>
    <row r="1712">
      <c r="D1712" s="7"/>
      <c r="E1712" s="7"/>
      <c r="H1712" s="204"/>
    </row>
    <row r="1713">
      <c r="D1713" s="7"/>
      <c r="E1713" s="7"/>
      <c r="H1713" s="204"/>
    </row>
    <row r="1714">
      <c r="D1714" s="7"/>
      <c r="E1714" s="7"/>
      <c r="H1714" s="204"/>
    </row>
    <row r="1715">
      <c r="D1715" s="7"/>
      <c r="E1715" s="7"/>
      <c r="H1715" s="204"/>
    </row>
    <row r="1716">
      <c r="D1716" s="7"/>
      <c r="E1716" s="7"/>
      <c r="H1716" s="204"/>
    </row>
    <row r="1717">
      <c r="D1717" s="7"/>
      <c r="E1717" s="7"/>
      <c r="H1717" s="204"/>
    </row>
    <row r="1718">
      <c r="D1718" s="7"/>
      <c r="E1718" s="7"/>
      <c r="H1718" s="204"/>
    </row>
    <row r="1719">
      <c r="D1719" s="7"/>
      <c r="E1719" s="7"/>
      <c r="H1719" s="204"/>
    </row>
    <row r="1720">
      <c r="D1720" s="7"/>
      <c r="E1720" s="7"/>
      <c r="H1720" s="204"/>
    </row>
    <row r="1721">
      <c r="D1721" s="7"/>
      <c r="E1721" s="7"/>
      <c r="H1721" s="204"/>
    </row>
    <row r="1722">
      <c r="D1722" s="7"/>
      <c r="E1722" s="7"/>
      <c r="H1722" s="204"/>
    </row>
    <row r="1723">
      <c r="D1723" s="7"/>
      <c r="E1723" s="7"/>
      <c r="H1723" s="204"/>
    </row>
    <row r="1724">
      <c r="D1724" s="7"/>
      <c r="E1724" s="7"/>
      <c r="H1724" s="204"/>
    </row>
    <row r="1725">
      <c r="D1725" s="7"/>
      <c r="E1725" s="7"/>
      <c r="H1725" s="204"/>
    </row>
    <row r="1726">
      <c r="D1726" s="7"/>
      <c r="E1726" s="7"/>
      <c r="H1726" s="204"/>
    </row>
    <row r="1727">
      <c r="D1727" s="7"/>
      <c r="E1727" s="7"/>
      <c r="H1727" s="204"/>
    </row>
    <row r="1728">
      <c r="D1728" s="7"/>
      <c r="E1728" s="7"/>
      <c r="H1728" s="204"/>
    </row>
    <row r="1729">
      <c r="D1729" s="7"/>
      <c r="E1729" s="7"/>
      <c r="H1729" s="204"/>
    </row>
    <row r="1730">
      <c r="D1730" s="7"/>
      <c r="E1730" s="7"/>
      <c r="H1730" s="204"/>
    </row>
    <row r="1731">
      <c r="D1731" s="7"/>
      <c r="E1731" s="7"/>
      <c r="H1731" s="204"/>
    </row>
    <row r="1732">
      <c r="D1732" s="7"/>
      <c r="E1732" s="7"/>
      <c r="H1732" s="204"/>
    </row>
    <row r="1733">
      <c r="D1733" s="7"/>
      <c r="E1733" s="7"/>
      <c r="H1733" s="204"/>
    </row>
    <row r="1734">
      <c r="D1734" s="7"/>
      <c r="E1734" s="7"/>
      <c r="H1734" s="204"/>
    </row>
    <row r="1735">
      <c r="D1735" s="7"/>
      <c r="E1735" s="7"/>
      <c r="H1735" s="204"/>
    </row>
    <row r="1736">
      <c r="D1736" s="7"/>
      <c r="E1736" s="7"/>
      <c r="H1736" s="204"/>
    </row>
    <row r="1737">
      <c r="D1737" s="7"/>
      <c r="E1737" s="7"/>
      <c r="H1737" s="204"/>
    </row>
    <row r="1738">
      <c r="D1738" s="7"/>
      <c r="E1738" s="7"/>
      <c r="H1738" s="204"/>
    </row>
    <row r="1739">
      <c r="D1739" s="7"/>
      <c r="E1739" s="7"/>
      <c r="H1739" s="204"/>
    </row>
    <row r="1740">
      <c r="D1740" s="7"/>
      <c r="E1740" s="7"/>
      <c r="H1740" s="204"/>
    </row>
    <row r="1741">
      <c r="D1741" s="7"/>
      <c r="E1741" s="7"/>
      <c r="H1741" s="204"/>
    </row>
    <row r="1742">
      <c r="D1742" s="7"/>
      <c r="E1742" s="7"/>
      <c r="H1742" s="204"/>
    </row>
    <row r="1743">
      <c r="D1743" s="7"/>
      <c r="E1743" s="7"/>
      <c r="H1743" s="204"/>
    </row>
    <row r="1744">
      <c r="D1744" s="7"/>
      <c r="E1744" s="7"/>
      <c r="H1744" s="204"/>
    </row>
    <row r="1745">
      <c r="D1745" s="7"/>
      <c r="E1745" s="7"/>
      <c r="H1745" s="204"/>
    </row>
    <row r="1746">
      <c r="D1746" s="7"/>
      <c r="E1746" s="7"/>
      <c r="H1746" s="204"/>
    </row>
    <row r="1747">
      <c r="D1747" s="7"/>
      <c r="E1747" s="7"/>
      <c r="H1747" s="204"/>
    </row>
    <row r="1748">
      <c r="D1748" s="7"/>
      <c r="E1748" s="7"/>
      <c r="H1748" s="204"/>
    </row>
    <row r="1749">
      <c r="D1749" s="7"/>
      <c r="E1749" s="7"/>
      <c r="H1749" s="204"/>
    </row>
    <row r="1750">
      <c r="D1750" s="7"/>
      <c r="E1750" s="7"/>
      <c r="H1750" s="204"/>
    </row>
    <row r="1751">
      <c r="D1751" s="7"/>
      <c r="E1751" s="7"/>
      <c r="H1751" s="204"/>
    </row>
    <row r="1752">
      <c r="D1752" s="7"/>
      <c r="E1752" s="7"/>
      <c r="H1752" s="204"/>
    </row>
    <row r="1753">
      <c r="D1753" s="7"/>
      <c r="E1753" s="7"/>
      <c r="H1753" s="204"/>
    </row>
    <row r="1754">
      <c r="D1754" s="7"/>
      <c r="E1754" s="7"/>
      <c r="H1754" s="204"/>
    </row>
    <row r="1755">
      <c r="D1755" s="7"/>
      <c r="E1755" s="7"/>
      <c r="H1755" s="204"/>
    </row>
    <row r="1756">
      <c r="D1756" s="7"/>
      <c r="E1756" s="7"/>
      <c r="H1756" s="204"/>
    </row>
    <row r="1757">
      <c r="D1757" s="7"/>
      <c r="E1757" s="7"/>
      <c r="H1757" s="204"/>
    </row>
    <row r="1758">
      <c r="D1758" s="7"/>
      <c r="E1758" s="7"/>
      <c r="H1758" s="204"/>
    </row>
    <row r="1759">
      <c r="D1759" s="7"/>
      <c r="E1759" s="7"/>
      <c r="H1759" s="204"/>
    </row>
    <row r="1760">
      <c r="D1760" s="7"/>
      <c r="E1760" s="7"/>
      <c r="H1760" s="204"/>
    </row>
    <row r="1761">
      <c r="D1761" s="7"/>
      <c r="E1761" s="7"/>
      <c r="H1761" s="204"/>
    </row>
    <row r="1762">
      <c r="D1762" s="7"/>
      <c r="E1762" s="7"/>
      <c r="H1762" s="204"/>
    </row>
    <row r="1763">
      <c r="D1763" s="7"/>
      <c r="E1763" s="7"/>
      <c r="H1763" s="204"/>
    </row>
    <row r="1764">
      <c r="D1764" s="7"/>
      <c r="E1764" s="7"/>
      <c r="H1764" s="204"/>
    </row>
    <row r="1765">
      <c r="D1765" s="7"/>
      <c r="E1765" s="7"/>
      <c r="H1765" s="204"/>
    </row>
    <row r="1766">
      <c r="D1766" s="7"/>
      <c r="E1766" s="7"/>
      <c r="H1766" s="204"/>
    </row>
    <row r="1767">
      <c r="D1767" s="7"/>
      <c r="E1767" s="7"/>
      <c r="H1767" s="204"/>
    </row>
    <row r="1768">
      <c r="D1768" s="7"/>
      <c r="E1768" s="7"/>
      <c r="H1768" s="204"/>
    </row>
    <row r="1769">
      <c r="D1769" s="7"/>
      <c r="E1769" s="7"/>
      <c r="H1769" s="204"/>
    </row>
    <row r="1770">
      <c r="D1770" s="7"/>
      <c r="E1770" s="7"/>
      <c r="H1770" s="204"/>
    </row>
    <row r="1771">
      <c r="D1771" s="7"/>
      <c r="E1771" s="7"/>
      <c r="H1771" s="204"/>
    </row>
    <row r="1772">
      <c r="D1772" s="7"/>
      <c r="E1772" s="7"/>
      <c r="H1772" s="204"/>
    </row>
    <row r="1773">
      <c r="D1773" s="7"/>
      <c r="E1773" s="7"/>
      <c r="H1773" s="204"/>
    </row>
    <row r="1774">
      <c r="D1774" s="7"/>
      <c r="E1774" s="7"/>
      <c r="H1774" s="204"/>
    </row>
    <row r="1775">
      <c r="D1775" s="7"/>
      <c r="E1775" s="7"/>
      <c r="H1775" s="204"/>
    </row>
    <row r="1776">
      <c r="D1776" s="7"/>
      <c r="E1776" s="7"/>
      <c r="H1776" s="204"/>
    </row>
    <row r="1777">
      <c r="D1777" s="7"/>
      <c r="E1777" s="7"/>
      <c r="H1777" s="204"/>
    </row>
    <row r="1778">
      <c r="D1778" s="7"/>
      <c r="E1778" s="7"/>
      <c r="H1778" s="204"/>
    </row>
    <row r="1779">
      <c r="D1779" s="7"/>
      <c r="E1779" s="7"/>
      <c r="H1779" s="204"/>
    </row>
    <row r="1780">
      <c r="D1780" s="7"/>
      <c r="E1780" s="7"/>
      <c r="H1780" s="204"/>
    </row>
    <row r="1781">
      <c r="D1781" s="7"/>
      <c r="E1781" s="7"/>
      <c r="H1781" s="204"/>
    </row>
    <row r="1782">
      <c r="D1782" s="7"/>
      <c r="E1782" s="7"/>
      <c r="H1782" s="204"/>
    </row>
    <row r="1783">
      <c r="D1783" s="7"/>
      <c r="E1783" s="7"/>
      <c r="H1783" s="204"/>
    </row>
    <row r="1784">
      <c r="D1784" s="7"/>
      <c r="E1784" s="7"/>
      <c r="H1784" s="204"/>
    </row>
    <row r="1785">
      <c r="D1785" s="7"/>
      <c r="E1785" s="7"/>
      <c r="H1785" s="204"/>
    </row>
    <row r="1786">
      <c r="D1786" s="7"/>
      <c r="E1786" s="7"/>
      <c r="H1786" s="204"/>
    </row>
    <row r="1787">
      <c r="D1787" s="7"/>
      <c r="E1787" s="7"/>
      <c r="H1787" s="204"/>
    </row>
    <row r="1788">
      <c r="D1788" s="7"/>
      <c r="E1788" s="7"/>
      <c r="H1788" s="204"/>
    </row>
    <row r="1789">
      <c r="D1789" s="7"/>
      <c r="E1789" s="7"/>
      <c r="H1789" s="204"/>
    </row>
    <row r="1790">
      <c r="D1790" s="7"/>
      <c r="E1790" s="7"/>
      <c r="H1790" s="204"/>
    </row>
    <row r="1791">
      <c r="D1791" s="7"/>
      <c r="E1791" s="7"/>
      <c r="H1791" s="204"/>
    </row>
    <row r="1792">
      <c r="D1792" s="7"/>
      <c r="E1792" s="7"/>
      <c r="H1792" s="204"/>
    </row>
    <row r="1793">
      <c r="D1793" s="7"/>
      <c r="E1793" s="7"/>
      <c r="H1793" s="204"/>
    </row>
    <row r="1794">
      <c r="D1794" s="7"/>
      <c r="E1794" s="7"/>
      <c r="H1794" s="204"/>
    </row>
    <row r="1795">
      <c r="D1795" s="7"/>
      <c r="E1795" s="7"/>
      <c r="H1795" s="204"/>
    </row>
    <row r="1796">
      <c r="D1796" s="7"/>
      <c r="E1796" s="7"/>
      <c r="H1796" s="204"/>
    </row>
    <row r="1797">
      <c r="D1797" s="7"/>
      <c r="E1797" s="7"/>
      <c r="H1797" s="204"/>
    </row>
    <row r="1798">
      <c r="D1798" s="7"/>
      <c r="E1798" s="7"/>
      <c r="H1798" s="204"/>
    </row>
    <row r="1799">
      <c r="D1799" s="7"/>
      <c r="E1799" s="7"/>
      <c r="H1799" s="204"/>
    </row>
    <row r="1800">
      <c r="D1800" s="7"/>
      <c r="E1800" s="7"/>
      <c r="H1800" s="204"/>
    </row>
    <row r="1801">
      <c r="D1801" s="7"/>
      <c r="E1801" s="7"/>
      <c r="H1801" s="204"/>
    </row>
    <row r="1802">
      <c r="D1802" s="7"/>
      <c r="E1802" s="7"/>
      <c r="H1802" s="204"/>
    </row>
    <row r="1803">
      <c r="D1803" s="7"/>
      <c r="E1803" s="7"/>
      <c r="H1803" s="204"/>
    </row>
    <row r="1804">
      <c r="D1804" s="7"/>
      <c r="E1804" s="7"/>
      <c r="H1804" s="204"/>
    </row>
    <row r="1805">
      <c r="D1805" s="7"/>
      <c r="E1805" s="7"/>
      <c r="H1805" s="204"/>
    </row>
    <row r="1806">
      <c r="D1806" s="7"/>
      <c r="E1806" s="7"/>
      <c r="H1806" s="204"/>
    </row>
    <row r="1807">
      <c r="D1807" s="7"/>
      <c r="E1807" s="7"/>
      <c r="H1807" s="204"/>
    </row>
    <row r="1808">
      <c r="D1808" s="7"/>
      <c r="E1808" s="7"/>
      <c r="H1808" s="204"/>
    </row>
    <row r="1809">
      <c r="D1809" s="7"/>
      <c r="E1809" s="7"/>
      <c r="H1809" s="204"/>
    </row>
    <row r="1810">
      <c r="D1810" s="7"/>
      <c r="E1810" s="7"/>
      <c r="H1810" s="204"/>
    </row>
    <row r="1811">
      <c r="D1811" s="7"/>
      <c r="E1811" s="7"/>
      <c r="H1811" s="204"/>
    </row>
    <row r="1812">
      <c r="D1812" s="7"/>
      <c r="E1812" s="7"/>
      <c r="H1812" s="204"/>
    </row>
    <row r="1813">
      <c r="D1813" s="7"/>
      <c r="E1813" s="7"/>
      <c r="H1813" s="204"/>
    </row>
    <row r="1814">
      <c r="D1814" s="7"/>
      <c r="E1814" s="7"/>
      <c r="H1814" s="204"/>
    </row>
    <row r="1815">
      <c r="D1815" s="7"/>
      <c r="E1815" s="7"/>
      <c r="H1815" s="204"/>
    </row>
    <row r="1816">
      <c r="D1816" s="7"/>
      <c r="E1816" s="7"/>
      <c r="H1816" s="204"/>
    </row>
    <row r="1817">
      <c r="D1817" s="7"/>
      <c r="E1817" s="7"/>
      <c r="H1817" s="204"/>
    </row>
    <row r="1818">
      <c r="D1818" s="7"/>
      <c r="E1818" s="7"/>
      <c r="H1818" s="204"/>
    </row>
    <row r="1819">
      <c r="D1819" s="7"/>
      <c r="E1819" s="7"/>
      <c r="H1819" s="204"/>
    </row>
    <row r="1820">
      <c r="D1820" s="7"/>
      <c r="E1820" s="7"/>
      <c r="H1820" s="204"/>
    </row>
    <row r="1821">
      <c r="D1821" s="7"/>
      <c r="E1821" s="7"/>
      <c r="H1821" s="204"/>
    </row>
    <row r="1822">
      <c r="D1822" s="7"/>
      <c r="E1822" s="7"/>
      <c r="H1822" s="204"/>
    </row>
    <row r="1823">
      <c r="D1823" s="7"/>
      <c r="E1823" s="7"/>
      <c r="H1823" s="204"/>
    </row>
    <row r="1824">
      <c r="D1824" s="7"/>
      <c r="E1824" s="7"/>
      <c r="H1824" s="204"/>
    </row>
    <row r="1825">
      <c r="D1825" s="7"/>
      <c r="E1825" s="7"/>
      <c r="H1825" s="204"/>
    </row>
    <row r="1826">
      <c r="D1826" s="7"/>
      <c r="E1826" s="7"/>
      <c r="H1826" s="204"/>
    </row>
    <row r="1827">
      <c r="D1827" s="7"/>
      <c r="E1827" s="7"/>
      <c r="H1827" s="204"/>
    </row>
    <row r="1828">
      <c r="D1828" s="7"/>
      <c r="E1828" s="7"/>
      <c r="H1828" s="204"/>
    </row>
    <row r="1829">
      <c r="D1829" s="7"/>
      <c r="E1829" s="7"/>
      <c r="H1829" s="204"/>
    </row>
    <row r="1830">
      <c r="D1830" s="7"/>
      <c r="E1830" s="7"/>
      <c r="H1830" s="204"/>
    </row>
    <row r="1831">
      <c r="D1831" s="7"/>
      <c r="E1831" s="7"/>
      <c r="H1831" s="204"/>
    </row>
    <row r="1832">
      <c r="D1832" s="7"/>
      <c r="E1832" s="7"/>
      <c r="H1832" s="204"/>
    </row>
    <row r="1833">
      <c r="D1833" s="7"/>
      <c r="E1833" s="7"/>
      <c r="H1833" s="204"/>
    </row>
    <row r="1834">
      <c r="D1834" s="7"/>
      <c r="E1834" s="7"/>
      <c r="H1834" s="204"/>
    </row>
    <row r="1835">
      <c r="D1835" s="7"/>
      <c r="E1835" s="7"/>
      <c r="H1835" s="204"/>
    </row>
    <row r="1836">
      <c r="D1836" s="7"/>
      <c r="E1836" s="7"/>
      <c r="H1836" s="204"/>
    </row>
    <row r="1837">
      <c r="D1837" s="7"/>
      <c r="E1837" s="7"/>
      <c r="H1837" s="204"/>
    </row>
    <row r="1838">
      <c r="D1838" s="7"/>
      <c r="E1838" s="7"/>
      <c r="H1838" s="204"/>
    </row>
    <row r="1839">
      <c r="D1839" s="7"/>
      <c r="E1839" s="7"/>
      <c r="H1839" s="204"/>
    </row>
    <row r="1840">
      <c r="D1840" s="7"/>
      <c r="E1840" s="7"/>
      <c r="H1840" s="204"/>
    </row>
    <row r="1841">
      <c r="D1841" s="7"/>
      <c r="E1841" s="7"/>
      <c r="H1841" s="204"/>
    </row>
    <row r="1842">
      <c r="D1842" s="7"/>
      <c r="E1842" s="7"/>
      <c r="H1842" s="204"/>
    </row>
    <row r="1843">
      <c r="D1843" s="7"/>
      <c r="E1843" s="7"/>
      <c r="H1843" s="204"/>
    </row>
    <row r="1844">
      <c r="D1844" s="7"/>
      <c r="E1844" s="7"/>
      <c r="H1844" s="204"/>
    </row>
    <row r="1845">
      <c r="D1845" s="7"/>
      <c r="E1845" s="7"/>
      <c r="H1845" s="204"/>
    </row>
    <row r="1846">
      <c r="D1846" s="7"/>
      <c r="E1846" s="7"/>
      <c r="H1846" s="204"/>
    </row>
    <row r="1847">
      <c r="D1847" s="7"/>
      <c r="E1847" s="7"/>
      <c r="H1847" s="204"/>
    </row>
    <row r="1848">
      <c r="D1848" s="7"/>
      <c r="E1848" s="7"/>
      <c r="H1848" s="204"/>
    </row>
    <row r="1849">
      <c r="D1849" s="7"/>
      <c r="E1849" s="7"/>
      <c r="H1849" s="204"/>
    </row>
    <row r="1850">
      <c r="D1850" s="7"/>
      <c r="E1850" s="7"/>
      <c r="H1850" s="204"/>
    </row>
    <row r="1851">
      <c r="D1851" s="7"/>
      <c r="E1851" s="7"/>
      <c r="H1851" s="204"/>
    </row>
    <row r="1852">
      <c r="D1852" s="7"/>
      <c r="E1852" s="7"/>
      <c r="H1852" s="204"/>
    </row>
    <row r="1853">
      <c r="D1853" s="7"/>
      <c r="E1853" s="7"/>
      <c r="H1853" s="204"/>
    </row>
    <row r="1854">
      <c r="D1854" s="7"/>
      <c r="E1854" s="7"/>
      <c r="H1854" s="204"/>
    </row>
    <row r="1855">
      <c r="D1855" s="7"/>
      <c r="E1855" s="7"/>
      <c r="H1855" s="204"/>
    </row>
    <row r="1856">
      <c r="D1856" s="7"/>
      <c r="E1856" s="7"/>
      <c r="H1856" s="204"/>
    </row>
    <row r="1857">
      <c r="D1857" s="7"/>
      <c r="E1857" s="7"/>
      <c r="H1857" s="204"/>
    </row>
    <row r="1858">
      <c r="D1858" s="7"/>
      <c r="E1858" s="7"/>
      <c r="H1858" s="204"/>
    </row>
    <row r="1859">
      <c r="D1859" s="7"/>
      <c r="E1859" s="7"/>
      <c r="H1859" s="204"/>
    </row>
    <row r="1860">
      <c r="D1860" s="7"/>
      <c r="E1860" s="7"/>
      <c r="H1860" s="204"/>
    </row>
    <row r="1861">
      <c r="D1861" s="7"/>
      <c r="E1861" s="7"/>
      <c r="H1861" s="204"/>
    </row>
    <row r="1862">
      <c r="D1862" s="7"/>
      <c r="E1862" s="7"/>
      <c r="H1862" s="204"/>
    </row>
    <row r="1863">
      <c r="D1863" s="7"/>
      <c r="E1863" s="7"/>
      <c r="H1863" s="204"/>
    </row>
    <row r="1864">
      <c r="D1864" s="7"/>
      <c r="E1864" s="7"/>
      <c r="H1864" s="204"/>
    </row>
    <row r="1865">
      <c r="D1865" s="7"/>
      <c r="E1865" s="7"/>
      <c r="H1865" s="204"/>
    </row>
    <row r="1866">
      <c r="D1866" s="7"/>
      <c r="E1866" s="7"/>
      <c r="H1866" s="204"/>
    </row>
    <row r="1867">
      <c r="D1867" s="7"/>
      <c r="E1867" s="7"/>
      <c r="H1867" s="204"/>
    </row>
    <row r="1868">
      <c r="D1868" s="7"/>
      <c r="E1868" s="7"/>
      <c r="H1868" s="204"/>
    </row>
    <row r="1869">
      <c r="D1869" s="7"/>
      <c r="E1869" s="7"/>
      <c r="H1869" s="204"/>
    </row>
    <row r="1870">
      <c r="D1870" s="7"/>
      <c r="E1870" s="7"/>
      <c r="H1870" s="204"/>
    </row>
    <row r="1871">
      <c r="D1871" s="7"/>
      <c r="E1871" s="7"/>
      <c r="H1871" s="204"/>
    </row>
    <row r="1872">
      <c r="D1872" s="7"/>
      <c r="E1872" s="7"/>
      <c r="H1872" s="204"/>
    </row>
    <row r="1873">
      <c r="D1873" s="7"/>
      <c r="E1873" s="7"/>
      <c r="H1873" s="204"/>
    </row>
    <row r="1874">
      <c r="D1874" s="7"/>
      <c r="E1874" s="7"/>
      <c r="H1874" s="204"/>
    </row>
    <row r="1875">
      <c r="D1875" s="7"/>
      <c r="E1875" s="7"/>
      <c r="H1875" s="204"/>
    </row>
    <row r="1876">
      <c r="D1876" s="7"/>
      <c r="E1876" s="7"/>
      <c r="H1876" s="204"/>
    </row>
    <row r="1877">
      <c r="D1877" s="7"/>
      <c r="E1877" s="7"/>
      <c r="H1877" s="204"/>
    </row>
    <row r="1878">
      <c r="D1878" s="7"/>
      <c r="E1878" s="7"/>
      <c r="H1878" s="204"/>
    </row>
    <row r="1879">
      <c r="D1879" s="7"/>
      <c r="E1879" s="7"/>
      <c r="H1879" s="204"/>
    </row>
    <row r="1880">
      <c r="D1880" s="7"/>
      <c r="E1880" s="7"/>
      <c r="H1880" s="204"/>
    </row>
    <row r="1881">
      <c r="D1881" s="7"/>
      <c r="E1881" s="7"/>
      <c r="H1881" s="204"/>
    </row>
    <row r="1882">
      <c r="D1882" s="7"/>
      <c r="E1882" s="7"/>
      <c r="H1882" s="204"/>
    </row>
    <row r="1883">
      <c r="D1883" s="7"/>
      <c r="E1883" s="7"/>
      <c r="H1883" s="204"/>
    </row>
    <row r="1884">
      <c r="D1884" s="7"/>
      <c r="E1884" s="7"/>
      <c r="H1884" s="204"/>
    </row>
    <row r="1885">
      <c r="D1885" s="7"/>
      <c r="E1885" s="7"/>
      <c r="H1885" s="204"/>
    </row>
    <row r="1886">
      <c r="D1886" s="7"/>
      <c r="E1886" s="7"/>
      <c r="H1886" s="204"/>
    </row>
    <row r="1887">
      <c r="D1887" s="7"/>
      <c r="E1887" s="7"/>
      <c r="H1887" s="204"/>
    </row>
    <row r="1888">
      <c r="D1888" s="7"/>
      <c r="E1888" s="7"/>
      <c r="H1888" s="204"/>
    </row>
    <row r="1889">
      <c r="D1889" s="7"/>
      <c r="E1889" s="7"/>
      <c r="H1889" s="204"/>
    </row>
    <row r="1890">
      <c r="D1890" s="7"/>
      <c r="E1890" s="7"/>
      <c r="H1890" s="204"/>
    </row>
    <row r="1891">
      <c r="D1891" s="7"/>
      <c r="E1891" s="7"/>
      <c r="H1891" s="204"/>
    </row>
    <row r="1892">
      <c r="D1892" s="7"/>
      <c r="E1892" s="7"/>
      <c r="H1892" s="204"/>
    </row>
    <row r="1893">
      <c r="D1893" s="7"/>
      <c r="E1893" s="7"/>
      <c r="H1893" s="204"/>
    </row>
    <row r="1894">
      <c r="D1894" s="7"/>
      <c r="E1894" s="7"/>
      <c r="H1894" s="204"/>
    </row>
    <row r="1895">
      <c r="D1895" s="7"/>
      <c r="E1895" s="7"/>
      <c r="H1895" s="204"/>
    </row>
    <row r="1896">
      <c r="D1896" s="7"/>
      <c r="E1896" s="7"/>
      <c r="H1896" s="204"/>
    </row>
    <row r="1897">
      <c r="D1897" s="7"/>
      <c r="E1897" s="7"/>
      <c r="H1897" s="204"/>
    </row>
    <row r="1898">
      <c r="D1898" s="7"/>
      <c r="E1898" s="7"/>
      <c r="H1898" s="204"/>
    </row>
    <row r="1899">
      <c r="D1899" s="7"/>
      <c r="E1899" s="7"/>
      <c r="H1899" s="204"/>
    </row>
    <row r="1900">
      <c r="D1900" s="7"/>
      <c r="E1900" s="7"/>
      <c r="H1900" s="204"/>
    </row>
    <row r="1901">
      <c r="D1901" s="7"/>
      <c r="E1901" s="7"/>
      <c r="H1901" s="204"/>
    </row>
    <row r="1902">
      <c r="D1902" s="7"/>
      <c r="E1902" s="7"/>
      <c r="H1902" s="204"/>
    </row>
    <row r="1903">
      <c r="D1903" s="7"/>
      <c r="E1903" s="7"/>
      <c r="H1903" s="204"/>
    </row>
    <row r="1904">
      <c r="D1904" s="7"/>
      <c r="E1904" s="7"/>
      <c r="H1904" s="204"/>
    </row>
    <row r="1905">
      <c r="D1905" s="7"/>
      <c r="E1905" s="7"/>
      <c r="H1905" s="204"/>
    </row>
    <row r="1906">
      <c r="D1906" s="7"/>
      <c r="E1906" s="7"/>
      <c r="H1906" s="204"/>
    </row>
    <row r="1907">
      <c r="D1907" s="7"/>
      <c r="E1907" s="7"/>
      <c r="H1907" s="204"/>
    </row>
    <row r="1908">
      <c r="D1908" s="7"/>
      <c r="E1908" s="7"/>
      <c r="H1908" s="204"/>
    </row>
    <row r="1909">
      <c r="D1909" s="7"/>
      <c r="E1909" s="7"/>
      <c r="H1909" s="204"/>
    </row>
    <row r="1910">
      <c r="D1910" s="7"/>
      <c r="E1910" s="7"/>
      <c r="H1910" s="204"/>
    </row>
    <row r="1911">
      <c r="D1911" s="7"/>
      <c r="E1911" s="7"/>
      <c r="H1911" s="204"/>
    </row>
    <row r="1912">
      <c r="D1912" s="7"/>
      <c r="E1912" s="7"/>
      <c r="H1912" s="204"/>
    </row>
    <row r="1913">
      <c r="D1913" s="7"/>
      <c r="E1913" s="7"/>
      <c r="H1913" s="204"/>
    </row>
    <row r="1914">
      <c r="D1914" s="7"/>
      <c r="E1914" s="7"/>
      <c r="H1914" s="204"/>
    </row>
    <row r="1915">
      <c r="D1915" s="7"/>
      <c r="E1915" s="7"/>
      <c r="H1915" s="204"/>
    </row>
    <row r="1916">
      <c r="D1916" s="7"/>
      <c r="E1916" s="7"/>
      <c r="H1916" s="204"/>
    </row>
    <row r="1917">
      <c r="D1917" s="7"/>
      <c r="E1917" s="7"/>
      <c r="H1917" s="204"/>
    </row>
    <row r="1918">
      <c r="D1918" s="7"/>
      <c r="E1918" s="7"/>
      <c r="H1918" s="204"/>
    </row>
    <row r="1919">
      <c r="D1919" s="7"/>
      <c r="E1919" s="7"/>
      <c r="H1919" s="204"/>
    </row>
    <row r="1920">
      <c r="D1920" s="7"/>
      <c r="E1920" s="7"/>
      <c r="H1920" s="204"/>
    </row>
    <row r="1921">
      <c r="D1921" s="7"/>
      <c r="E1921" s="7"/>
      <c r="H1921" s="204"/>
    </row>
    <row r="1922">
      <c r="D1922" s="7"/>
      <c r="E1922" s="7"/>
      <c r="H1922" s="204"/>
    </row>
    <row r="1923">
      <c r="D1923" s="7"/>
      <c r="E1923" s="7"/>
      <c r="H1923" s="204"/>
    </row>
    <row r="1924">
      <c r="D1924" s="7"/>
      <c r="E1924" s="7"/>
      <c r="H1924" s="204"/>
    </row>
    <row r="1925">
      <c r="D1925" s="7"/>
      <c r="E1925" s="7"/>
      <c r="H1925" s="204"/>
    </row>
    <row r="1926">
      <c r="D1926" s="7"/>
      <c r="E1926" s="7"/>
      <c r="H1926" s="204"/>
    </row>
    <row r="1927">
      <c r="D1927" s="7"/>
      <c r="E1927" s="7"/>
      <c r="H1927" s="204"/>
    </row>
    <row r="1928">
      <c r="D1928" s="7"/>
      <c r="E1928" s="7"/>
      <c r="H1928" s="204"/>
    </row>
    <row r="1929">
      <c r="D1929" s="7"/>
      <c r="E1929" s="7"/>
      <c r="H1929" s="204"/>
    </row>
    <row r="1930">
      <c r="D1930" s="7"/>
      <c r="E1930" s="7"/>
      <c r="H1930" s="204"/>
    </row>
    <row r="1931">
      <c r="D1931" s="7"/>
      <c r="E1931" s="7"/>
      <c r="H1931" s="204"/>
    </row>
    <row r="1932">
      <c r="D1932" s="7"/>
      <c r="E1932" s="7"/>
      <c r="H1932" s="204"/>
    </row>
    <row r="1933">
      <c r="D1933" s="7"/>
      <c r="E1933" s="7"/>
      <c r="H1933" s="204"/>
    </row>
    <row r="1934">
      <c r="D1934" s="7"/>
      <c r="E1934" s="7"/>
      <c r="H1934" s="204"/>
    </row>
    <row r="1935">
      <c r="D1935" s="7"/>
      <c r="E1935" s="7"/>
      <c r="H1935" s="204"/>
    </row>
    <row r="1936">
      <c r="D1936" s="7"/>
      <c r="E1936" s="7"/>
      <c r="H1936" s="204"/>
    </row>
    <row r="1937">
      <c r="D1937" s="7"/>
      <c r="E1937" s="7"/>
      <c r="H1937" s="204"/>
    </row>
    <row r="1938">
      <c r="D1938" s="7"/>
      <c r="E1938" s="7"/>
      <c r="H1938" s="204"/>
    </row>
    <row r="1939">
      <c r="D1939" s="7"/>
      <c r="E1939" s="7"/>
      <c r="H1939" s="204"/>
    </row>
    <row r="1940">
      <c r="D1940" s="7"/>
      <c r="E1940" s="7"/>
      <c r="H1940" s="204"/>
    </row>
    <row r="1941">
      <c r="D1941" s="7"/>
      <c r="E1941" s="7"/>
      <c r="H1941" s="204"/>
    </row>
    <row r="1942">
      <c r="D1942" s="7"/>
      <c r="E1942" s="7"/>
      <c r="H1942" s="204"/>
    </row>
    <row r="1943">
      <c r="D1943" s="7"/>
      <c r="E1943" s="7"/>
      <c r="H1943" s="204"/>
    </row>
    <row r="1944">
      <c r="D1944" s="7"/>
      <c r="E1944" s="7"/>
      <c r="H1944" s="204"/>
    </row>
    <row r="1945">
      <c r="D1945" s="7"/>
      <c r="E1945" s="7"/>
      <c r="H1945" s="204"/>
    </row>
    <row r="1946">
      <c r="D1946" s="7"/>
      <c r="E1946" s="7"/>
      <c r="H1946" s="204"/>
    </row>
    <row r="1947">
      <c r="D1947" s="7"/>
      <c r="E1947" s="7"/>
      <c r="H1947" s="204"/>
    </row>
    <row r="1948">
      <c r="D1948" s="7"/>
      <c r="E1948" s="7"/>
      <c r="H1948" s="204"/>
    </row>
    <row r="1949">
      <c r="D1949" s="7"/>
      <c r="E1949" s="7"/>
      <c r="H1949" s="204"/>
    </row>
    <row r="1950">
      <c r="D1950" s="7"/>
      <c r="E1950" s="7"/>
      <c r="H1950" s="204"/>
    </row>
    <row r="1951">
      <c r="D1951" s="7"/>
      <c r="E1951" s="7"/>
      <c r="H1951" s="204"/>
    </row>
    <row r="1952">
      <c r="D1952" s="7"/>
      <c r="E1952" s="7"/>
      <c r="H1952" s="204"/>
    </row>
    <row r="1953">
      <c r="D1953" s="7"/>
      <c r="E1953" s="7"/>
      <c r="H1953" s="204"/>
    </row>
    <row r="1954">
      <c r="D1954" s="7"/>
      <c r="E1954" s="7"/>
      <c r="H1954" s="204"/>
    </row>
    <row r="1955">
      <c r="D1955" s="7"/>
      <c r="E1955" s="7"/>
      <c r="H1955" s="204"/>
    </row>
    <row r="1956">
      <c r="D1956" s="7"/>
      <c r="E1956" s="7"/>
      <c r="H1956" s="204"/>
    </row>
    <row r="1957">
      <c r="D1957" s="7"/>
      <c r="E1957" s="7"/>
      <c r="H1957" s="204"/>
    </row>
    <row r="1958">
      <c r="D1958" s="7"/>
      <c r="E1958" s="7"/>
      <c r="H1958" s="204"/>
    </row>
    <row r="1959">
      <c r="D1959" s="7"/>
      <c r="E1959" s="7"/>
      <c r="H1959" s="204"/>
    </row>
    <row r="1960">
      <c r="D1960" s="7"/>
      <c r="E1960" s="7"/>
      <c r="H1960" s="204"/>
    </row>
    <row r="1961">
      <c r="D1961" s="7"/>
      <c r="E1961" s="7"/>
      <c r="H1961" s="204"/>
    </row>
    <row r="1962">
      <c r="D1962" s="7"/>
      <c r="E1962" s="7"/>
      <c r="H1962" s="204"/>
    </row>
    <row r="1963">
      <c r="D1963" s="7"/>
      <c r="E1963" s="7"/>
      <c r="H1963" s="204"/>
    </row>
    <row r="1964">
      <c r="D1964" s="7"/>
      <c r="E1964" s="7"/>
      <c r="H1964" s="204"/>
    </row>
    <row r="1965">
      <c r="D1965" s="7"/>
      <c r="E1965" s="7"/>
      <c r="H1965" s="204"/>
    </row>
    <row r="1966">
      <c r="D1966" s="7"/>
      <c r="E1966" s="7"/>
      <c r="H1966" s="204"/>
    </row>
    <row r="1967">
      <c r="D1967" s="7"/>
      <c r="E1967" s="7"/>
      <c r="H1967" s="204"/>
    </row>
    <row r="1968">
      <c r="D1968" s="7"/>
      <c r="E1968" s="7"/>
      <c r="H1968" s="204"/>
    </row>
    <row r="1969">
      <c r="D1969" s="7"/>
      <c r="E1969" s="7"/>
      <c r="H1969" s="204"/>
    </row>
    <row r="1970">
      <c r="D1970" s="7"/>
      <c r="E1970" s="7"/>
      <c r="H1970" s="204"/>
    </row>
    <row r="1971">
      <c r="D1971" s="7"/>
      <c r="E1971" s="7"/>
      <c r="H1971" s="204"/>
    </row>
    <row r="1972">
      <c r="D1972" s="7"/>
      <c r="E1972" s="7"/>
      <c r="H1972" s="204"/>
    </row>
    <row r="1973">
      <c r="D1973" s="7"/>
      <c r="E1973" s="7"/>
      <c r="H1973" s="204"/>
    </row>
    <row r="1974">
      <c r="D1974" s="7"/>
      <c r="E1974" s="7"/>
      <c r="H1974" s="204"/>
    </row>
    <row r="1975">
      <c r="D1975" s="7"/>
      <c r="E1975" s="7"/>
      <c r="H1975" s="204"/>
    </row>
    <row r="1976">
      <c r="D1976" s="7"/>
      <c r="E1976" s="7"/>
      <c r="H1976" s="204"/>
    </row>
    <row r="1977">
      <c r="D1977" s="7"/>
      <c r="E1977" s="7"/>
      <c r="H1977" s="204"/>
    </row>
    <row r="1978">
      <c r="D1978" s="7"/>
      <c r="E1978" s="7"/>
      <c r="H1978" s="204"/>
    </row>
    <row r="1979">
      <c r="D1979" s="7"/>
      <c r="E1979" s="7"/>
      <c r="H1979" s="204"/>
    </row>
    <row r="1980">
      <c r="D1980" s="7"/>
      <c r="E1980" s="7"/>
      <c r="H1980" s="204"/>
    </row>
    <row r="1981">
      <c r="D1981" s="7"/>
      <c r="E1981" s="7"/>
      <c r="H1981" s="204"/>
    </row>
    <row r="1982">
      <c r="D1982" s="7"/>
      <c r="E1982" s="7"/>
      <c r="H1982" s="204"/>
    </row>
    <row r="1983">
      <c r="D1983" s="7"/>
      <c r="E1983" s="7"/>
      <c r="H1983" s="204"/>
    </row>
    <row r="1984">
      <c r="D1984" s="7"/>
      <c r="E1984" s="7"/>
      <c r="H1984" s="204"/>
    </row>
    <row r="1985">
      <c r="D1985" s="7"/>
      <c r="E1985" s="7"/>
      <c r="H1985" s="204"/>
    </row>
    <row r="1986">
      <c r="D1986" s="7"/>
      <c r="E1986" s="7"/>
      <c r="H1986" s="204"/>
    </row>
    <row r="1987">
      <c r="D1987" s="7"/>
      <c r="E1987" s="7"/>
      <c r="H1987" s="204"/>
    </row>
    <row r="1988">
      <c r="D1988" s="7"/>
      <c r="E1988" s="7"/>
      <c r="H1988" s="204"/>
    </row>
    <row r="1989">
      <c r="D1989" s="7"/>
      <c r="E1989" s="7"/>
      <c r="H1989" s="204"/>
    </row>
    <row r="1990">
      <c r="D1990" s="7"/>
      <c r="E1990" s="7"/>
      <c r="H1990" s="204"/>
    </row>
    <row r="1991">
      <c r="D1991" s="7"/>
      <c r="E1991" s="7"/>
      <c r="H1991" s="204"/>
    </row>
    <row r="1992">
      <c r="D1992" s="7"/>
      <c r="E1992" s="7"/>
      <c r="H1992" s="204"/>
    </row>
    <row r="1993">
      <c r="D1993" s="7"/>
      <c r="E1993" s="7"/>
      <c r="H1993" s="204"/>
    </row>
    <row r="1994">
      <c r="D1994" s="7"/>
      <c r="E1994" s="7"/>
      <c r="H1994" s="204"/>
    </row>
    <row r="1995">
      <c r="D1995" s="7"/>
      <c r="E1995" s="7"/>
      <c r="H1995" s="204"/>
    </row>
    <row r="1996">
      <c r="D1996" s="7"/>
      <c r="E1996" s="7"/>
      <c r="H1996" s="204"/>
    </row>
    <row r="1997">
      <c r="D1997" s="7"/>
      <c r="E1997" s="7"/>
      <c r="H1997" s="204"/>
    </row>
    <row r="1998">
      <c r="D1998" s="7"/>
      <c r="E1998" s="7"/>
      <c r="H1998" s="204"/>
    </row>
    <row r="1999">
      <c r="D1999" s="7"/>
      <c r="E1999" s="7"/>
      <c r="H1999" s="204"/>
    </row>
    <row r="2000">
      <c r="D2000" s="7"/>
      <c r="E2000" s="7"/>
      <c r="H2000" s="204"/>
    </row>
    <row r="2001">
      <c r="D2001" s="7"/>
      <c r="E2001" s="7"/>
      <c r="H2001" s="204"/>
    </row>
    <row r="2002">
      <c r="D2002" s="7"/>
      <c r="E2002" s="7"/>
      <c r="H2002" s="204"/>
    </row>
    <row r="2003">
      <c r="D2003" s="7"/>
      <c r="E2003" s="7"/>
      <c r="H2003" s="204"/>
    </row>
    <row r="2004">
      <c r="D2004" s="7"/>
      <c r="E2004" s="7"/>
      <c r="H2004" s="204"/>
    </row>
    <row r="2005">
      <c r="D2005" s="7"/>
      <c r="E2005" s="7"/>
      <c r="H2005" s="204"/>
    </row>
    <row r="2006">
      <c r="D2006" s="7"/>
      <c r="E2006" s="7"/>
      <c r="H2006" s="204"/>
    </row>
    <row r="2007">
      <c r="D2007" s="7"/>
      <c r="E2007" s="7"/>
      <c r="H2007" s="204"/>
    </row>
    <row r="2008">
      <c r="D2008" s="7"/>
      <c r="E2008" s="7"/>
      <c r="H2008" s="204"/>
    </row>
    <row r="2009">
      <c r="D2009" s="7"/>
      <c r="E2009" s="7"/>
      <c r="H2009" s="204"/>
    </row>
    <row r="2010">
      <c r="D2010" s="7"/>
      <c r="E2010" s="7"/>
      <c r="H2010" s="204"/>
    </row>
    <row r="2011">
      <c r="D2011" s="7"/>
      <c r="E2011" s="7"/>
      <c r="H2011" s="204"/>
    </row>
    <row r="2012">
      <c r="D2012" s="7"/>
      <c r="E2012" s="7"/>
      <c r="H2012" s="204"/>
    </row>
    <row r="2013">
      <c r="D2013" s="7"/>
      <c r="E2013" s="7"/>
      <c r="H2013" s="204"/>
    </row>
    <row r="2014">
      <c r="D2014" s="7"/>
      <c r="E2014" s="7"/>
      <c r="H2014" s="204"/>
    </row>
    <row r="2015">
      <c r="D2015" s="7"/>
      <c r="E2015" s="7"/>
      <c r="H2015" s="204"/>
    </row>
    <row r="2016">
      <c r="D2016" s="7"/>
      <c r="E2016" s="7"/>
      <c r="H2016" s="204"/>
    </row>
    <row r="2017">
      <c r="D2017" s="7"/>
      <c r="E2017" s="7"/>
      <c r="H2017" s="204"/>
    </row>
    <row r="2018">
      <c r="D2018" s="7"/>
      <c r="E2018" s="7"/>
      <c r="H2018" s="204"/>
    </row>
    <row r="2019">
      <c r="D2019" s="7"/>
      <c r="E2019" s="7"/>
      <c r="H2019" s="204"/>
    </row>
    <row r="2020">
      <c r="D2020" s="7"/>
      <c r="E2020" s="7"/>
      <c r="H2020" s="204"/>
    </row>
    <row r="2021">
      <c r="D2021" s="7"/>
      <c r="E2021" s="7"/>
      <c r="H2021" s="204"/>
    </row>
    <row r="2022">
      <c r="D2022" s="7"/>
      <c r="E2022" s="7"/>
      <c r="H2022" s="204"/>
    </row>
    <row r="2023">
      <c r="D2023" s="7"/>
      <c r="E2023" s="7"/>
      <c r="H2023" s="204"/>
    </row>
    <row r="2024">
      <c r="D2024" s="7"/>
      <c r="E2024" s="7"/>
      <c r="H2024" s="204"/>
    </row>
    <row r="2025">
      <c r="D2025" s="7"/>
      <c r="E2025" s="7"/>
      <c r="H2025" s="204"/>
    </row>
    <row r="2026">
      <c r="D2026" s="7"/>
      <c r="E2026" s="7"/>
      <c r="H2026" s="204"/>
    </row>
    <row r="2027">
      <c r="D2027" s="7"/>
      <c r="E2027" s="7"/>
      <c r="H2027" s="204"/>
    </row>
    <row r="2028">
      <c r="D2028" s="7"/>
      <c r="E2028" s="7"/>
      <c r="H2028" s="204"/>
    </row>
    <row r="2029">
      <c r="D2029" s="7"/>
      <c r="E2029" s="7"/>
      <c r="H2029" s="204"/>
    </row>
    <row r="2030">
      <c r="D2030" s="7"/>
      <c r="E2030" s="7"/>
      <c r="H2030" s="204"/>
    </row>
    <row r="2031">
      <c r="D2031" s="7"/>
      <c r="E2031" s="7"/>
      <c r="H2031" s="204"/>
    </row>
    <row r="2032">
      <c r="D2032" s="7"/>
      <c r="E2032" s="7"/>
      <c r="H2032" s="204"/>
    </row>
    <row r="2033">
      <c r="D2033" s="7"/>
      <c r="E2033" s="7"/>
      <c r="H2033" s="204"/>
    </row>
    <row r="2034">
      <c r="D2034" s="7"/>
      <c r="E2034" s="7"/>
      <c r="H2034" s="204"/>
    </row>
    <row r="2035">
      <c r="D2035" s="7"/>
      <c r="E2035" s="7"/>
      <c r="H2035" s="204"/>
    </row>
    <row r="2036">
      <c r="D2036" s="7"/>
      <c r="E2036" s="7"/>
      <c r="H2036" s="204"/>
    </row>
    <row r="2037">
      <c r="D2037" s="7"/>
      <c r="E2037" s="7"/>
      <c r="H2037" s="204"/>
    </row>
    <row r="2038">
      <c r="D2038" s="7"/>
      <c r="E2038" s="7"/>
      <c r="H2038" s="204"/>
    </row>
    <row r="2039">
      <c r="D2039" s="7"/>
      <c r="E2039" s="7"/>
      <c r="H2039" s="204"/>
    </row>
    <row r="2040">
      <c r="D2040" s="7"/>
      <c r="E2040" s="7"/>
      <c r="H2040" s="204"/>
    </row>
    <row r="2041">
      <c r="D2041" s="7"/>
      <c r="E2041" s="7"/>
      <c r="H2041" s="204"/>
    </row>
    <row r="2042">
      <c r="D2042" s="7"/>
      <c r="E2042" s="7"/>
      <c r="H2042" s="204"/>
    </row>
    <row r="2043">
      <c r="D2043" s="7"/>
      <c r="E2043" s="7"/>
      <c r="H2043" s="204"/>
    </row>
    <row r="2044">
      <c r="D2044" s="7"/>
      <c r="E2044" s="7"/>
      <c r="H2044" s="204"/>
    </row>
    <row r="2045">
      <c r="D2045" s="7"/>
      <c r="E2045" s="7"/>
      <c r="H2045" s="204"/>
    </row>
    <row r="2046">
      <c r="D2046" s="7"/>
      <c r="E2046" s="7"/>
      <c r="H2046" s="204"/>
    </row>
    <row r="2047">
      <c r="D2047" s="7"/>
      <c r="E2047" s="7"/>
      <c r="H2047" s="204"/>
    </row>
    <row r="2048">
      <c r="D2048" s="7"/>
      <c r="E2048" s="7"/>
      <c r="H2048" s="204"/>
    </row>
    <row r="2049">
      <c r="D2049" s="7"/>
      <c r="E2049" s="7"/>
      <c r="H2049" s="204"/>
    </row>
    <row r="2050">
      <c r="D2050" s="7"/>
      <c r="E2050" s="7"/>
      <c r="H2050" s="204"/>
    </row>
    <row r="2051">
      <c r="D2051" s="7"/>
      <c r="E2051" s="7"/>
      <c r="H2051" s="204"/>
    </row>
    <row r="2052">
      <c r="D2052" s="7"/>
      <c r="E2052" s="7"/>
      <c r="H2052" s="204"/>
    </row>
    <row r="2053">
      <c r="D2053" s="7"/>
      <c r="E2053" s="7"/>
      <c r="H2053" s="204"/>
    </row>
    <row r="2054">
      <c r="D2054" s="7"/>
      <c r="E2054" s="7"/>
      <c r="H2054" s="204"/>
    </row>
    <row r="2055">
      <c r="D2055" s="7"/>
      <c r="E2055" s="7"/>
      <c r="H2055" s="204"/>
    </row>
    <row r="2056">
      <c r="D2056" s="7"/>
      <c r="E2056" s="7"/>
      <c r="H2056" s="204"/>
    </row>
    <row r="2057">
      <c r="D2057" s="7"/>
      <c r="E2057" s="7"/>
      <c r="H2057" s="204"/>
    </row>
    <row r="2058">
      <c r="D2058" s="7"/>
      <c r="E2058" s="7"/>
      <c r="H2058" s="204"/>
    </row>
    <row r="2059">
      <c r="D2059" s="7"/>
      <c r="E2059" s="7"/>
      <c r="H2059" s="204"/>
    </row>
    <row r="2060">
      <c r="D2060" s="7"/>
      <c r="E2060" s="7"/>
      <c r="H2060" s="204"/>
    </row>
    <row r="2061">
      <c r="D2061" s="7"/>
      <c r="E2061" s="7"/>
      <c r="H2061" s="204"/>
    </row>
    <row r="2062">
      <c r="D2062" s="7"/>
      <c r="E2062" s="7"/>
      <c r="H2062" s="204"/>
    </row>
    <row r="2063">
      <c r="D2063" s="7"/>
      <c r="E2063" s="7"/>
      <c r="H2063" s="204"/>
    </row>
    <row r="2064">
      <c r="D2064" s="7"/>
      <c r="E2064" s="7"/>
      <c r="H2064" s="204"/>
    </row>
    <row r="2065">
      <c r="D2065" s="7"/>
      <c r="E2065" s="7"/>
      <c r="H2065" s="204"/>
    </row>
    <row r="2066">
      <c r="D2066" s="7"/>
      <c r="E2066" s="7"/>
      <c r="H2066" s="204"/>
    </row>
    <row r="2067">
      <c r="D2067" s="7"/>
      <c r="E2067" s="7"/>
      <c r="H2067" s="204"/>
    </row>
    <row r="2068">
      <c r="D2068" s="7"/>
      <c r="E2068" s="7"/>
      <c r="H2068" s="204"/>
    </row>
    <row r="2069">
      <c r="D2069" s="7"/>
      <c r="E2069" s="7"/>
      <c r="H2069" s="204"/>
    </row>
    <row r="2070">
      <c r="D2070" s="7"/>
      <c r="E2070" s="7"/>
      <c r="H2070" s="204"/>
    </row>
    <row r="2071">
      <c r="D2071" s="7"/>
      <c r="E2071" s="7"/>
      <c r="H2071" s="204"/>
    </row>
    <row r="2072">
      <c r="D2072" s="7"/>
      <c r="E2072" s="7"/>
      <c r="H2072" s="204"/>
    </row>
    <row r="2073">
      <c r="D2073" s="7"/>
      <c r="E2073" s="7"/>
      <c r="H2073" s="204"/>
    </row>
    <row r="2074">
      <c r="D2074" s="7"/>
      <c r="E2074" s="7"/>
      <c r="H2074" s="204"/>
    </row>
    <row r="2075">
      <c r="D2075" s="7"/>
      <c r="E2075" s="7"/>
      <c r="H2075" s="204"/>
    </row>
    <row r="2076">
      <c r="D2076" s="7"/>
      <c r="E2076" s="7"/>
      <c r="H2076" s="204"/>
    </row>
    <row r="2077">
      <c r="D2077" s="7"/>
      <c r="E2077" s="7"/>
      <c r="H2077" s="204"/>
    </row>
    <row r="2078">
      <c r="D2078" s="7"/>
      <c r="E2078" s="7"/>
      <c r="H2078" s="204"/>
    </row>
    <row r="2079">
      <c r="D2079" s="7"/>
      <c r="E2079" s="7"/>
      <c r="H2079" s="204"/>
    </row>
    <row r="2080">
      <c r="D2080" s="7"/>
      <c r="E2080" s="7"/>
      <c r="H2080" s="204"/>
    </row>
    <row r="2081">
      <c r="D2081" s="7"/>
      <c r="E2081" s="7"/>
      <c r="H2081" s="204"/>
    </row>
    <row r="2082">
      <c r="D2082" s="7"/>
      <c r="E2082" s="7"/>
      <c r="H2082" s="204"/>
    </row>
    <row r="2083">
      <c r="D2083" s="7"/>
      <c r="E2083" s="7"/>
      <c r="H2083" s="204"/>
    </row>
    <row r="2084">
      <c r="D2084" s="7"/>
      <c r="E2084" s="7"/>
      <c r="H2084" s="204"/>
    </row>
    <row r="2085">
      <c r="D2085" s="7"/>
      <c r="E2085" s="7"/>
      <c r="H2085" s="204"/>
    </row>
    <row r="2086">
      <c r="D2086" s="7"/>
      <c r="E2086" s="7"/>
      <c r="H2086" s="204"/>
    </row>
    <row r="2087">
      <c r="D2087" s="7"/>
      <c r="E2087" s="7"/>
      <c r="H2087" s="204"/>
    </row>
    <row r="2088">
      <c r="D2088" s="7"/>
      <c r="E2088" s="7"/>
      <c r="H2088" s="204"/>
    </row>
    <row r="2089">
      <c r="D2089" s="7"/>
      <c r="E2089" s="7"/>
      <c r="H2089" s="204"/>
    </row>
    <row r="2090">
      <c r="D2090" s="7"/>
      <c r="E2090" s="7"/>
      <c r="H2090" s="204"/>
    </row>
    <row r="2091">
      <c r="D2091" s="7"/>
      <c r="E2091" s="7"/>
      <c r="H2091" s="204"/>
    </row>
    <row r="2092">
      <c r="D2092" s="7"/>
      <c r="E2092" s="7"/>
      <c r="H2092" s="204"/>
    </row>
    <row r="2093">
      <c r="D2093" s="7"/>
      <c r="E2093" s="7"/>
      <c r="H2093" s="204"/>
    </row>
    <row r="2094">
      <c r="D2094" s="7"/>
      <c r="E2094" s="7"/>
      <c r="H2094" s="204"/>
    </row>
    <row r="2095">
      <c r="D2095" s="7"/>
      <c r="E2095" s="7"/>
      <c r="H2095" s="204"/>
    </row>
    <row r="2096">
      <c r="D2096" s="7"/>
      <c r="E2096" s="7"/>
      <c r="H2096" s="204"/>
    </row>
    <row r="2097">
      <c r="D2097" s="7"/>
      <c r="E2097" s="7"/>
      <c r="H2097" s="204"/>
    </row>
    <row r="2098">
      <c r="D2098" s="7"/>
      <c r="E2098" s="7"/>
      <c r="H2098" s="204"/>
    </row>
    <row r="2099">
      <c r="D2099" s="7"/>
      <c r="E2099" s="7"/>
      <c r="H2099" s="204"/>
    </row>
    <row r="2100">
      <c r="D2100" s="7"/>
      <c r="E2100" s="7"/>
      <c r="H2100" s="204"/>
    </row>
    <row r="2101">
      <c r="D2101" s="7"/>
      <c r="E2101" s="7"/>
      <c r="H2101" s="204"/>
    </row>
    <row r="2102">
      <c r="D2102" s="7"/>
      <c r="E2102" s="7"/>
      <c r="H2102" s="204"/>
    </row>
    <row r="2103">
      <c r="D2103" s="7"/>
      <c r="E2103" s="7"/>
      <c r="H2103" s="204"/>
    </row>
    <row r="2104">
      <c r="D2104" s="7"/>
      <c r="E2104" s="7"/>
      <c r="H2104" s="204"/>
    </row>
    <row r="2105">
      <c r="D2105" s="7"/>
      <c r="E2105" s="7"/>
      <c r="H2105" s="204"/>
    </row>
    <row r="2106">
      <c r="D2106" s="7"/>
      <c r="E2106" s="7"/>
      <c r="H2106" s="204"/>
    </row>
    <row r="2107">
      <c r="D2107" s="7"/>
      <c r="E2107" s="7"/>
      <c r="H2107" s="204"/>
    </row>
    <row r="2108">
      <c r="D2108" s="7"/>
      <c r="E2108" s="7"/>
      <c r="H2108" s="204"/>
    </row>
    <row r="2109">
      <c r="D2109" s="7"/>
      <c r="E2109" s="7"/>
      <c r="H2109" s="204"/>
    </row>
    <row r="2110">
      <c r="D2110" s="7"/>
      <c r="E2110" s="7"/>
      <c r="H2110" s="204"/>
    </row>
    <row r="2111">
      <c r="D2111" s="7"/>
      <c r="E2111" s="7"/>
      <c r="H2111" s="204"/>
    </row>
    <row r="2112">
      <c r="D2112" s="7"/>
      <c r="E2112" s="7"/>
      <c r="H2112" s="204"/>
    </row>
    <row r="2113">
      <c r="D2113" s="7"/>
      <c r="E2113" s="7"/>
      <c r="H2113" s="204"/>
    </row>
    <row r="2114">
      <c r="D2114" s="7"/>
      <c r="E2114" s="7"/>
      <c r="H2114" s="204"/>
    </row>
    <row r="2115">
      <c r="D2115" s="7"/>
      <c r="E2115" s="7"/>
      <c r="H2115" s="204"/>
    </row>
    <row r="2116">
      <c r="D2116" s="7"/>
      <c r="E2116" s="7"/>
      <c r="H2116" s="204"/>
    </row>
    <row r="2117">
      <c r="D2117" s="7"/>
      <c r="E2117" s="7"/>
      <c r="H2117" s="204"/>
    </row>
    <row r="2118">
      <c r="D2118" s="7"/>
      <c r="E2118" s="7"/>
      <c r="H2118" s="204"/>
    </row>
    <row r="2119">
      <c r="D2119" s="7"/>
      <c r="E2119" s="7"/>
      <c r="H2119" s="204"/>
    </row>
    <row r="2120">
      <c r="D2120" s="7"/>
      <c r="E2120" s="7"/>
      <c r="H2120" s="204"/>
    </row>
    <row r="2121">
      <c r="D2121" s="7"/>
      <c r="E2121" s="7"/>
      <c r="H2121" s="204"/>
    </row>
    <row r="2122">
      <c r="D2122" s="7"/>
      <c r="E2122" s="7"/>
      <c r="H2122" s="204"/>
    </row>
    <row r="2123">
      <c r="D2123" s="7"/>
      <c r="E2123" s="7"/>
      <c r="H2123" s="204"/>
    </row>
    <row r="2124">
      <c r="D2124" s="7"/>
      <c r="E2124" s="7"/>
      <c r="H2124" s="204"/>
    </row>
    <row r="2125">
      <c r="D2125" s="7"/>
      <c r="E2125" s="7"/>
      <c r="H2125" s="204"/>
    </row>
    <row r="2126">
      <c r="D2126" s="7"/>
      <c r="E2126" s="7"/>
      <c r="H2126" s="204"/>
    </row>
    <row r="2127">
      <c r="D2127" s="7"/>
      <c r="E2127" s="7"/>
      <c r="H2127" s="204"/>
    </row>
    <row r="2128">
      <c r="D2128" s="7"/>
      <c r="E2128" s="7"/>
      <c r="H2128" s="204"/>
    </row>
    <row r="2129">
      <c r="D2129" s="7"/>
      <c r="E2129" s="7"/>
      <c r="H2129" s="204"/>
    </row>
    <row r="2130">
      <c r="D2130" s="7"/>
      <c r="E2130" s="7"/>
      <c r="H2130" s="204"/>
    </row>
    <row r="2131">
      <c r="D2131" s="7"/>
      <c r="E2131" s="7"/>
      <c r="H2131" s="204"/>
    </row>
    <row r="2132">
      <c r="D2132" s="7"/>
      <c r="E2132" s="7"/>
      <c r="H2132" s="204"/>
    </row>
    <row r="2133">
      <c r="D2133" s="7"/>
      <c r="E2133" s="7"/>
      <c r="H2133" s="204"/>
    </row>
    <row r="2134">
      <c r="D2134" s="7"/>
      <c r="E2134" s="7"/>
      <c r="H2134" s="204"/>
    </row>
    <row r="2135">
      <c r="D2135" s="7"/>
      <c r="E2135" s="7"/>
      <c r="H2135" s="204"/>
    </row>
    <row r="2136">
      <c r="D2136" s="7"/>
      <c r="E2136" s="7"/>
      <c r="H2136" s="204"/>
    </row>
    <row r="2137">
      <c r="D2137" s="7"/>
      <c r="E2137" s="7"/>
      <c r="H2137" s="204"/>
    </row>
    <row r="2138">
      <c r="D2138" s="7"/>
      <c r="E2138" s="7"/>
      <c r="H2138" s="204"/>
    </row>
    <row r="2139">
      <c r="D2139" s="7"/>
      <c r="E2139" s="7"/>
      <c r="H2139" s="204"/>
    </row>
    <row r="2140">
      <c r="D2140" s="7"/>
      <c r="E2140" s="7"/>
      <c r="H2140" s="204"/>
    </row>
    <row r="2141">
      <c r="D2141" s="7"/>
      <c r="E2141" s="7"/>
      <c r="H2141" s="204"/>
    </row>
    <row r="2142">
      <c r="D2142" s="7"/>
      <c r="E2142" s="7"/>
      <c r="H2142" s="204"/>
    </row>
    <row r="2143">
      <c r="D2143" s="7"/>
      <c r="E2143" s="7"/>
      <c r="H2143" s="204"/>
    </row>
    <row r="2144">
      <c r="D2144" s="7"/>
      <c r="E2144" s="7"/>
      <c r="H2144" s="204"/>
    </row>
    <row r="2145">
      <c r="D2145" s="7"/>
      <c r="E2145" s="7"/>
      <c r="H2145" s="204"/>
    </row>
    <row r="2146">
      <c r="D2146" s="7"/>
      <c r="E2146" s="7"/>
      <c r="H2146" s="204"/>
    </row>
    <row r="2147">
      <c r="D2147" s="7"/>
      <c r="E2147" s="7"/>
      <c r="H2147" s="204"/>
    </row>
    <row r="2148">
      <c r="D2148" s="7"/>
      <c r="E2148" s="7"/>
      <c r="H2148" s="204"/>
    </row>
    <row r="2149">
      <c r="D2149" s="7"/>
      <c r="E2149" s="7"/>
      <c r="H2149" s="204"/>
    </row>
    <row r="2150">
      <c r="D2150" s="7"/>
      <c r="E2150" s="7"/>
      <c r="H2150" s="204"/>
    </row>
    <row r="2151">
      <c r="D2151" s="7"/>
      <c r="E2151" s="7"/>
      <c r="H2151" s="204"/>
    </row>
    <row r="2152">
      <c r="D2152" s="7"/>
      <c r="E2152" s="7"/>
      <c r="H2152" s="204"/>
    </row>
    <row r="2153">
      <c r="D2153" s="7"/>
      <c r="E2153" s="7"/>
      <c r="H2153" s="204"/>
    </row>
    <row r="2154">
      <c r="D2154" s="7"/>
      <c r="E2154" s="7"/>
      <c r="H2154" s="204"/>
    </row>
    <row r="2155">
      <c r="D2155" s="7"/>
      <c r="E2155" s="7"/>
      <c r="H2155" s="204"/>
    </row>
    <row r="2156">
      <c r="D2156" s="7"/>
      <c r="E2156" s="7"/>
      <c r="H2156" s="204"/>
    </row>
    <row r="2157">
      <c r="D2157" s="7"/>
      <c r="E2157" s="7"/>
      <c r="H2157" s="204"/>
    </row>
    <row r="2158">
      <c r="D2158" s="7"/>
      <c r="E2158" s="7"/>
      <c r="H2158" s="204"/>
    </row>
    <row r="2159">
      <c r="D2159" s="7"/>
      <c r="E2159" s="7"/>
      <c r="H2159" s="204"/>
    </row>
    <row r="2160">
      <c r="D2160" s="7"/>
      <c r="E2160" s="7"/>
      <c r="H2160" s="204"/>
    </row>
    <row r="2161">
      <c r="D2161" s="7"/>
      <c r="E2161" s="7"/>
      <c r="H2161" s="204"/>
    </row>
    <row r="2162">
      <c r="D2162" s="7"/>
      <c r="E2162" s="7"/>
      <c r="H2162" s="204"/>
    </row>
    <row r="2163">
      <c r="D2163" s="7"/>
      <c r="E2163" s="7"/>
      <c r="H2163" s="204"/>
    </row>
    <row r="2164">
      <c r="D2164" s="7"/>
      <c r="E2164" s="7"/>
      <c r="H2164" s="204"/>
    </row>
    <row r="2165">
      <c r="D2165" s="7"/>
      <c r="E2165" s="7"/>
      <c r="H2165" s="204"/>
    </row>
    <row r="2166">
      <c r="D2166" s="7"/>
      <c r="E2166" s="7"/>
      <c r="H2166" s="204"/>
    </row>
    <row r="2167">
      <c r="D2167" s="7"/>
      <c r="E2167" s="7"/>
      <c r="H2167" s="204"/>
    </row>
    <row r="2168">
      <c r="D2168" s="7"/>
      <c r="E2168" s="7"/>
      <c r="H2168" s="204"/>
    </row>
    <row r="2169">
      <c r="D2169" s="7"/>
      <c r="E2169" s="7"/>
      <c r="H2169" s="204"/>
    </row>
    <row r="2170">
      <c r="D2170" s="7"/>
      <c r="E2170" s="7"/>
      <c r="H2170" s="204"/>
    </row>
    <row r="2171">
      <c r="D2171" s="7"/>
      <c r="E2171" s="7"/>
      <c r="H2171" s="204"/>
    </row>
    <row r="2172">
      <c r="D2172" s="7"/>
      <c r="E2172" s="7"/>
      <c r="H2172" s="204"/>
    </row>
    <row r="2173">
      <c r="D2173" s="7"/>
      <c r="E2173" s="7"/>
      <c r="H2173" s="204"/>
    </row>
    <row r="2174">
      <c r="D2174" s="7"/>
      <c r="E2174" s="7"/>
      <c r="H2174" s="204"/>
    </row>
    <row r="2175">
      <c r="D2175" s="7"/>
      <c r="E2175" s="7"/>
      <c r="H2175" s="204"/>
    </row>
    <row r="2176">
      <c r="D2176" s="7"/>
      <c r="E2176" s="7"/>
      <c r="H2176" s="204"/>
    </row>
    <row r="2177">
      <c r="D2177" s="7"/>
      <c r="E2177" s="7"/>
      <c r="H2177" s="204"/>
    </row>
    <row r="2178">
      <c r="D2178" s="7"/>
      <c r="E2178" s="7"/>
      <c r="H2178" s="204"/>
    </row>
    <row r="2179">
      <c r="D2179" s="7"/>
      <c r="E2179" s="7"/>
      <c r="H2179" s="204"/>
    </row>
    <row r="2180">
      <c r="D2180" s="7"/>
      <c r="E2180" s="7"/>
      <c r="H2180" s="204"/>
    </row>
    <row r="2181">
      <c r="D2181" s="7"/>
      <c r="E2181" s="7"/>
      <c r="H2181" s="204"/>
    </row>
    <row r="2182">
      <c r="D2182" s="7"/>
      <c r="E2182" s="7"/>
      <c r="H2182" s="204"/>
    </row>
    <row r="2183">
      <c r="D2183" s="7"/>
      <c r="E2183" s="7"/>
      <c r="H2183" s="204"/>
    </row>
    <row r="2184">
      <c r="D2184" s="7"/>
      <c r="E2184" s="7"/>
      <c r="H2184" s="204"/>
    </row>
    <row r="2185">
      <c r="D2185" s="7"/>
      <c r="E2185" s="7"/>
      <c r="H2185" s="204"/>
    </row>
    <row r="2186">
      <c r="D2186" s="7"/>
      <c r="E2186" s="7"/>
      <c r="H2186" s="204"/>
    </row>
    <row r="2187">
      <c r="D2187" s="7"/>
      <c r="E2187" s="7"/>
      <c r="H2187" s="204"/>
    </row>
    <row r="2188">
      <c r="D2188" s="7"/>
      <c r="E2188" s="7"/>
      <c r="H2188" s="204"/>
    </row>
    <row r="2189">
      <c r="D2189" s="7"/>
      <c r="E2189" s="7"/>
      <c r="H2189" s="204"/>
    </row>
    <row r="2190">
      <c r="D2190" s="7"/>
      <c r="E2190" s="7"/>
      <c r="H2190" s="204"/>
    </row>
    <row r="2191">
      <c r="D2191" s="7"/>
      <c r="E2191" s="7"/>
      <c r="H2191" s="204"/>
    </row>
    <row r="2192">
      <c r="D2192" s="7"/>
      <c r="E2192" s="7"/>
      <c r="H2192" s="204"/>
    </row>
    <row r="2193">
      <c r="D2193" s="7"/>
      <c r="E2193" s="7"/>
      <c r="H2193" s="204"/>
    </row>
    <row r="2194">
      <c r="D2194" s="7"/>
      <c r="E2194" s="7"/>
      <c r="H2194" s="204"/>
    </row>
    <row r="2195">
      <c r="D2195" s="7"/>
      <c r="E2195" s="7"/>
      <c r="H2195" s="204"/>
    </row>
    <row r="2196">
      <c r="D2196" s="7"/>
      <c r="E2196" s="7"/>
      <c r="H2196" s="204"/>
    </row>
    <row r="2197">
      <c r="D2197" s="7"/>
      <c r="E2197" s="7"/>
      <c r="H2197" s="204"/>
    </row>
    <row r="2198">
      <c r="D2198" s="7"/>
      <c r="E2198" s="7"/>
      <c r="H2198" s="204"/>
    </row>
    <row r="2199">
      <c r="D2199" s="7"/>
      <c r="E2199" s="7"/>
      <c r="H2199" s="204"/>
    </row>
    <row r="2200">
      <c r="D2200" s="7"/>
      <c r="E2200" s="7"/>
      <c r="H2200" s="204"/>
    </row>
    <row r="2201">
      <c r="D2201" s="7"/>
      <c r="E2201" s="7"/>
      <c r="H2201" s="204"/>
    </row>
    <row r="2202">
      <c r="D2202" s="7"/>
      <c r="E2202" s="7"/>
      <c r="H2202" s="204"/>
    </row>
    <row r="2203">
      <c r="D2203" s="7"/>
      <c r="E2203" s="7"/>
      <c r="H2203" s="204"/>
    </row>
    <row r="2204">
      <c r="D2204" s="7"/>
      <c r="E2204" s="7"/>
      <c r="H2204" s="204"/>
    </row>
    <row r="2205">
      <c r="D2205" s="7"/>
      <c r="E2205" s="7"/>
      <c r="H2205" s="204"/>
    </row>
    <row r="2206">
      <c r="D2206" s="7"/>
      <c r="E2206" s="7"/>
      <c r="H2206" s="204"/>
    </row>
    <row r="2207">
      <c r="D2207" s="7"/>
      <c r="E2207" s="7"/>
      <c r="H2207" s="204"/>
    </row>
    <row r="2208">
      <c r="D2208" s="7"/>
      <c r="E2208" s="7"/>
      <c r="H2208" s="204"/>
    </row>
    <row r="2209">
      <c r="D2209" s="7"/>
      <c r="E2209" s="7"/>
      <c r="H2209" s="204"/>
    </row>
    <row r="2210">
      <c r="D2210" s="7"/>
      <c r="E2210" s="7"/>
      <c r="H2210" s="204"/>
    </row>
    <row r="2211">
      <c r="D2211" s="7"/>
      <c r="E2211" s="7"/>
      <c r="H2211" s="204"/>
    </row>
    <row r="2212">
      <c r="D2212" s="7"/>
      <c r="E2212" s="7"/>
      <c r="H2212" s="204"/>
    </row>
    <row r="2213">
      <c r="D2213" s="7"/>
      <c r="E2213" s="7"/>
      <c r="H2213" s="204"/>
    </row>
    <row r="2214">
      <c r="D2214" s="7"/>
      <c r="E2214" s="7"/>
      <c r="H2214" s="204"/>
    </row>
    <row r="2215">
      <c r="D2215" s="7"/>
      <c r="E2215" s="7"/>
      <c r="H2215" s="204"/>
    </row>
    <row r="2216">
      <c r="D2216" s="7"/>
      <c r="E2216" s="7"/>
      <c r="H2216" s="204"/>
    </row>
    <row r="2217">
      <c r="D2217" s="7"/>
      <c r="E2217" s="7"/>
      <c r="H2217" s="204"/>
    </row>
    <row r="2218">
      <c r="D2218" s="7"/>
      <c r="E2218" s="7"/>
      <c r="H2218" s="204"/>
    </row>
    <row r="2219">
      <c r="D2219" s="7"/>
      <c r="E2219" s="7"/>
      <c r="H2219" s="204"/>
    </row>
    <row r="2220">
      <c r="D2220" s="7"/>
      <c r="E2220" s="7"/>
      <c r="H2220" s="204"/>
    </row>
    <row r="2221">
      <c r="D2221" s="7"/>
      <c r="E2221" s="7"/>
      <c r="H2221" s="204"/>
    </row>
    <row r="2222">
      <c r="D2222" s="7"/>
      <c r="E2222" s="7"/>
      <c r="H2222" s="204"/>
    </row>
    <row r="2223">
      <c r="D2223" s="7"/>
      <c r="E2223" s="7"/>
      <c r="H2223" s="204"/>
    </row>
    <row r="2224">
      <c r="D2224" s="7"/>
      <c r="E2224" s="7"/>
      <c r="H2224" s="204"/>
    </row>
    <row r="2225">
      <c r="D2225" s="7"/>
      <c r="E2225" s="7"/>
      <c r="H2225" s="204"/>
    </row>
    <row r="2226">
      <c r="D2226" s="7"/>
      <c r="E2226" s="7"/>
      <c r="H2226" s="204"/>
    </row>
    <row r="2227">
      <c r="D2227" s="7"/>
      <c r="E2227" s="7"/>
      <c r="H2227" s="204"/>
    </row>
    <row r="2228">
      <c r="D2228" s="7"/>
      <c r="E2228" s="7"/>
      <c r="H2228" s="204"/>
    </row>
    <row r="2229">
      <c r="D2229" s="7"/>
      <c r="E2229" s="7"/>
      <c r="H2229" s="204"/>
    </row>
    <row r="2230">
      <c r="D2230" s="7"/>
      <c r="E2230" s="7"/>
      <c r="H2230" s="204"/>
    </row>
    <row r="2231">
      <c r="D2231" s="7"/>
      <c r="E2231" s="7"/>
      <c r="H2231" s="204"/>
    </row>
    <row r="2232">
      <c r="D2232" s="7"/>
      <c r="E2232" s="7"/>
      <c r="H2232" s="204"/>
    </row>
    <row r="2233">
      <c r="D2233" s="7"/>
      <c r="E2233" s="7"/>
      <c r="H2233" s="204"/>
    </row>
    <row r="2234">
      <c r="D2234" s="7"/>
      <c r="E2234" s="7"/>
      <c r="H2234" s="204"/>
    </row>
    <row r="2235">
      <c r="D2235" s="7"/>
      <c r="E2235" s="7"/>
      <c r="H2235" s="204"/>
    </row>
    <row r="2236">
      <c r="D2236" s="7"/>
      <c r="E2236" s="7"/>
      <c r="H2236" s="204"/>
    </row>
    <row r="2237">
      <c r="D2237" s="7"/>
      <c r="E2237" s="7"/>
      <c r="H2237" s="204"/>
    </row>
    <row r="2238">
      <c r="D2238" s="7"/>
      <c r="E2238" s="7"/>
      <c r="H2238" s="204"/>
    </row>
    <row r="2239">
      <c r="D2239" s="7"/>
      <c r="E2239" s="7"/>
      <c r="H2239" s="204"/>
    </row>
    <row r="2240">
      <c r="D2240" s="7"/>
      <c r="E2240" s="7"/>
      <c r="H2240" s="204"/>
    </row>
    <row r="2241">
      <c r="D2241" s="7"/>
      <c r="E2241" s="7"/>
      <c r="H2241" s="204"/>
    </row>
    <row r="2242">
      <c r="D2242" s="7"/>
      <c r="E2242" s="7"/>
      <c r="H2242" s="204"/>
    </row>
    <row r="2243">
      <c r="D2243" s="7"/>
      <c r="E2243" s="7"/>
      <c r="H2243" s="204"/>
    </row>
    <row r="2244">
      <c r="D2244" s="7"/>
      <c r="E2244" s="7"/>
      <c r="H2244" s="204"/>
    </row>
    <row r="2245">
      <c r="D2245" s="7"/>
      <c r="E2245" s="7"/>
      <c r="H2245" s="204"/>
    </row>
    <row r="2246">
      <c r="D2246" s="7"/>
      <c r="E2246" s="7"/>
      <c r="H2246" s="204"/>
    </row>
    <row r="2247">
      <c r="D2247" s="7"/>
      <c r="E2247" s="7"/>
      <c r="H2247" s="204"/>
    </row>
    <row r="2248">
      <c r="D2248" s="7"/>
      <c r="E2248" s="7"/>
      <c r="H2248" s="204"/>
    </row>
    <row r="2249">
      <c r="D2249" s="7"/>
      <c r="E2249" s="7"/>
      <c r="H2249" s="204"/>
    </row>
    <row r="2250">
      <c r="D2250" s="7"/>
      <c r="E2250" s="7"/>
      <c r="H2250" s="204"/>
    </row>
    <row r="2251">
      <c r="D2251" s="7"/>
      <c r="E2251" s="7"/>
      <c r="H2251" s="204"/>
    </row>
    <row r="2252">
      <c r="D2252" s="7"/>
      <c r="E2252" s="7"/>
      <c r="H2252" s="204"/>
    </row>
    <row r="2253">
      <c r="D2253" s="7"/>
      <c r="E2253" s="7"/>
      <c r="H2253" s="204"/>
    </row>
    <row r="2254">
      <c r="D2254" s="7"/>
      <c r="E2254" s="7"/>
      <c r="H2254" s="204"/>
    </row>
    <row r="2255">
      <c r="D2255" s="7"/>
      <c r="E2255" s="7"/>
      <c r="H2255" s="204"/>
    </row>
    <row r="2256">
      <c r="D2256" s="7"/>
      <c r="E2256" s="7"/>
      <c r="H2256" s="204"/>
    </row>
    <row r="2257">
      <c r="D2257" s="7"/>
      <c r="E2257" s="7"/>
      <c r="H2257" s="204"/>
    </row>
    <row r="2258">
      <c r="D2258" s="7"/>
      <c r="E2258" s="7"/>
      <c r="H2258" s="204"/>
    </row>
    <row r="2259">
      <c r="D2259" s="7"/>
      <c r="E2259" s="7"/>
      <c r="H2259" s="204"/>
    </row>
    <row r="2260">
      <c r="D2260" s="7"/>
      <c r="E2260" s="7"/>
      <c r="H2260" s="204"/>
    </row>
    <row r="2261">
      <c r="D2261" s="7"/>
      <c r="E2261" s="7"/>
      <c r="H2261" s="204"/>
    </row>
    <row r="2262">
      <c r="D2262" s="7"/>
      <c r="E2262" s="7"/>
      <c r="H2262" s="204"/>
    </row>
    <row r="2263">
      <c r="D2263" s="7"/>
      <c r="E2263" s="7"/>
      <c r="H2263" s="204"/>
    </row>
    <row r="2264">
      <c r="D2264" s="7"/>
      <c r="E2264" s="7"/>
      <c r="H2264" s="204"/>
    </row>
    <row r="2265">
      <c r="D2265" s="7"/>
      <c r="E2265" s="7"/>
      <c r="H2265" s="204"/>
    </row>
    <row r="2266">
      <c r="D2266" s="7"/>
      <c r="E2266" s="7"/>
      <c r="H2266" s="204"/>
    </row>
    <row r="2267">
      <c r="D2267" s="7"/>
      <c r="E2267" s="7"/>
      <c r="H2267" s="204"/>
    </row>
    <row r="2268">
      <c r="D2268" s="7"/>
      <c r="E2268" s="7"/>
      <c r="H2268" s="204"/>
    </row>
    <row r="2269">
      <c r="D2269" s="7"/>
      <c r="E2269" s="7"/>
      <c r="H2269" s="204"/>
    </row>
    <row r="2270">
      <c r="D2270" s="7"/>
      <c r="E2270" s="7"/>
      <c r="H2270" s="204"/>
    </row>
    <row r="2271">
      <c r="D2271" s="7"/>
      <c r="E2271" s="7"/>
      <c r="H2271" s="204"/>
    </row>
    <row r="2272">
      <c r="D2272" s="7"/>
      <c r="E2272" s="7"/>
      <c r="H2272" s="204"/>
    </row>
    <row r="2273">
      <c r="D2273" s="7"/>
      <c r="E2273" s="7"/>
      <c r="H2273" s="204"/>
    </row>
    <row r="2274">
      <c r="D2274" s="7"/>
      <c r="E2274" s="7"/>
      <c r="H2274" s="204"/>
    </row>
    <row r="2275">
      <c r="D2275" s="7"/>
      <c r="E2275" s="7"/>
      <c r="H2275" s="204"/>
    </row>
    <row r="2276">
      <c r="D2276" s="7"/>
      <c r="E2276" s="7"/>
      <c r="H2276" s="204"/>
    </row>
    <row r="2277">
      <c r="D2277" s="7"/>
      <c r="E2277" s="7"/>
      <c r="H2277" s="204"/>
    </row>
    <row r="2278">
      <c r="D2278" s="7"/>
      <c r="E2278" s="7"/>
      <c r="H2278" s="204"/>
    </row>
    <row r="2279">
      <c r="D2279" s="7"/>
      <c r="E2279" s="7"/>
      <c r="H2279" s="204"/>
    </row>
    <row r="2280">
      <c r="D2280" s="7"/>
      <c r="E2280" s="7"/>
      <c r="H2280" s="204"/>
    </row>
    <row r="2281">
      <c r="D2281" s="7"/>
      <c r="E2281" s="7"/>
      <c r="H2281" s="204"/>
    </row>
    <row r="2282">
      <c r="D2282" s="7"/>
      <c r="E2282" s="7"/>
      <c r="H2282" s="204"/>
    </row>
    <row r="2283">
      <c r="D2283" s="7"/>
      <c r="E2283" s="7"/>
      <c r="H2283" s="204"/>
    </row>
    <row r="2284">
      <c r="D2284" s="7"/>
      <c r="E2284" s="7"/>
      <c r="H2284" s="204"/>
    </row>
    <row r="2285">
      <c r="D2285" s="7"/>
      <c r="E2285" s="7"/>
      <c r="H2285" s="204"/>
    </row>
    <row r="2286">
      <c r="D2286" s="7"/>
      <c r="E2286" s="7"/>
      <c r="H2286" s="204"/>
    </row>
    <row r="2287">
      <c r="D2287" s="7"/>
      <c r="E2287" s="7"/>
      <c r="H2287" s="204"/>
    </row>
    <row r="2288">
      <c r="D2288" s="7"/>
      <c r="E2288" s="7"/>
      <c r="H2288" s="204"/>
    </row>
    <row r="2289">
      <c r="D2289" s="7"/>
      <c r="E2289" s="7"/>
      <c r="H2289" s="204"/>
    </row>
    <row r="2290">
      <c r="D2290" s="7"/>
      <c r="E2290" s="7"/>
      <c r="H2290" s="204"/>
    </row>
    <row r="2291">
      <c r="D2291" s="7"/>
      <c r="E2291" s="7"/>
      <c r="H2291" s="204"/>
    </row>
    <row r="2292">
      <c r="D2292" s="7"/>
      <c r="E2292" s="7"/>
      <c r="H2292" s="204"/>
    </row>
    <row r="2293">
      <c r="D2293" s="7"/>
      <c r="E2293" s="7"/>
      <c r="H2293" s="204"/>
    </row>
    <row r="2294">
      <c r="D2294" s="7"/>
      <c r="E2294" s="7"/>
      <c r="H2294" s="204"/>
    </row>
    <row r="2295">
      <c r="D2295" s="7"/>
      <c r="E2295" s="7"/>
      <c r="H2295" s="204"/>
    </row>
    <row r="2296">
      <c r="D2296" s="7"/>
      <c r="E2296" s="7"/>
      <c r="H2296" s="204"/>
    </row>
    <row r="2297">
      <c r="D2297" s="7"/>
      <c r="E2297" s="7"/>
      <c r="H2297" s="204"/>
    </row>
    <row r="2298">
      <c r="D2298" s="7"/>
      <c r="E2298" s="7"/>
      <c r="H2298" s="204"/>
    </row>
    <row r="2299">
      <c r="D2299" s="7"/>
      <c r="E2299" s="7"/>
      <c r="H2299" s="204"/>
    </row>
    <row r="2300">
      <c r="D2300" s="7"/>
      <c r="E2300" s="7"/>
      <c r="H2300" s="204"/>
    </row>
    <row r="2301">
      <c r="D2301" s="7"/>
      <c r="E2301" s="7"/>
      <c r="H2301" s="204"/>
    </row>
    <row r="2302">
      <c r="D2302" s="7"/>
      <c r="E2302" s="7"/>
      <c r="H2302" s="204"/>
    </row>
    <row r="2303">
      <c r="D2303" s="7"/>
      <c r="E2303" s="7"/>
      <c r="H2303" s="204"/>
    </row>
    <row r="2304">
      <c r="D2304" s="7"/>
      <c r="E2304" s="7"/>
      <c r="H2304" s="204"/>
    </row>
    <row r="2305">
      <c r="D2305" s="7"/>
      <c r="E2305" s="7"/>
      <c r="H2305" s="204"/>
    </row>
    <row r="2306">
      <c r="D2306" s="7"/>
      <c r="E2306" s="7"/>
      <c r="H2306" s="204"/>
    </row>
    <row r="2307">
      <c r="D2307" s="7"/>
      <c r="E2307" s="7"/>
      <c r="H2307" s="204"/>
    </row>
    <row r="2308">
      <c r="D2308" s="7"/>
      <c r="E2308" s="7"/>
      <c r="H2308" s="204"/>
    </row>
    <row r="2309">
      <c r="D2309" s="7"/>
      <c r="E2309" s="7"/>
      <c r="H2309" s="204"/>
    </row>
    <row r="2310">
      <c r="D2310" s="7"/>
      <c r="E2310" s="7"/>
      <c r="H2310" s="204"/>
    </row>
    <row r="2311">
      <c r="D2311" s="7"/>
      <c r="E2311" s="7"/>
      <c r="H2311" s="204"/>
    </row>
    <row r="2312">
      <c r="D2312" s="7"/>
      <c r="E2312" s="7"/>
      <c r="H2312" s="204"/>
    </row>
    <row r="2313">
      <c r="D2313" s="7"/>
      <c r="E2313" s="7"/>
      <c r="H2313" s="204"/>
    </row>
    <row r="2314">
      <c r="D2314" s="7"/>
      <c r="E2314" s="7"/>
      <c r="H2314" s="204"/>
    </row>
    <row r="2315">
      <c r="D2315" s="7"/>
      <c r="E2315" s="7"/>
      <c r="H2315" s="204"/>
    </row>
    <row r="2316">
      <c r="D2316" s="7"/>
      <c r="E2316" s="7"/>
      <c r="H2316" s="204"/>
    </row>
    <row r="2317">
      <c r="D2317" s="7"/>
      <c r="E2317" s="7"/>
      <c r="H2317" s="204"/>
    </row>
    <row r="2318">
      <c r="D2318" s="7"/>
      <c r="E2318" s="7"/>
      <c r="H2318" s="204"/>
    </row>
    <row r="2319">
      <c r="D2319" s="7"/>
      <c r="E2319" s="7"/>
      <c r="H2319" s="204"/>
    </row>
    <row r="2320">
      <c r="D2320" s="7"/>
      <c r="E2320" s="7"/>
      <c r="H2320" s="204"/>
    </row>
    <row r="2321">
      <c r="D2321" s="7"/>
      <c r="E2321" s="7"/>
      <c r="H2321" s="204"/>
    </row>
    <row r="2322">
      <c r="D2322" s="7"/>
      <c r="E2322" s="7"/>
      <c r="H2322" s="204"/>
    </row>
    <row r="2323">
      <c r="D2323" s="7"/>
      <c r="E2323" s="7"/>
      <c r="H2323" s="204"/>
    </row>
    <row r="2324">
      <c r="D2324" s="7"/>
      <c r="E2324" s="7"/>
      <c r="H2324" s="204"/>
    </row>
    <row r="2325">
      <c r="D2325" s="7"/>
      <c r="E2325" s="7"/>
      <c r="H2325" s="204"/>
    </row>
    <row r="2326">
      <c r="D2326" s="7"/>
      <c r="E2326" s="7"/>
      <c r="H2326" s="204"/>
    </row>
    <row r="2327">
      <c r="D2327" s="7"/>
      <c r="E2327" s="7"/>
      <c r="H2327" s="204"/>
    </row>
    <row r="2328">
      <c r="D2328" s="7"/>
      <c r="E2328" s="7"/>
      <c r="H2328" s="204"/>
    </row>
    <row r="2329">
      <c r="D2329" s="7"/>
      <c r="E2329" s="7"/>
      <c r="H2329" s="204"/>
    </row>
    <row r="2330">
      <c r="D2330" s="7"/>
      <c r="E2330" s="7"/>
      <c r="H2330" s="204"/>
    </row>
    <row r="2331">
      <c r="D2331" s="7"/>
      <c r="E2331" s="7"/>
      <c r="H2331" s="204"/>
    </row>
    <row r="2332">
      <c r="D2332" s="7"/>
      <c r="E2332" s="7"/>
      <c r="H2332" s="204"/>
    </row>
    <row r="2333">
      <c r="D2333" s="7"/>
      <c r="E2333" s="7"/>
      <c r="H2333" s="204"/>
    </row>
    <row r="2334">
      <c r="D2334" s="7"/>
      <c r="E2334" s="7"/>
      <c r="H2334" s="204"/>
    </row>
    <row r="2335">
      <c r="D2335" s="7"/>
      <c r="E2335" s="7"/>
      <c r="H2335" s="204"/>
    </row>
    <row r="2336">
      <c r="D2336" s="7"/>
      <c r="E2336" s="7"/>
      <c r="H2336" s="204"/>
    </row>
    <row r="2337">
      <c r="D2337" s="7"/>
      <c r="E2337" s="7"/>
      <c r="H2337" s="204"/>
    </row>
    <row r="2338">
      <c r="D2338" s="7"/>
      <c r="E2338" s="7"/>
      <c r="H2338" s="204"/>
    </row>
    <row r="2339">
      <c r="D2339" s="7"/>
      <c r="E2339" s="7"/>
      <c r="H2339" s="204"/>
    </row>
    <row r="2340">
      <c r="D2340" s="7"/>
      <c r="E2340" s="7"/>
      <c r="H2340" s="204"/>
    </row>
    <row r="2341">
      <c r="D2341" s="7"/>
      <c r="E2341" s="7"/>
      <c r="H2341" s="204"/>
    </row>
    <row r="2342">
      <c r="D2342" s="7"/>
      <c r="E2342" s="7"/>
      <c r="H2342" s="204"/>
    </row>
    <row r="2343">
      <c r="D2343" s="7"/>
      <c r="E2343" s="7"/>
      <c r="H2343" s="204"/>
    </row>
    <row r="2344">
      <c r="D2344" s="7"/>
      <c r="E2344" s="7"/>
      <c r="H2344" s="204"/>
    </row>
    <row r="2345">
      <c r="D2345" s="7"/>
      <c r="E2345" s="7"/>
      <c r="H2345" s="204"/>
    </row>
    <row r="2346">
      <c r="D2346" s="7"/>
      <c r="E2346" s="7"/>
      <c r="H2346" s="204"/>
    </row>
    <row r="2347">
      <c r="D2347" s="7"/>
      <c r="E2347" s="7"/>
      <c r="H2347" s="204"/>
    </row>
    <row r="2348">
      <c r="D2348" s="7"/>
      <c r="E2348" s="7"/>
      <c r="H2348" s="204"/>
    </row>
    <row r="2349">
      <c r="D2349" s="7"/>
      <c r="E2349" s="7"/>
      <c r="H2349" s="204"/>
    </row>
    <row r="2350">
      <c r="D2350" s="7"/>
      <c r="E2350" s="7"/>
      <c r="H2350" s="204"/>
    </row>
    <row r="2351">
      <c r="D2351" s="7"/>
      <c r="E2351" s="7"/>
      <c r="H2351" s="204"/>
    </row>
    <row r="2352">
      <c r="D2352" s="7"/>
      <c r="E2352" s="7"/>
      <c r="H2352" s="204"/>
    </row>
    <row r="2353">
      <c r="D2353" s="7"/>
      <c r="E2353" s="7"/>
      <c r="H2353" s="204"/>
    </row>
    <row r="2354">
      <c r="D2354" s="7"/>
      <c r="E2354" s="7"/>
      <c r="H2354" s="204"/>
    </row>
    <row r="2355">
      <c r="D2355" s="7"/>
      <c r="E2355" s="7"/>
      <c r="H2355" s="204"/>
    </row>
    <row r="2356">
      <c r="D2356" s="7"/>
      <c r="E2356" s="7"/>
      <c r="H2356" s="204"/>
    </row>
    <row r="2357">
      <c r="D2357" s="7"/>
      <c r="E2357" s="7"/>
      <c r="H2357" s="204"/>
    </row>
    <row r="2358">
      <c r="D2358" s="7"/>
      <c r="E2358" s="7"/>
      <c r="H2358" s="204"/>
    </row>
    <row r="2359">
      <c r="D2359" s="7"/>
      <c r="E2359" s="7"/>
      <c r="H2359" s="204"/>
    </row>
    <row r="2360">
      <c r="D2360" s="7"/>
      <c r="E2360" s="7"/>
      <c r="H2360" s="204"/>
    </row>
    <row r="2361">
      <c r="D2361" s="7"/>
      <c r="E2361" s="7"/>
      <c r="H2361" s="204"/>
    </row>
    <row r="2362">
      <c r="D2362" s="7"/>
      <c r="E2362" s="7"/>
      <c r="H2362" s="204"/>
    </row>
    <row r="2363">
      <c r="D2363" s="7"/>
      <c r="E2363" s="7"/>
      <c r="H2363" s="204"/>
    </row>
    <row r="2364">
      <c r="D2364" s="7"/>
      <c r="E2364" s="7"/>
      <c r="H2364" s="204"/>
    </row>
    <row r="2365">
      <c r="D2365" s="7"/>
      <c r="E2365" s="7"/>
      <c r="H2365" s="204"/>
    </row>
    <row r="2366">
      <c r="D2366" s="7"/>
      <c r="E2366" s="7"/>
      <c r="H2366" s="204"/>
    </row>
    <row r="2367">
      <c r="D2367" s="7"/>
      <c r="E2367" s="7"/>
      <c r="H2367" s="204"/>
    </row>
    <row r="2368">
      <c r="D2368" s="7"/>
      <c r="E2368" s="7"/>
      <c r="H2368" s="204"/>
    </row>
    <row r="2369">
      <c r="D2369" s="7"/>
      <c r="E2369" s="7"/>
      <c r="H2369" s="204"/>
    </row>
    <row r="2370">
      <c r="D2370" s="7"/>
      <c r="E2370" s="7"/>
      <c r="H2370" s="204"/>
    </row>
    <row r="2371">
      <c r="D2371" s="7"/>
      <c r="E2371" s="7"/>
      <c r="H2371" s="204"/>
    </row>
    <row r="2372">
      <c r="D2372" s="7"/>
      <c r="E2372" s="7"/>
      <c r="H2372" s="204"/>
    </row>
    <row r="2373">
      <c r="D2373" s="7"/>
      <c r="E2373" s="7"/>
      <c r="H2373" s="204"/>
    </row>
    <row r="2374">
      <c r="D2374" s="7"/>
      <c r="E2374" s="7"/>
      <c r="H2374" s="204"/>
    </row>
    <row r="2375">
      <c r="D2375" s="7"/>
      <c r="E2375" s="7"/>
      <c r="H2375" s="204"/>
    </row>
    <row r="2376">
      <c r="D2376" s="7"/>
      <c r="E2376" s="7"/>
      <c r="H2376" s="204"/>
    </row>
    <row r="2377">
      <c r="D2377" s="7"/>
      <c r="E2377" s="7"/>
      <c r="H2377" s="204"/>
    </row>
    <row r="2378">
      <c r="D2378" s="7"/>
      <c r="E2378" s="7"/>
      <c r="H2378" s="204"/>
    </row>
    <row r="2379">
      <c r="D2379" s="7"/>
      <c r="E2379" s="7"/>
      <c r="H2379" s="204"/>
    </row>
    <row r="2380">
      <c r="D2380" s="7"/>
      <c r="E2380" s="7"/>
      <c r="H2380" s="204"/>
    </row>
    <row r="2381">
      <c r="D2381" s="7"/>
      <c r="E2381" s="7"/>
      <c r="H2381" s="204"/>
    </row>
    <row r="2382">
      <c r="D2382" s="7"/>
      <c r="E2382" s="7"/>
      <c r="H2382" s="204"/>
    </row>
    <row r="2383">
      <c r="D2383" s="7"/>
      <c r="E2383" s="7"/>
      <c r="H2383" s="204"/>
    </row>
    <row r="2384">
      <c r="D2384" s="7"/>
      <c r="E2384" s="7"/>
      <c r="H2384" s="204"/>
    </row>
    <row r="2385">
      <c r="D2385" s="7"/>
      <c r="E2385" s="7"/>
      <c r="H2385" s="204"/>
    </row>
    <row r="2386">
      <c r="D2386" s="7"/>
      <c r="E2386" s="7"/>
      <c r="H2386" s="204"/>
    </row>
    <row r="2387">
      <c r="D2387" s="7"/>
      <c r="E2387" s="7"/>
      <c r="H2387" s="204"/>
    </row>
    <row r="2388">
      <c r="D2388" s="7"/>
      <c r="E2388" s="7"/>
      <c r="H2388" s="204"/>
    </row>
    <row r="2389">
      <c r="D2389" s="7"/>
      <c r="E2389" s="7"/>
      <c r="H2389" s="204"/>
    </row>
    <row r="2390">
      <c r="D2390" s="7"/>
      <c r="E2390" s="7"/>
      <c r="H2390" s="204"/>
    </row>
    <row r="2391">
      <c r="D2391" s="7"/>
      <c r="E2391" s="7"/>
      <c r="H2391" s="204"/>
    </row>
    <row r="2392">
      <c r="D2392" s="7"/>
      <c r="E2392" s="7"/>
      <c r="H2392" s="204"/>
    </row>
    <row r="2393">
      <c r="D2393" s="7"/>
      <c r="E2393" s="7"/>
      <c r="H2393" s="204"/>
    </row>
    <row r="2394">
      <c r="D2394" s="7"/>
      <c r="E2394" s="7"/>
      <c r="H2394" s="204"/>
    </row>
    <row r="2395">
      <c r="D2395" s="7"/>
      <c r="E2395" s="7"/>
      <c r="H2395" s="204"/>
    </row>
    <row r="2396">
      <c r="D2396" s="7"/>
      <c r="E2396" s="7"/>
      <c r="H2396" s="204"/>
    </row>
    <row r="2397">
      <c r="D2397" s="7"/>
      <c r="E2397" s="7"/>
      <c r="H2397" s="204"/>
    </row>
    <row r="2398">
      <c r="D2398" s="7"/>
      <c r="E2398" s="7"/>
      <c r="H2398" s="204"/>
    </row>
    <row r="2399">
      <c r="D2399" s="7"/>
      <c r="E2399" s="7"/>
      <c r="H2399" s="204"/>
    </row>
    <row r="2400">
      <c r="D2400" s="7"/>
      <c r="E2400" s="7"/>
      <c r="H2400" s="204"/>
    </row>
    <row r="2401">
      <c r="D2401" s="7"/>
      <c r="E2401" s="7"/>
      <c r="H2401" s="204"/>
    </row>
    <row r="2402">
      <c r="D2402" s="7"/>
      <c r="E2402" s="7"/>
      <c r="H2402" s="204"/>
    </row>
    <row r="2403">
      <c r="D2403" s="7"/>
      <c r="E2403" s="7"/>
      <c r="H2403" s="204"/>
    </row>
    <row r="2404">
      <c r="D2404" s="7"/>
      <c r="E2404" s="7"/>
      <c r="H2404" s="204"/>
    </row>
    <row r="2405">
      <c r="D2405" s="7"/>
      <c r="E2405" s="7"/>
      <c r="H2405" s="204"/>
    </row>
    <row r="2406">
      <c r="D2406" s="7"/>
      <c r="E2406" s="7"/>
      <c r="H2406" s="204"/>
    </row>
    <row r="2407">
      <c r="D2407" s="7"/>
      <c r="E2407" s="7"/>
      <c r="H2407" s="204"/>
    </row>
    <row r="2408">
      <c r="D2408" s="7"/>
      <c r="E2408" s="7"/>
      <c r="H2408" s="204"/>
    </row>
    <row r="2409">
      <c r="D2409" s="7"/>
      <c r="E2409" s="7"/>
      <c r="H2409" s="204"/>
    </row>
    <row r="2410">
      <c r="D2410" s="7"/>
      <c r="E2410" s="7"/>
      <c r="H2410" s="204"/>
    </row>
    <row r="2411">
      <c r="D2411" s="7"/>
      <c r="E2411" s="7"/>
      <c r="H2411" s="204"/>
    </row>
    <row r="2412">
      <c r="D2412" s="7"/>
      <c r="E2412" s="7"/>
      <c r="H2412" s="204"/>
    </row>
    <row r="2413">
      <c r="D2413" s="7"/>
      <c r="E2413" s="7"/>
      <c r="H2413" s="204"/>
    </row>
    <row r="2414">
      <c r="D2414" s="7"/>
      <c r="E2414" s="7"/>
      <c r="H2414" s="204"/>
    </row>
    <row r="2415">
      <c r="D2415" s="7"/>
      <c r="E2415" s="7"/>
      <c r="H2415" s="204"/>
    </row>
    <row r="2416">
      <c r="D2416" s="7"/>
      <c r="E2416" s="7"/>
      <c r="H2416" s="204"/>
    </row>
    <row r="2417">
      <c r="D2417" s="7"/>
      <c r="E2417" s="7"/>
      <c r="H2417" s="204"/>
    </row>
    <row r="2418">
      <c r="D2418" s="7"/>
      <c r="E2418" s="7"/>
      <c r="H2418" s="204"/>
    </row>
    <row r="2419">
      <c r="D2419" s="7"/>
      <c r="E2419" s="7"/>
      <c r="H2419" s="204"/>
    </row>
    <row r="2420">
      <c r="D2420" s="7"/>
      <c r="E2420" s="7"/>
      <c r="H2420" s="204"/>
    </row>
    <row r="2421">
      <c r="D2421" s="7"/>
      <c r="E2421" s="7"/>
      <c r="H2421" s="204"/>
    </row>
    <row r="2422">
      <c r="D2422" s="7"/>
      <c r="E2422" s="7"/>
      <c r="H2422" s="204"/>
    </row>
    <row r="2423">
      <c r="D2423" s="7"/>
      <c r="E2423" s="7"/>
      <c r="H2423" s="204"/>
    </row>
    <row r="2424">
      <c r="D2424" s="7"/>
      <c r="E2424" s="7"/>
      <c r="H2424" s="204"/>
    </row>
    <row r="2425">
      <c r="D2425" s="7"/>
      <c r="E2425" s="7"/>
      <c r="H2425" s="204"/>
    </row>
    <row r="2426">
      <c r="D2426" s="7"/>
      <c r="E2426" s="7"/>
      <c r="H2426" s="204"/>
    </row>
    <row r="2427">
      <c r="D2427" s="7"/>
      <c r="E2427" s="7"/>
      <c r="H2427" s="204"/>
    </row>
    <row r="2428">
      <c r="D2428" s="7"/>
      <c r="E2428" s="7"/>
      <c r="H2428" s="204"/>
    </row>
    <row r="2429">
      <c r="D2429" s="7"/>
      <c r="E2429" s="7"/>
      <c r="H2429" s="204"/>
    </row>
    <row r="2430">
      <c r="D2430" s="7"/>
      <c r="E2430" s="7"/>
      <c r="H2430" s="204"/>
    </row>
    <row r="2431">
      <c r="D2431" s="7"/>
      <c r="E2431" s="7"/>
      <c r="H2431" s="204"/>
    </row>
    <row r="2432">
      <c r="D2432" s="7"/>
      <c r="E2432" s="7"/>
      <c r="H2432" s="204"/>
    </row>
    <row r="2433">
      <c r="D2433" s="7"/>
      <c r="E2433" s="7"/>
      <c r="H2433" s="204"/>
    </row>
    <row r="2434">
      <c r="D2434" s="7"/>
      <c r="E2434" s="7"/>
      <c r="H2434" s="204"/>
    </row>
    <row r="2435">
      <c r="D2435" s="7"/>
      <c r="E2435" s="7"/>
      <c r="H2435" s="204"/>
    </row>
    <row r="2436">
      <c r="D2436" s="7"/>
      <c r="E2436" s="7"/>
      <c r="H2436" s="204"/>
    </row>
    <row r="2437">
      <c r="D2437" s="7"/>
      <c r="E2437" s="7"/>
      <c r="H2437" s="204"/>
    </row>
    <row r="2438">
      <c r="D2438" s="7"/>
      <c r="E2438" s="7"/>
      <c r="H2438" s="204"/>
    </row>
    <row r="2439">
      <c r="D2439" s="7"/>
      <c r="E2439" s="7"/>
      <c r="H2439" s="204"/>
    </row>
    <row r="2440">
      <c r="D2440" s="7"/>
      <c r="E2440" s="7"/>
      <c r="H2440" s="204"/>
    </row>
    <row r="2441">
      <c r="D2441" s="7"/>
      <c r="E2441" s="7"/>
      <c r="H2441" s="204"/>
    </row>
    <row r="2442">
      <c r="D2442" s="7"/>
      <c r="E2442" s="7"/>
      <c r="H2442" s="204"/>
    </row>
    <row r="2443">
      <c r="D2443" s="7"/>
      <c r="E2443" s="7"/>
      <c r="H2443" s="204"/>
    </row>
    <row r="2444">
      <c r="D2444" s="7"/>
      <c r="E2444" s="7"/>
      <c r="H2444" s="204"/>
    </row>
    <row r="2445">
      <c r="D2445" s="7"/>
      <c r="E2445" s="7"/>
      <c r="H2445" s="204"/>
    </row>
    <row r="2446">
      <c r="D2446" s="7"/>
      <c r="E2446" s="7"/>
      <c r="H2446" s="204"/>
    </row>
    <row r="2447">
      <c r="D2447" s="7"/>
      <c r="E2447" s="7"/>
      <c r="H2447" s="204"/>
    </row>
    <row r="2448">
      <c r="D2448" s="7"/>
      <c r="E2448" s="7"/>
      <c r="H2448" s="204"/>
    </row>
    <row r="2449">
      <c r="D2449" s="7"/>
      <c r="E2449" s="7"/>
      <c r="H2449" s="204"/>
    </row>
    <row r="2450">
      <c r="D2450" s="7"/>
      <c r="E2450" s="7"/>
      <c r="H2450" s="204"/>
    </row>
    <row r="2451">
      <c r="D2451" s="7"/>
      <c r="E2451" s="7"/>
      <c r="H2451" s="204"/>
    </row>
    <row r="2452">
      <c r="D2452" s="7"/>
      <c r="E2452" s="7"/>
      <c r="H2452" s="204"/>
    </row>
    <row r="2453">
      <c r="D2453" s="7"/>
      <c r="E2453" s="7"/>
      <c r="H2453" s="204"/>
    </row>
    <row r="2454">
      <c r="D2454" s="7"/>
      <c r="E2454" s="7"/>
      <c r="H2454" s="204"/>
    </row>
    <row r="2455">
      <c r="D2455" s="7"/>
      <c r="E2455" s="7"/>
      <c r="H2455" s="204"/>
    </row>
    <row r="2456">
      <c r="D2456" s="7"/>
      <c r="E2456" s="7"/>
      <c r="H2456" s="204"/>
    </row>
    <row r="2457">
      <c r="D2457" s="7"/>
      <c r="E2457" s="7"/>
      <c r="H2457" s="204"/>
    </row>
    <row r="2458">
      <c r="D2458" s="7"/>
      <c r="E2458" s="7"/>
      <c r="H2458" s="204"/>
    </row>
    <row r="2459">
      <c r="D2459" s="7"/>
      <c r="E2459" s="7"/>
      <c r="H2459" s="204"/>
    </row>
    <row r="2460">
      <c r="D2460" s="7"/>
      <c r="E2460" s="7"/>
      <c r="H2460" s="204"/>
    </row>
    <row r="2461">
      <c r="D2461" s="7"/>
      <c r="E2461" s="7"/>
      <c r="H2461" s="204"/>
    </row>
    <row r="2462">
      <c r="D2462" s="7"/>
      <c r="E2462" s="7"/>
      <c r="H2462" s="204"/>
    </row>
    <row r="2463">
      <c r="D2463" s="7"/>
      <c r="E2463" s="7"/>
      <c r="H2463" s="204"/>
    </row>
    <row r="2464">
      <c r="D2464" s="7"/>
      <c r="E2464" s="7"/>
      <c r="H2464" s="204"/>
    </row>
    <row r="2465">
      <c r="D2465" s="7"/>
      <c r="E2465" s="7"/>
      <c r="H2465" s="204"/>
    </row>
    <row r="2466">
      <c r="D2466" s="7"/>
      <c r="E2466" s="7"/>
      <c r="H2466" s="204"/>
    </row>
    <row r="2467">
      <c r="D2467" s="7"/>
      <c r="E2467" s="7"/>
      <c r="H2467" s="204"/>
    </row>
    <row r="2468">
      <c r="D2468" s="7"/>
      <c r="E2468" s="7"/>
      <c r="H2468" s="204"/>
    </row>
    <row r="2469">
      <c r="D2469" s="7"/>
      <c r="E2469" s="7"/>
      <c r="H2469" s="204"/>
    </row>
    <row r="2470">
      <c r="D2470" s="7"/>
      <c r="E2470" s="7"/>
      <c r="H2470" s="204"/>
    </row>
    <row r="2471">
      <c r="D2471" s="7"/>
      <c r="E2471" s="7"/>
      <c r="H2471" s="204"/>
    </row>
    <row r="2472">
      <c r="D2472" s="7"/>
      <c r="E2472" s="7"/>
      <c r="H2472" s="204"/>
    </row>
    <row r="2473">
      <c r="D2473" s="7"/>
      <c r="E2473" s="7"/>
      <c r="H2473" s="204"/>
    </row>
    <row r="2474">
      <c r="D2474" s="7"/>
      <c r="E2474" s="7"/>
      <c r="H2474" s="204"/>
    </row>
    <row r="2475">
      <c r="D2475" s="7"/>
      <c r="E2475" s="7"/>
      <c r="H2475" s="204"/>
    </row>
    <row r="2476">
      <c r="D2476" s="7"/>
      <c r="E2476" s="7"/>
      <c r="H2476" s="204"/>
    </row>
    <row r="2477">
      <c r="D2477" s="7"/>
      <c r="E2477" s="7"/>
      <c r="H2477" s="204"/>
    </row>
    <row r="2478">
      <c r="D2478" s="7"/>
      <c r="E2478" s="7"/>
      <c r="H2478" s="204"/>
    </row>
    <row r="2479">
      <c r="D2479" s="7"/>
      <c r="E2479" s="7"/>
      <c r="H2479" s="204"/>
    </row>
    <row r="2480">
      <c r="D2480" s="7"/>
      <c r="E2480" s="7"/>
      <c r="H2480" s="204"/>
    </row>
    <row r="2481">
      <c r="D2481" s="7"/>
      <c r="E2481" s="7"/>
      <c r="H2481" s="204"/>
    </row>
    <row r="2482">
      <c r="D2482" s="7"/>
      <c r="E2482" s="7"/>
      <c r="H2482" s="204"/>
    </row>
    <row r="2483">
      <c r="D2483" s="7"/>
      <c r="E2483" s="7"/>
      <c r="H2483" s="204"/>
    </row>
    <row r="2484">
      <c r="D2484" s="7"/>
      <c r="E2484" s="7"/>
      <c r="H2484" s="204"/>
    </row>
    <row r="2485">
      <c r="D2485" s="7"/>
      <c r="E2485" s="7"/>
      <c r="H2485" s="204"/>
    </row>
    <row r="2486">
      <c r="D2486" s="7"/>
      <c r="E2486" s="7"/>
      <c r="H2486" s="204"/>
    </row>
    <row r="2487">
      <c r="D2487" s="7"/>
      <c r="E2487" s="7"/>
      <c r="H2487" s="204"/>
    </row>
    <row r="2488">
      <c r="D2488" s="7"/>
      <c r="E2488" s="7"/>
      <c r="H2488" s="204"/>
    </row>
    <row r="2489">
      <c r="D2489" s="7"/>
      <c r="E2489" s="7"/>
      <c r="H2489" s="204"/>
    </row>
    <row r="2490">
      <c r="D2490" s="7"/>
      <c r="E2490" s="7"/>
      <c r="H2490" s="204"/>
    </row>
    <row r="2491">
      <c r="D2491" s="7"/>
      <c r="E2491" s="7"/>
      <c r="H2491" s="204"/>
    </row>
    <row r="2492">
      <c r="D2492" s="7"/>
      <c r="E2492" s="7"/>
      <c r="H2492" s="204"/>
    </row>
    <row r="2493">
      <c r="D2493" s="7"/>
      <c r="E2493" s="7"/>
      <c r="H2493" s="204"/>
    </row>
    <row r="2494">
      <c r="D2494" s="7"/>
      <c r="E2494" s="7"/>
      <c r="H2494" s="204"/>
    </row>
    <row r="2495">
      <c r="D2495" s="7"/>
      <c r="E2495" s="7"/>
      <c r="H2495" s="204"/>
    </row>
    <row r="2496">
      <c r="D2496" s="7"/>
      <c r="E2496" s="7"/>
      <c r="H2496" s="204"/>
    </row>
    <row r="2497">
      <c r="D2497" s="7"/>
      <c r="E2497" s="7"/>
      <c r="H2497" s="204"/>
    </row>
    <row r="2498">
      <c r="D2498" s="7"/>
      <c r="E2498" s="7"/>
      <c r="H2498" s="204"/>
    </row>
    <row r="2499">
      <c r="D2499" s="7"/>
      <c r="E2499" s="7"/>
      <c r="H2499" s="204"/>
    </row>
    <row r="2500">
      <c r="D2500" s="7"/>
      <c r="E2500" s="7"/>
      <c r="H2500" s="204"/>
    </row>
    <row r="2501">
      <c r="D2501" s="7"/>
      <c r="E2501" s="7"/>
      <c r="H2501" s="204"/>
    </row>
    <row r="2502">
      <c r="D2502" s="7"/>
      <c r="E2502" s="7"/>
      <c r="H2502" s="204"/>
    </row>
    <row r="2503">
      <c r="D2503" s="7"/>
      <c r="E2503" s="7"/>
      <c r="H2503" s="204"/>
    </row>
    <row r="2504">
      <c r="D2504" s="7"/>
      <c r="E2504" s="7"/>
      <c r="H2504" s="204"/>
    </row>
    <row r="2505">
      <c r="D2505" s="7"/>
      <c r="E2505" s="7"/>
      <c r="H2505" s="204"/>
    </row>
    <row r="2506">
      <c r="D2506" s="7"/>
      <c r="E2506" s="7"/>
      <c r="H2506" s="204"/>
    </row>
    <row r="2507">
      <c r="D2507" s="7"/>
      <c r="E2507" s="7"/>
      <c r="H2507" s="204"/>
    </row>
    <row r="2508">
      <c r="D2508" s="7"/>
      <c r="E2508" s="7"/>
      <c r="H2508" s="204"/>
    </row>
    <row r="2509">
      <c r="D2509" s="7"/>
      <c r="E2509" s="7"/>
      <c r="H2509" s="204"/>
    </row>
    <row r="2510">
      <c r="D2510" s="7"/>
      <c r="E2510" s="7"/>
      <c r="H2510" s="204"/>
    </row>
    <row r="2511">
      <c r="D2511" s="7"/>
      <c r="E2511" s="7"/>
      <c r="H2511" s="204"/>
    </row>
    <row r="2512">
      <c r="D2512" s="7"/>
      <c r="E2512" s="7"/>
      <c r="H2512" s="204"/>
    </row>
    <row r="2513">
      <c r="D2513" s="7"/>
      <c r="E2513" s="7"/>
      <c r="H2513" s="204"/>
    </row>
    <row r="2514">
      <c r="D2514" s="7"/>
      <c r="E2514" s="7"/>
      <c r="H2514" s="204"/>
    </row>
    <row r="2515">
      <c r="D2515" s="7"/>
      <c r="E2515" s="7"/>
      <c r="H2515" s="204"/>
    </row>
    <row r="2516">
      <c r="D2516" s="7"/>
      <c r="E2516" s="7"/>
      <c r="H2516" s="204"/>
    </row>
    <row r="2517">
      <c r="D2517" s="7"/>
      <c r="E2517" s="7"/>
      <c r="H2517" s="204"/>
    </row>
    <row r="2518">
      <c r="D2518" s="7"/>
      <c r="E2518" s="7"/>
      <c r="H2518" s="204"/>
    </row>
    <row r="2519">
      <c r="D2519" s="7"/>
      <c r="E2519" s="7"/>
      <c r="H2519" s="204"/>
    </row>
    <row r="2520">
      <c r="D2520" s="7"/>
      <c r="E2520" s="7"/>
      <c r="H2520" s="204"/>
    </row>
    <row r="2521">
      <c r="D2521" s="7"/>
      <c r="E2521" s="7"/>
      <c r="H2521" s="204"/>
    </row>
    <row r="2522">
      <c r="D2522" s="7"/>
      <c r="E2522" s="7"/>
      <c r="H2522" s="204"/>
    </row>
    <row r="2523">
      <c r="D2523" s="7"/>
      <c r="E2523" s="7"/>
      <c r="H2523" s="204"/>
    </row>
    <row r="2524">
      <c r="D2524" s="7"/>
      <c r="E2524" s="7"/>
      <c r="H2524" s="204"/>
    </row>
    <row r="2525">
      <c r="D2525" s="7"/>
      <c r="E2525" s="7"/>
      <c r="H2525" s="204"/>
    </row>
    <row r="2526">
      <c r="D2526" s="7"/>
      <c r="E2526" s="7"/>
      <c r="H2526" s="204"/>
    </row>
    <row r="2527">
      <c r="D2527" s="7"/>
      <c r="E2527" s="7"/>
      <c r="H2527" s="204"/>
    </row>
    <row r="2528">
      <c r="D2528" s="7"/>
      <c r="E2528" s="7"/>
      <c r="H2528" s="204"/>
    </row>
    <row r="2529">
      <c r="D2529" s="7"/>
      <c r="E2529" s="7"/>
      <c r="H2529" s="204"/>
    </row>
    <row r="2530">
      <c r="D2530" s="7"/>
      <c r="E2530" s="7"/>
      <c r="H2530" s="204"/>
    </row>
    <row r="2531">
      <c r="D2531" s="7"/>
      <c r="E2531" s="7"/>
      <c r="H2531" s="204"/>
    </row>
    <row r="2532">
      <c r="D2532" s="7"/>
      <c r="E2532" s="7"/>
      <c r="H2532" s="204"/>
    </row>
    <row r="2533">
      <c r="D2533" s="7"/>
      <c r="E2533" s="7"/>
      <c r="H2533" s="204"/>
    </row>
    <row r="2534">
      <c r="D2534" s="7"/>
      <c r="E2534" s="7"/>
      <c r="H2534" s="204"/>
    </row>
    <row r="2535">
      <c r="D2535" s="7"/>
      <c r="E2535" s="7"/>
      <c r="H2535" s="204"/>
    </row>
    <row r="2536">
      <c r="D2536" s="7"/>
      <c r="E2536" s="7"/>
      <c r="H2536" s="204"/>
    </row>
    <row r="2537">
      <c r="D2537" s="7"/>
      <c r="E2537" s="7"/>
      <c r="H2537" s="204"/>
    </row>
    <row r="2538">
      <c r="D2538" s="7"/>
      <c r="E2538" s="7"/>
      <c r="H2538" s="204"/>
    </row>
    <row r="2539">
      <c r="D2539" s="7"/>
      <c r="E2539" s="7"/>
      <c r="H2539" s="204"/>
    </row>
    <row r="2540">
      <c r="D2540" s="7"/>
      <c r="E2540" s="7"/>
      <c r="H2540" s="204"/>
    </row>
    <row r="2541">
      <c r="D2541" s="7"/>
      <c r="E2541" s="7"/>
      <c r="H2541" s="204"/>
    </row>
    <row r="2542">
      <c r="D2542" s="7"/>
      <c r="E2542" s="7"/>
      <c r="H2542" s="204"/>
    </row>
    <row r="2543">
      <c r="D2543" s="7"/>
      <c r="E2543" s="7"/>
      <c r="H2543" s="204"/>
    </row>
    <row r="2544">
      <c r="D2544" s="7"/>
      <c r="E2544" s="7"/>
      <c r="H2544" s="204"/>
    </row>
    <row r="2545">
      <c r="D2545" s="7"/>
      <c r="E2545" s="7"/>
      <c r="H2545" s="204"/>
    </row>
    <row r="2546">
      <c r="D2546" s="7"/>
      <c r="E2546" s="7"/>
      <c r="H2546" s="204"/>
    </row>
    <row r="2547">
      <c r="D2547" s="7"/>
      <c r="E2547" s="7"/>
      <c r="H2547" s="204"/>
    </row>
    <row r="2548">
      <c r="D2548" s="7"/>
      <c r="E2548" s="7"/>
      <c r="H2548" s="204"/>
    </row>
    <row r="2549">
      <c r="D2549" s="7"/>
      <c r="E2549" s="7"/>
      <c r="H2549" s="204"/>
    </row>
    <row r="2550">
      <c r="D2550" s="7"/>
      <c r="E2550" s="7"/>
      <c r="H2550" s="204"/>
    </row>
    <row r="2551">
      <c r="D2551" s="7"/>
      <c r="E2551" s="7"/>
      <c r="H2551" s="204"/>
    </row>
    <row r="2552">
      <c r="D2552" s="7"/>
      <c r="E2552" s="7"/>
      <c r="H2552" s="204"/>
    </row>
    <row r="2553">
      <c r="D2553" s="7"/>
      <c r="E2553" s="7"/>
      <c r="H2553" s="204"/>
    </row>
    <row r="2554">
      <c r="D2554" s="7"/>
      <c r="E2554" s="7"/>
      <c r="H2554" s="204"/>
    </row>
    <row r="2555">
      <c r="D2555" s="7"/>
      <c r="E2555" s="7"/>
      <c r="H2555" s="204"/>
    </row>
    <row r="2556">
      <c r="D2556" s="7"/>
      <c r="E2556" s="7"/>
      <c r="H2556" s="204"/>
    </row>
    <row r="2557">
      <c r="D2557" s="7"/>
      <c r="E2557" s="7"/>
      <c r="H2557" s="204"/>
    </row>
    <row r="2558">
      <c r="D2558" s="7"/>
      <c r="E2558" s="7"/>
      <c r="H2558" s="204"/>
    </row>
    <row r="2559">
      <c r="D2559" s="7"/>
      <c r="E2559" s="7"/>
      <c r="H2559" s="204"/>
    </row>
    <row r="2560">
      <c r="D2560" s="7"/>
      <c r="E2560" s="7"/>
      <c r="H2560" s="204"/>
    </row>
    <row r="2561">
      <c r="D2561" s="7"/>
      <c r="E2561" s="7"/>
      <c r="H2561" s="204"/>
    </row>
    <row r="2562">
      <c r="D2562" s="7"/>
      <c r="E2562" s="7"/>
      <c r="H2562" s="204"/>
    </row>
    <row r="2563">
      <c r="D2563" s="7"/>
      <c r="E2563" s="7"/>
      <c r="H2563" s="204"/>
    </row>
    <row r="2564">
      <c r="D2564" s="7"/>
      <c r="E2564" s="7"/>
      <c r="H2564" s="204"/>
    </row>
    <row r="2565">
      <c r="D2565" s="7"/>
      <c r="E2565" s="7"/>
      <c r="H2565" s="204"/>
    </row>
    <row r="2566">
      <c r="D2566" s="7"/>
      <c r="E2566" s="7"/>
      <c r="H2566" s="204"/>
    </row>
    <row r="2567">
      <c r="D2567" s="7"/>
      <c r="E2567" s="7"/>
      <c r="H2567" s="204"/>
    </row>
    <row r="2568">
      <c r="D2568" s="7"/>
      <c r="E2568" s="7"/>
      <c r="H2568" s="204"/>
    </row>
    <row r="2569">
      <c r="D2569" s="7"/>
      <c r="E2569" s="7"/>
      <c r="H2569" s="204"/>
    </row>
    <row r="2570">
      <c r="D2570" s="7"/>
      <c r="E2570" s="7"/>
      <c r="H2570" s="204"/>
    </row>
    <row r="2571">
      <c r="D2571" s="7"/>
      <c r="E2571" s="7"/>
      <c r="H2571" s="204"/>
    </row>
    <row r="2572">
      <c r="D2572" s="7"/>
      <c r="E2572" s="7"/>
      <c r="H2572" s="204"/>
    </row>
    <row r="2573">
      <c r="D2573" s="7"/>
      <c r="E2573" s="7"/>
      <c r="H2573" s="204"/>
    </row>
    <row r="2574">
      <c r="D2574" s="7"/>
      <c r="E2574" s="7"/>
      <c r="H2574" s="204"/>
    </row>
    <row r="2575">
      <c r="D2575" s="7"/>
      <c r="E2575" s="7"/>
      <c r="H2575" s="204"/>
    </row>
    <row r="2576">
      <c r="D2576" s="7"/>
      <c r="E2576" s="7"/>
      <c r="H2576" s="204"/>
    </row>
    <row r="2577">
      <c r="D2577" s="7"/>
      <c r="E2577" s="7"/>
      <c r="H2577" s="204"/>
    </row>
    <row r="2578">
      <c r="D2578" s="7"/>
      <c r="E2578" s="7"/>
      <c r="H2578" s="204"/>
    </row>
    <row r="2579">
      <c r="D2579" s="7"/>
      <c r="E2579" s="7"/>
      <c r="H2579" s="204"/>
    </row>
    <row r="2580">
      <c r="D2580" s="7"/>
      <c r="E2580" s="7"/>
      <c r="H2580" s="204"/>
    </row>
    <row r="2581">
      <c r="D2581" s="7"/>
      <c r="E2581" s="7"/>
      <c r="H2581" s="204"/>
    </row>
    <row r="2582">
      <c r="D2582" s="7"/>
      <c r="E2582" s="7"/>
      <c r="H2582" s="204"/>
    </row>
    <row r="2583">
      <c r="D2583" s="7"/>
      <c r="E2583" s="7"/>
      <c r="H2583" s="204"/>
    </row>
    <row r="2584">
      <c r="D2584" s="7"/>
      <c r="E2584" s="7"/>
      <c r="H2584" s="204"/>
    </row>
    <row r="2585">
      <c r="D2585" s="7"/>
      <c r="E2585" s="7"/>
      <c r="H2585" s="204"/>
    </row>
    <row r="2586">
      <c r="D2586" s="7"/>
      <c r="E2586" s="7"/>
      <c r="H2586" s="204"/>
    </row>
    <row r="2587">
      <c r="D2587" s="7"/>
      <c r="E2587" s="7"/>
      <c r="H2587" s="204"/>
    </row>
    <row r="2588">
      <c r="D2588" s="7"/>
      <c r="E2588" s="7"/>
      <c r="H2588" s="204"/>
    </row>
    <row r="2589">
      <c r="D2589" s="7"/>
      <c r="E2589" s="7"/>
      <c r="H2589" s="204"/>
    </row>
    <row r="2590">
      <c r="D2590" s="7"/>
      <c r="E2590" s="7"/>
      <c r="H2590" s="204"/>
    </row>
    <row r="2591">
      <c r="D2591" s="7"/>
      <c r="E2591" s="7"/>
      <c r="H2591" s="204"/>
    </row>
    <row r="2592">
      <c r="D2592" s="7"/>
      <c r="E2592" s="7"/>
      <c r="H2592" s="204"/>
    </row>
    <row r="2593">
      <c r="D2593" s="7"/>
      <c r="E2593" s="7"/>
      <c r="H2593" s="204"/>
    </row>
    <row r="2594">
      <c r="D2594" s="7"/>
      <c r="E2594" s="7"/>
      <c r="H2594" s="204"/>
    </row>
    <row r="2595">
      <c r="D2595" s="7"/>
      <c r="E2595" s="7"/>
      <c r="H2595" s="204"/>
    </row>
    <row r="2596">
      <c r="D2596" s="7"/>
      <c r="E2596" s="7"/>
      <c r="H2596" s="204"/>
    </row>
    <row r="2597">
      <c r="D2597" s="7"/>
      <c r="E2597" s="7"/>
      <c r="H2597" s="204"/>
    </row>
    <row r="2598">
      <c r="D2598" s="7"/>
      <c r="E2598" s="7"/>
      <c r="H2598" s="204"/>
    </row>
    <row r="2599">
      <c r="D2599" s="7"/>
      <c r="E2599" s="7"/>
      <c r="H2599" s="204"/>
    </row>
    <row r="2600">
      <c r="D2600" s="7"/>
      <c r="E2600" s="7"/>
      <c r="H2600" s="204"/>
    </row>
    <row r="2601">
      <c r="D2601" s="7"/>
      <c r="E2601" s="7"/>
      <c r="H2601" s="204"/>
    </row>
    <row r="2602">
      <c r="D2602" s="7"/>
      <c r="E2602" s="7"/>
      <c r="H2602" s="204"/>
    </row>
    <row r="2603">
      <c r="D2603" s="7"/>
      <c r="E2603" s="7"/>
      <c r="H2603" s="204"/>
    </row>
    <row r="2604">
      <c r="D2604" s="7"/>
      <c r="E2604" s="7"/>
      <c r="H2604" s="204"/>
    </row>
    <row r="2605">
      <c r="D2605" s="7"/>
      <c r="E2605" s="7"/>
      <c r="H2605" s="204"/>
    </row>
    <row r="2606">
      <c r="D2606" s="7"/>
      <c r="E2606" s="7"/>
      <c r="H2606" s="204"/>
    </row>
    <row r="2607">
      <c r="D2607" s="7"/>
      <c r="E2607" s="7"/>
      <c r="H2607" s="204"/>
    </row>
    <row r="2608">
      <c r="D2608" s="7"/>
      <c r="E2608" s="7"/>
      <c r="H2608" s="204"/>
    </row>
    <row r="2609">
      <c r="D2609" s="7"/>
      <c r="E2609" s="7"/>
      <c r="H2609" s="204"/>
    </row>
    <row r="2610">
      <c r="D2610" s="7"/>
      <c r="E2610" s="7"/>
      <c r="H2610" s="204"/>
    </row>
    <row r="2611">
      <c r="D2611" s="7"/>
      <c r="E2611" s="7"/>
      <c r="H2611" s="204"/>
    </row>
    <row r="2612">
      <c r="D2612" s="7"/>
      <c r="E2612" s="7"/>
      <c r="H2612" s="204"/>
    </row>
    <row r="2613">
      <c r="D2613" s="7"/>
      <c r="E2613" s="7"/>
      <c r="H2613" s="204"/>
    </row>
    <row r="2614">
      <c r="D2614" s="7"/>
      <c r="E2614" s="7"/>
      <c r="H2614" s="204"/>
    </row>
    <row r="2615">
      <c r="D2615" s="7"/>
      <c r="E2615" s="7"/>
      <c r="H2615" s="204"/>
    </row>
    <row r="2616">
      <c r="D2616" s="7"/>
      <c r="E2616" s="7"/>
      <c r="H2616" s="204"/>
    </row>
    <row r="2617">
      <c r="D2617" s="7"/>
      <c r="E2617" s="7"/>
      <c r="H2617" s="204"/>
    </row>
    <row r="2618">
      <c r="D2618" s="7"/>
      <c r="E2618" s="7"/>
      <c r="H2618" s="204"/>
    </row>
    <row r="2619">
      <c r="D2619" s="7"/>
      <c r="E2619" s="7"/>
      <c r="H2619" s="204"/>
    </row>
    <row r="2620">
      <c r="D2620" s="7"/>
      <c r="E2620" s="7"/>
      <c r="H2620" s="204"/>
    </row>
    <row r="2621">
      <c r="D2621" s="7"/>
      <c r="E2621" s="7"/>
      <c r="H2621" s="204"/>
    </row>
    <row r="2622">
      <c r="D2622" s="7"/>
      <c r="E2622" s="7"/>
      <c r="H2622" s="204"/>
    </row>
    <row r="2623">
      <c r="D2623" s="7"/>
      <c r="E2623" s="7"/>
      <c r="H2623" s="204"/>
    </row>
    <row r="2624">
      <c r="D2624" s="7"/>
      <c r="E2624" s="7"/>
      <c r="H2624" s="204"/>
    </row>
    <row r="2625">
      <c r="D2625" s="7"/>
      <c r="E2625" s="7"/>
      <c r="H2625" s="204"/>
    </row>
    <row r="2626">
      <c r="D2626" s="7"/>
      <c r="E2626" s="7"/>
      <c r="H2626" s="204"/>
    </row>
    <row r="2627">
      <c r="D2627" s="7"/>
      <c r="E2627" s="7"/>
      <c r="H2627" s="204"/>
    </row>
    <row r="2628">
      <c r="D2628" s="7"/>
      <c r="E2628" s="7"/>
      <c r="H2628" s="204"/>
    </row>
    <row r="2629">
      <c r="D2629" s="7"/>
      <c r="E2629" s="7"/>
      <c r="H2629" s="204"/>
    </row>
    <row r="2630">
      <c r="D2630" s="7"/>
      <c r="E2630" s="7"/>
      <c r="H2630" s="204"/>
    </row>
    <row r="2631">
      <c r="D2631" s="7"/>
      <c r="E2631" s="7"/>
      <c r="H2631" s="204"/>
    </row>
    <row r="2632">
      <c r="D2632" s="7"/>
      <c r="E2632" s="7"/>
      <c r="H2632" s="204"/>
    </row>
    <row r="2633">
      <c r="D2633" s="7"/>
      <c r="E2633" s="7"/>
      <c r="H2633" s="204"/>
    </row>
    <row r="2634">
      <c r="D2634" s="7"/>
      <c r="E2634" s="7"/>
      <c r="H2634" s="204"/>
    </row>
    <row r="2635">
      <c r="D2635" s="7"/>
      <c r="E2635" s="7"/>
      <c r="H2635" s="204"/>
    </row>
    <row r="2636">
      <c r="D2636" s="7"/>
      <c r="E2636" s="7"/>
      <c r="H2636" s="204"/>
    </row>
    <row r="2637">
      <c r="D2637" s="7"/>
      <c r="E2637" s="7"/>
      <c r="H2637" s="204"/>
    </row>
    <row r="2638">
      <c r="D2638" s="7"/>
      <c r="E2638" s="7"/>
      <c r="H2638" s="204"/>
    </row>
    <row r="2639">
      <c r="D2639" s="7"/>
      <c r="E2639" s="7"/>
      <c r="H2639" s="204"/>
    </row>
    <row r="2640">
      <c r="D2640" s="7"/>
      <c r="E2640" s="7"/>
      <c r="H2640" s="204"/>
    </row>
    <row r="2641">
      <c r="D2641" s="7"/>
      <c r="E2641" s="7"/>
      <c r="H2641" s="204"/>
    </row>
    <row r="2642">
      <c r="D2642" s="7"/>
      <c r="E2642" s="7"/>
      <c r="H2642" s="204"/>
    </row>
    <row r="2643">
      <c r="D2643" s="7"/>
      <c r="E2643" s="7"/>
      <c r="H2643" s="204"/>
    </row>
    <row r="2644">
      <c r="D2644" s="7"/>
      <c r="E2644" s="7"/>
      <c r="H2644" s="204"/>
    </row>
    <row r="2645">
      <c r="D2645" s="7"/>
      <c r="E2645" s="7"/>
      <c r="H2645" s="204"/>
    </row>
    <row r="2646">
      <c r="D2646" s="7"/>
      <c r="E2646" s="7"/>
      <c r="H2646" s="204"/>
    </row>
    <row r="2647">
      <c r="D2647" s="7"/>
      <c r="E2647" s="7"/>
      <c r="H2647" s="204"/>
    </row>
    <row r="2648">
      <c r="D2648" s="7"/>
      <c r="E2648" s="7"/>
      <c r="H2648" s="204"/>
    </row>
    <row r="2649">
      <c r="D2649" s="7"/>
      <c r="E2649" s="7"/>
      <c r="H2649" s="204"/>
    </row>
    <row r="2650">
      <c r="D2650" s="7"/>
      <c r="E2650" s="7"/>
      <c r="H2650" s="204"/>
    </row>
    <row r="2651">
      <c r="D2651" s="7"/>
      <c r="E2651" s="7"/>
      <c r="H2651" s="204"/>
    </row>
    <row r="2652">
      <c r="D2652" s="7"/>
      <c r="E2652" s="7"/>
      <c r="H2652" s="204"/>
    </row>
    <row r="2653">
      <c r="D2653" s="7"/>
      <c r="E2653" s="7"/>
      <c r="H2653" s="204"/>
    </row>
    <row r="2654">
      <c r="D2654" s="7"/>
      <c r="E2654" s="7"/>
      <c r="H2654" s="204"/>
    </row>
    <row r="2655">
      <c r="D2655" s="7"/>
      <c r="E2655" s="7"/>
      <c r="H2655" s="204"/>
    </row>
    <row r="2656">
      <c r="D2656" s="7"/>
      <c r="E2656" s="7"/>
      <c r="H2656" s="204"/>
    </row>
    <row r="2657">
      <c r="D2657" s="7"/>
      <c r="E2657" s="7"/>
      <c r="H2657" s="204"/>
    </row>
    <row r="2658">
      <c r="D2658" s="7"/>
      <c r="E2658" s="7"/>
      <c r="H2658" s="204"/>
    </row>
    <row r="2659">
      <c r="D2659" s="7"/>
      <c r="E2659" s="7"/>
      <c r="H2659" s="204"/>
    </row>
    <row r="2660">
      <c r="D2660" s="7"/>
      <c r="E2660" s="7"/>
      <c r="H2660" s="204"/>
    </row>
    <row r="2661">
      <c r="D2661" s="7"/>
      <c r="E2661" s="7"/>
      <c r="H2661" s="204"/>
    </row>
    <row r="2662">
      <c r="D2662" s="7"/>
      <c r="E2662" s="7"/>
      <c r="H2662" s="204"/>
    </row>
    <row r="2663">
      <c r="D2663" s="7"/>
      <c r="E2663" s="7"/>
      <c r="H2663" s="204"/>
    </row>
    <row r="2664">
      <c r="D2664" s="7"/>
      <c r="E2664" s="7"/>
      <c r="H2664" s="204"/>
    </row>
    <row r="2665">
      <c r="D2665" s="7"/>
      <c r="E2665" s="7"/>
      <c r="H2665" s="204"/>
    </row>
    <row r="2666">
      <c r="D2666" s="7"/>
      <c r="E2666" s="7"/>
      <c r="H2666" s="204"/>
    </row>
    <row r="2667">
      <c r="D2667" s="7"/>
      <c r="E2667" s="7"/>
      <c r="H2667" s="204"/>
    </row>
    <row r="2668">
      <c r="D2668" s="7"/>
      <c r="E2668" s="7"/>
      <c r="H2668" s="204"/>
    </row>
    <row r="2669">
      <c r="D2669" s="7"/>
      <c r="E2669" s="7"/>
      <c r="H2669" s="204"/>
    </row>
    <row r="2670">
      <c r="D2670" s="7"/>
      <c r="E2670" s="7"/>
      <c r="H2670" s="204"/>
    </row>
    <row r="2671">
      <c r="D2671" s="7"/>
      <c r="E2671" s="7"/>
      <c r="H2671" s="204"/>
    </row>
    <row r="2672">
      <c r="D2672" s="7"/>
      <c r="E2672" s="7"/>
      <c r="H2672" s="204"/>
    </row>
    <row r="2673">
      <c r="D2673" s="7"/>
      <c r="E2673" s="7"/>
      <c r="H2673" s="204"/>
    </row>
    <row r="2674">
      <c r="D2674" s="7"/>
      <c r="E2674" s="7"/>
      <c r="H2674" s="204"/>
    </row>
    <row r="2675">
      <c r="D2675" s="7"/>
      <c r="E2675" s="7"/>
      <c r="H2675" s="204"/>
    </row>
    <row r="2676">
      <c r="D2676" s="7"/>
      <c r="E2676" s="7"/>
      <c r="H2676" s="204"/>
    </row>
    <row r="2677">
      <c r="D2677" s="7"/>
      <c r="E2677" s="7"/>
      <c r="H2677" s="204"/>
    </row>
    <row r="2678">
      <c r="D2678" s="7"/>
      <c r="E2678" s="7"/>
      <c r="H2678" s="204"/>
    </row>
    <row r="2679">
      <c r="D2679" s="7"/>
      <c r="E2679" s="7"/>
      <c r="H2679" s="204"/>
    </row>
    <row r="2680">
      <c r="D2680" s="7"/>
      <c r="E2680" s="7"/>
      <c r="H2680" s="204"/>
    </row>
    <row r="2681">
      <c r="D2681" s="7"/>
      <c r="E2681" s="7"/>
      <c r="H2681" s="204"/>
    </row>
    <row r="2682">
      <c r="D2682" s="7"/>
      <c r="E2682" s="7"/>
      <c r="H2682" s="204"/>
    </row>
    <row r="2683">
      <c r="D2683" s="7"/>
      <c r="E2683" s="7"/>
      <c r="H2683" s="204"/>
    </row>
    <row r="2684">
      <c r="D2684" s="7"/>
      <c r="E2684" s="7"/>
      <c r="H2684" s="204"/>
    </row>
    <row r="2685">
      <c r="D2685" s="7"/>
      <c r="E2685" s="7"/>
      <c r="H2685" s="204"/>
    </row>
    <row r="2686">
      <c r="D2686" s="7"/>
      <c r="E2686" s="7"/>
      <c r="H2686" s="204"/>
    </row>
    <row r="2687">
      <c r="D2687" s="7"/>
      <c r="E2687" s="7"/>
      <c r="H2687" s="204"/>
    </row>
    <row r="2688">
      <c r="D2688" s="7"/>
      <c r="E2688" s="7"/>
      <c r="H2688" s="204"/>
    </row>
    <row r="2689">
      <c r="D2689" s="7"/>
      <c r="E2689" s="7"/>
      <c r="H2689" s="204"/>
    </row>
    <row r="2690">
      <c r="D2690" s="7"/>
      <c r="E2690" s="7"/>
      <c r="H2690" s="204"/>
    </row>
    <row r="2691">
      <c r="D2691" s="7"/>
      <c r="E2691" s="7"/>
      <c r="H2691" s="204"/>
    </row>
    <row r="2692">
      <c r="D2692" s="7"/>
      <c r="E2692" s="7"/>
      <c r="H2692" s="204"/>
    </row>
    <row r="2693">
      <c r="D2693" s="7"/>
      <c r="E2693" s="7"/>
      <c r="H2693" s="204"/>
    </row>
    <row r="2694">
      <c r="D2694" s="7"/>
      <c r="E2694" s="7"/>
      <c r="H2694" s="204"/>
    </row>
    <row r="2695">
      <c r="D2695" s="7"/>
      <c r="E2695" s="7"/>
      <c r="H2695" s="204"/>
    </row>
    <row r="2696">
      <c r="D2696" s="7"/>
      <c r="E2696" s="7"/>
      <c r="H2696" s="204"/>
    </row>
    <row r="2697">
      <c r="D2697" s="7"/>
      <c r="E2697" s="7"/>
      <c r="H2697" s="204"/>
    </row>
    <row r="2698">
      <c r="D2698" s="7"/>
      <c r="E2698" s="7"/>
      <c r="H2698" s="204"/>
    </row>
    <row r="2699">
      <c r="D2699" s="7"/>
      <c r="E2699" s="7"/>
      <c r="H2699" s="204"/>
    </row>
    <row r="2700">
      <c r="D2700" s="7"/>
      <c r="E2700" s="7"/>
      <c r="H2700" s="204"/>
    </row>
    <row r="2701">
      <c r="D2701" s="7"/>
      <c r="E2701" s="7"/>
      <c r="H2701" s="204"/>
    </row>
    <row r="2702">
      <c r="D2702" s="7"/>
      <c r="E2702" s="7"/>
      <c r="H2702" s="204"/>
    </row>
    <row r="2703">
      <c r="D2703" s="7"/>
      <c r="E2703" s="7"/>
      <c r="H2703" s="204"/>
    </row>
    <row r="2704">
      <c r="D2704" s="7"/>
      <c r="E2704" s="7"/>
      <c r="H2704" s="204"/>
    </row>
    <row r="2705">
      <c r="D2705" s="7"/>
      <c r="E2705" s="7"/>
      <c r="H2705" s="204"/>
    </row>
    <row r="2706">
      <c r="D2706" s="7"/>
      <c r="E2706" s="7"/>
      <c r="H2706" s="204"/>
    </row>
    <row r="2707">
      <c r="D2707" s="7"/>
      <c r="E2707" s="7"/>
      <c r="H2707" s="204"/>
    </row>
    <row r="2708">
      <c r="D2708" s="7"/>
      <c r="E2708" s="7"/>
      <c r="H2708" s="204"/>
    </row>
    <row r="2709">
      <c r="D2709" s="7"/>
      <c r="E2709" s="7"/>
      <c r="H2709" s="204"/>
    </row>
    <row r="2710">
      <c r="D2710" s="7"/>
      <c r="E2710" s="7"/>
      <c r="H2710" s="204"/>
    </row>
    <row r="2711">
      <c r="D2711" s="7"/>
      <c r="E2711" s="7"/>
      <c r="H2711" s="204"/>
    </row>
    <row r="2712">
      <c r="D2712" s="7"/>
      <c r="E2712" s="7"/>
      <c r="H2712" s="204"/>
    </row>
    <row r="2713">
      <c r="D2713" s="7"/>
      <c r="E2713" s="7"/>
      <c r="H2713" s="204"/>
    </row>
    <row r="2714">
      <c r="D2714" s="7"/>
      <c r="E2714" s="7"/>
      <c r="H2714" s="204"/>
    </row>
    <row r="2715">
      <c r="D2715" s="7"/>
      <c r="E2715" s="7"/>
      <c r="H2715" s="204"/>
    </row>
    <row r="2716">
      <c r="D2716" s="7"/>
      <c r="E2716" s="7"/>
      <c r="H2716" s="204"/>
    </row>
    <row r="2717">
      <c r="D2717" s="7"/>
      <c r="E2717" s="7"/>
      <c r="H2717" s="204"/>
    </row>
    <row r="2718">
      <c r="D2718" s="7"/>
      <c r="E2718" s="7"/>
      <c r="H2718" s="204"/>
    </row>
    <row r="2719">
      <c r="D2719" s="7"/>
      <c r="E2719" s="7"/>
      <c r="H2719" s="204"/>
    </row>
    <row r="2720">
      <c r="D2720" s="7"/>
      <c r="E2720" s="7"/>
      <c r="H2720" s="204"/>
    </row>
    <row r="2721">
      <c r="D2721" s="7"/>
      <c r="E2721" s="7"/>
      <c r="H2721" s="204"/>
    </row>
    <row r="2722">
      <c r="D2722" s="7"/>
      <c r="E2722" s="7"/>
      <c r="H2722" s="204"/>
    </row>
    <row r="2723">
      <c r="D2723" s="7"/>
      <c r="E2723" s="7"/>
      <c r="H2723" s="204"/>
    </row>
    <row r="2724">
      <c r="D2724" s="7"/>
      <c r="E2724" s="7"/>
      <c r="H2724" s="204"/>
    </row>
    <row r="2725">
      <c r="D2725" s="7"/>
      <c r="E2725" s="7"/>
      <c r="H2725" s="204"/>
    </row>
    <row r="2726">
      <c r="D2726" s="7"/>
      <c r="E2726" s="7"/>
      <c r="H2726" s="204"/>
    </row>
    <row r="2727">
      <c r="D2727" s="7"/>
      <c r="E2727" s="7"/>
      <c r="H2727" s="204"/>
    </row>
    <row r="2728">
      <c r="D2728" s="7"/>
      <c r="E2728" s="7"/>
      <c r="H2728" s="204"/>
    </row>
    <row r="2729">
      <c r="D2729" s="7"/>
      <c r="E2729" s="7"/>
      <c r="H2729" s="204"/>
    </row>
    <row r="2730">
      <c r="D2730" s="7"/>
      <c r="E2730" s="7"/>
      <c r="H2730" s="204"/>
    </row>
    <row r="2731">
      <c r="D2731" s="7"/>
      <c r="E2731" s="7"/>
      <c r="H2731" s="204"/>
    </row>
    <row r="2732">
      <c r="D2732" s="7"/>
      <c r="E2732" s="7"/>
      <c r="H2732" s="204"/>
    </row>
    <row r="2733">
      <c r="D2733" s="7"/>
      <c r="E2733" s="7"/>
      <c r="H2733" s="204"/>
    </row>
    <row r="2734">
      <c r="D2734" s="7"/>
      <c r="E2734" s="7"/>
      <c r="H2734" s="204"/>
    </row>
    <row r="2735">
      <c r="D2735" s="7"/>
      <c r="E2735" s="7"/>
      <c r="H2735" s="204"/>
    </row>
    <row r="2736">
      <c r="D2736" s="7"/>
      <c r="E2736" s="7"/>
      <c r="H2736" s="204"/>
    </row>
    <row r="2737">
      <c r="D2737" s="7"/>
      <c r="E2737" s="7"/>
      <c r="H2737" s="204"/>
    </row>
    <row r="2738">
      <c r="D2738" s="7"/>
      <c r="E2738" s="7"/>
      <c r="H2738" s="204"/>
    </row>
    <row r="2739">
      <c r="D2739" s="7"/>
      <c r="E2739" s="7"/>
      <c r="H2739" s="204"/>
    </row>
    <row r="2740">
      <c r="D2740" s="7"/>
      <c r="E2740" s="7"/>
      <c r="H2740" s="204"/>
    </row>
    <row r="2741">
      <c r="D2741" s="7"/>
      <c r="E2741" s="7"/>
      <c r="H2741" s="204"/>
    </row>
    <row r="2742">
      <c r="D2742" s="7"/>
      <c r="E2742" s="7"/>
      <c r="H2742" s="204"/>
    </row>
    <row r="2743">
      <c r="D2743" s="7"/>
      <c r="E2743" s="7"/>
      <c r="H2743" s="204"/>
    </row>
    <row r="2744">
      <c r="D2744" s="7"/>
      <c r="E2744" s="7"/>
      <c r="H2744" s="204"/>
    </row>
    <row r="2745">
      <c r="D2745" s="7"/>
      <c r="E2745" s="7"/>
      <c r="H2745" s="204"/>
    </row>
    <row r="2746">
      <c r="D2746" s="7"/>
      <c r="E2746" s="7"/>
      <c r="H2746" s="204"/>
    </row>
    <row r="2747">
      <c r="D2747" s="7"/>
      <c r="E2747" s="7"/>
      <c r="H2747" s="204"/>
    </row>
    <row r="2748">
      <c r="D2748" s="7"/>
      <c r="E2748" s="7"/>
      <c r="H2748" s="204"/>
    </row>
    <row r="2749">
      <c r="D2749" s="7"/>
      <c r="E2749" s="7"/>
      <c r="H2749" s="204"/>
    </row>
    <row r="2750">
      <c r="D2750" s="7"/>
      <c r="E2750" s="7"/>
      <c r="H2750" s="204"/>
    </row>
    <row r="2751">
      <c r="D2751" s="7"/>
      <c r="E2751" s="7"/>
      <c r="H2751" s="204"/>
    </row>
    <row r="2752">
      <c r="D2752" s="7"/>
      <c r="E2752" s="7"/>
      <c r="H2752" s="204"/>
    </row>
    <row r="2753">
      <c r="D2753" s="7"/>
      <c r="E2753" s="7"/>
      <c r="H2753" s="204"/>
    </row>
    <row r="2754">
      <c r="D2754" s="7"/>
      <c r="E2754" s="7"/>
      <c r="H2754" s="204"/>
    </row>
    <row r="2755">
      <c r="D2755" s="7"/>
      <c r="E2755" s="7"/>
      <c r="H2755" s="204"/>
    </row>
    <row r="2756">
      <c r="D2756" s="7"/>
      <c r="E2756" s="7"/>
      <c r="H2756" s="204"/>
    </row>
    <row r="2757">
      <c r="D2757" s="7"/>
      <c r="E2757" s="7"/>
      <c r="H2757" s="204"/>
    </row>
    <row r="2758">
      <c r="D2758" s="7"/>
      <c r="E2758" s="7"/>
      <c r="H2758" s="204"/>
    </row>
    <row r="2759">
      <c r="D2759" s="7"/>
      <c r="E2759" s="7"/>
      <c r="H2759" s="204"/>
    </row>
    <row r="2760">
      <c r="D2760" s="7"/>
      <c r="E2760" s="7"/>
      <c r="H2760" s="204"/>
    </row>
    <row r="2761">
      <c r="D2761" s="7"/>
      <c r="E2761" s="7"/>
      <c r="H2761" s="204"/>
    </row>
    <row r="2762">
      <c r="D2762" s="7"/>
      <c r="E2762" s="7"/>
      <c r="H2762" s="204"/>
    </row>
    <row r="2763">
      <c r="D2763" s="7"/>
      <c r="E2763" s="7"/>
      <c r="H2763" s="204"/>
    </row>
    <row r="2764">
      <c r="D2764" s="7"/>
      <c r="E2764" s="7"/>
      <c r="H2764" s="204"/>
    </row>
    <row r="2765">
      <c r="D2765" s="7"/>
      <c r="E2765" s="7"/>
      <c r="H2765" s="204"/>
    </row>
    <row r="2766">
      <c r="D2766" s="7"/>
      <c r="E2766" s="7"/>
      <c r="H2766" s="204"/>
    </row>
    <row r="2767">
      <c r="D2767" s="7"/>
      <c r="E2767" s="7"/>
      <c r="H2767" s="204"/>
    </row>
    <row r="2768">
      <c r="D2768" s="7"/>
      <c r="E2768" s="7"/>
      <c r="H2768" s="204"/>
    </row>
    <row r="2769">
      <c r="D2769" s="7"/>
      <c r="E2769" s="7"/>
      <c r="H2769" s="204"/>
    </row>
    <row r="2770">
      <c r="D2770" s="7"/>
      <c r="E2770" s="7"/>
      <c r="H2770" s="204"/>
    </row>
    <row r="2771">
      <c r="D2771" s="7"/>
      <c r="E2771" s="7"/>
      <c r="H2771" s="204"/>
    </row>
    <row r="2772">
      <c r="D2772" s="7"/>
      <c r="E2772" s="7"/>
      <c r="H2772" s="204"/>
    </row>
    <row r="2773">
      <c r="D2773" s="7"/>
      <c r="E2773" s="7"/>
      <c r="H2773" s="204"/>
    </row>
    <row r="2774">
      <c r="D2774" s="7"/>
      <c r="E2774" s="7"/>
      <c r="H2774" s="204"/>
    </row>
    <row r="2775">
      <c r="D2775" s="7"/>
      <c r="E2775" s="7"/>
      <c r="H2775" s="204"/>
    </row>
    <row r="2776">
      <c r="D2776" s="7"/>
      <c r="E2776" s="7"/>
      <c r="H2776" s="204"/>
    </row>
    <row r="2777">
      <c r="D2777" s="7"/>
      <c r="E2777" s="7"/>
      <c r="H2777" s="204"/>
    </row>
    <row r="2778">
      <c r="D2778" s="7"/>
      <c r="E2778" s="7"/>
      <c r="H2778" s="204"/>
    </row>
    <row r="2779">
      <c r="D2779" s="7"/>
      <c r="E2779" s="7"/>
      <c r="H2779" s="204"/>
    </row>
    <row r="2780">
      <c r="D2780" s="7"/>
      <c r="E2780" s="7"/>
      <c r="H2780" s="204"/>
    </row>
    <row r="2781">
      <c r="D2781" s="7"/>
      <c r="E2781" s="7"/>
      <c r="H2781" s="204"/>
    </row>
    <row r="2782">
      <c r="D2782" s="7"/>
      <c r="E2782" s="7"/>
      <c r="H2782" s="204"/>
    </row>
    <row r="2783">
      <c r="D2783" s="7"/>
      <c r="E2783" s="7"/>
      <c r="H2783" s="204"/>
    </row>
    <row r="2784">
      <c r="D2784" s="7"/>
      <c r="E2784" s="7"/>
      <c r="H2784" s="204"/>
    </row>
    <row r="2785">
      <c r="D2785" s="7"/>
      <c r="E2785" s="7"/>
      <c r="H2785" s="204"/>
    </row>
    <row r="2786">
      <c r="D2786" s="7"/>
      <c r="E2786" s="7"/>
      <c r="H2786" s="204"/>
    </row>
    <row r="2787">
      <c r="D2787" s="7"/>
      <c r="E2787" s="7"/>
      <c r="H2787" s="204"/>
    </row>
    <row r="2788">
      <c r="D2788" s="7"/>
      <c r="E2788" s="7"/>
      <c r="H2788" s="204"/>
    </row>
    <row r="2789">
      <c r="D2789" s="7"/>
      <c r="E2789" s="7"/>
      <c r="H2789" s="204"/>
    </row>
    <row r="2790">
      <c r="D2790" s="7"/>
      <c r="E2790" s="7"/>
      <c r="H2790" s="204"/>
    </row>
    <row r="2791">
      <c r="D2791" s="7"/>
      <c r="E2791" s="7"/>
      <c r="H2791" s="204"/>
    </row>
    <row r="2792">
      <c r="D2792" s="7"/>
      <c r="E2792" s="7"/>
      <c r="H2792" s="204"/>
    </row>
    <row r="2793">
      <c r="D2793" s="7"/>
      <c r="E2793" s="7"/>
      <c r="H2793" s="204"/>
    </row>
    <row r="2794">
      <c r="D2794" s="7"/>
      <c r="E2794" s="7"/>
      <c r="H2794" s="204"/>
    </row>
    <row r="2795">
      <c r="D2795" s="7"/>
      <c r="E2795" s="7"/>
      <c r="H2795" s="204"/>
    </row>
    <row r="2796">
      <c r="D2796" s="7"/>
      <c r="E2796" s="7"/>
      <c r="H2796" s="204"/>
    </row>
    <row r="2797">
      <c r="D2797" s="7"/>
      <c r="E2797" s="7"/>
      <c r="H2797" s="204"/>
    </row>
    <row r="2798">
      <c r="D2798" s="7"/>
      <c r="E2798" s="7"/>
      <c r="H2798" s="204"/>
    </row>
    <row r="2799">
      <c r="D2799" s="7"/>
      <c r="E2799" s="7"/>
      <c r="H2799" s="204"/>
    </row>
    <row r="2800">
      <c r="D2800" s="7"/>
      <c r="E2800" s="7"/>
      <c r="H2800" s="204"/>
    </row>
    <row r="2801">
      <c r="D2801" s="7"/>
      <c r="E2801" s="7"/>
      <c r="H2801" s="204"/>
    </row>
    <row r="2802">
      <c r="D2802" s="7"/>
      <c r="E2802" s="7"/>
      <c r="H2802" s="204"/>
    </row>
    <row r="2803">
      <c r="D2803" s="7"/>
      <c r="E2803" s="7"/>
      <c r="H2803" s="204"/>
    </row>
    <row r="2804">
      <c r="D2804" s="7"/>
      <c r="E2804" s="7"/>
      <c r="H2804" s="204"/>
    </row>
    <row r="2805">
      <c r="D2805" s="7"/>
      <c r="E2805" s="7"/>
      <c r="H2805" s="204"/>
    </row>
    <row r="2806">
      <c r="D2806" s="7"/>
      <c r="E2806" s="7"/>
      <c r="H2806" s="204"/>
    </row>
    <row r="2807">
      <c r="D2807" s="7"/>
      <c r="E2807" s="7"/>
      <c r="H2807" s="204"/>
    </row>
    <row r="2808">
      <c r="D2808" s="7"/>
      <c r="E2808" s="7"/>
      <c r="H2808" s="204"/>
    </row>
    <row r="2809">
      <c r="D2809" s="7"/>
      <c r="E2809" s="7"/>
      <c r="H2809" s="204"/>
    </row>
    <row r="2810">
      <c r="D2810" s="7"/>
      <c r="E2810" s="7"/>
      <c r="H2810" s="204"/>
    </row>
    <row r="2811">
      <c r="D2811" s="7"/>
      <c r="E2811" s="7"/>
      <c r="H2811" s="204"/>
    </row>
    <row r="2812">
      <c r="D2812" s="7"/>
      <c r="E2812" s="7"/>
      <c r="H2812" s="204"/>
    </row>
    <row r="2813">
      <c r="D2813" s="7"/>
      <c r="E2813" s="7"/>
      <c r="H2813" s="204"/>
    </row>
    <row r="2814">
      <c r="D2814" s="7"/>
      <c r="E2814" s="7"/>
      <c r="H2814" s="204"/>
    </row>
    <row r="2815">
      <c r="D2815" s="7"/>
      <c r="E2815" s="7"/>
      <c r="H2815" s="204"/>
    </row>
    <row r="2816">
      <c r="D2816" s="7"/>
      <c r="E2816" s="7"/>
      <c r="H2816" s="204"/>
    </row>
    <row r="2817">
      <c r="D2817" s="7"/>
      <c r="E2817" s="7"/>
      <c r="H2817" s="204"/>
    </row>
    <row r="2818">
      <c r="D2818" s="7"/>
      <c r="E2818" s="7"/>
      <c r="H2818" s="204"/>
    </row>
    <row r="2819">
      <c r="D2819" s="7"/>
      <c r="E2819" s="7"/>
      <c r="H2819" s="204"/>
    </row>
    <row r="2820">
      <c r="D2820" s="7"/>
      <c r="E2820" s="7"/>
      <c r="H2820" s="204"/>
    </row>
    <row r="2821">
      <c r="D2821" s="7"/>
      <c r="E2821" s="7"/>
      <c r="H2821" s="204"/>
    </row>
    <row r="2822">
      <c r="D2822" s="7"/>
      <c r="E2822" s="7"/>
      <c r="H2822" s="204"/>
    </row>
    <row r="2823">
      <c r="D2823" s="7"/>
      <c r="E2823" s="7"/>
      <c r="H2823" s="204"/>
    </row>
    <row r="2824">
      <c r="D2824" s="7"/>
      <c r="E2824" s="7"/>
      <c r="H2824" s="204"/>
    </row>
    <row r="2825">
      <c r="D2825" s="7"/>
      <c r="E2825" s="7"/>
      <c r="H2825" s="204"/>
    </row>
    <row r="2826">
      <c r="D2826" s="7"/>
      <c r="E2826" s="7"/>
      <c r="H2826" s="204"/>
    </row>
    <row r="2827">
      <c r="D2827" s="7"/>
      <c r="E2827" s="7"/>
      <c r="H2827" s="204"/>
    </row>
    <row r="2828">
      <c r="D2828" s="7"/>
      <c r="E2828" s="7"/>
      <c r="H2828" s="204"/>
    </row>
    <row r="2829">
      <c r="D2829" s="7"/>
      <c r="E2829" s="7"/>
      <c r="H2829" s="204"/>
    </row>
    <row r="2830">
      <c r="D2830" s="7"/>
      <c r="E2830" s="7"/>
      <c r="H2830" s="204"/>
    </row>
    <row r="2831">
      <c r="D2831" s="7"/>
      <c r="E2831" s="7"/>
      <c r="H2831" s="204"/>
    </row>
    <row r="2832">
      <c r="D2832" s="7"/>
      <c r="E2832" s="7"/>
      <c r="H2832" s="204"/>
    </row>
    <row r="2833">
      <c r="D2833" s="7"/>
      <c r="E2833" s="7"/>
      <c r="H2833" s="204"/>
    </row>
    <row r="2834">
      <c r="D2834" s="7"/>
      <c r="E2834" s="7"/>
      <c r="H2834" s="204"/>
    </row>
    <row r="2835">
      <c r="D2835" s="7"/>
      <c r="E2835" s="7"/>
      <c r="H2835" s="204"/>
    </row>
    <row r="2836">
      <c r="D2836" s="7"/>
      <c r="E2836" s="7"/>
      <c r="H2836" s="204"/>
    </row>
    <row r="2837">
      <c r="D2837" s="7"/>
      <c r="E2837" s="7"/>
      <c r="H2837" s="204"/>
    </row>
    <row r="2838">
      <c r="D2838" s="7"/>
      <c r="E2838" s="7"/>
      <c r="H2838" s="204"/>
    </row>
    <row r="2839">
      <c r="D2839" s="7"/>
      <c r="E2839" s="7"/>
      <c r="H2839" s="204"/>
    </row>
    <row r="2840">
      <c r="D2840" s="7"/>
      <c r="E2840" s="7"/>
      <c r="H2840" s="204"/>
    </row>
    <row r="2841">
      <c r="D2841" s="7"/>
      <c r="E2841" s="7"/>
      <c r="H2841" s="204"/>
    </row>
    <row r="2842">
      <c r="D2842" s="7"/>
      <c r="E2842" s="7"/>
      <c r="H2842" s="204"/>
    </row>
    <row r="2843">
      <c r="D2843" s="7"/>
      <c r="E2843" s="7"/>
      <c r="H2843" s="204"/>
    </row>
    <row r="2844">
      <c r="D2844" s="7"/>
      <c r="E2844" s="7"/>
      <c r="H2844" s="204"/>
    </row>
    <row r="2845">
      <c r="D2845" s="7"/>
      <c r="E2845" s="7"/>
      <c r="H2845" s="204"/>
    </row>
    <row r="2846">
      <c r="D2846" s="7"/>
      <c r="E2846" s="7"/>
      <c r="H2846" s="204"/>
    </row>
    <row r="2847">
      <c r="D2847" s="7"/>
      <c r="E2847" s="7"/>
      <c r="H2847" s="204"/>
    </row>
    <row r="2848">
      <c r="D2848" s="7"/>
      <c r="E2848" s="7"/>
      <c r="H2848" s="204"/>
    </row>
    <row r="2849">
      <c r="D2849" s="7"/>
      <c r="E2849" s="7"/>
      <c r="H2849" s="204"/>
    </row>
    <row r="2850">
      <c r="D2850" s="7"/>
      <c r="E2850" s="7"/>
      <c r="H2850" s="204"/>
    </row>
    <row r="2851">
      <c r="D2851" s="7"/>
      <c r="E2851" s="7"/>
      <c r="H2851" s="204"/>
    </row>
    <row r="2852">
      <c r="D2852" s="7"/>
      <c r="E2852" s="7"/>
      <c r="H2852" s="204"/>
    </row>
    <row r="2853">
      <c r="D2853" s="7"/>
      <c r="E2853" s="7"/>
      <c r="H2853" s="204"/>
    </row>
    <row r="2854">
      <c r="D2854" s="7"/>
      <c r="E2854" s="7"/>
      <c r="H2854" s="204"/>
    </row>
    <row r="2855">
      <c r="D2855" s="7"/>
      <c r="E2855" s="7"/>
      <c r="H2855" s="204"/>
    </row>
    <row r="2856">
      <c r="D2856" s="7"/>
      <c r="E2856" s="7"/>
      <c r="H2856" s="204"/>
    </row>
    <row r="2857">
      <c r="D2857" s="7"/>
      <c r="E2857" s="7"/>
      <c r="H2857" s="204"/>
    </row>
    <row r="2858">
      <c r="D2858" s="7"/>
      <c r="E2858" s="7"/>
      <c r="H2858" s="204"/>
    </row>
    <row r="2859">
      <c r="D2859" s="7"/>
      <c r="E2859" s="7"/>
      <c r="H2859" s="204"/>
    </row>
    <row r="2860">
      <c r="D2860" s="7"/>
      <c r="E2860" s="7"/>
      <c r="H2860" s="204"/>
    </row>
    <row r="2861">
      <c r="D2861" s="7"/>
      <c r="E2861" s="7"/>
      <c r="H2861" s="204"/>
    </row>
    <row r="2862">
      <c r="D2862" s="7"/>
      <c r="E2862" s="7"/>
      <c r="H2862" s="204"/>
    </row>
    <row r="2863">
      <c r="D2863" s="7"/>
      <c r="E2863" s="7"/>
      <c r="H2863" s="204"/>
    </row>
    <row r="2864">
      <c r="D2864" s="7"/>
      <c r="E2864" s="7"/>
      <c r="H2864" s="204"/>
    </row>
    <row r="2865">
      <c r="D2865" s="7"/>
      <c r="E2865" s="7"/>
      <c r="H2865" s="204"/>
    </row>
    <row r="2866">
      <c r="D2866" s="7"/>
      <c r="E2866" s="7"/>
      <c r="H2866" s="204"/>
    </row>
    <row r="2867">
      <c r="D2867" s="7"/>
      <c r="E2867" s="7"/>
      <c r="H2867" s="204"/>
    </row>
    <row r="2868">
      <c r="D2868" s="7"/>
      <c r="E2868" s="7"/>
      <c r="H2868" s="204"/>
    </row>
    <row r="2869">
      <c r="D2869" s="7"/>
      <c r="E2869" s="7"/>
      <c r="H2869" s="204"/>
    </row>
    <row r="2870">
      <c r="D2870" s="7"/>
      <c r="E2870" s="7"/>
      <c r="H2870" s="204"/>
    </row>
    <row r="2871">
      <c r="D2871" s="7"/>
      <c r="E2871" s="7"/>
      <c r="H2871" s="204"/>
    </row>
    <row r="2872">
      <c r="D2872" s="7"/>
      <c r="E2872" s="7"/>
      <c r="H2872" s="204"/>
    </row>
    <row r="2873">
      <c r="D2873" s="7"/>
      <c r="E2873" s="7"/>
      <c r="H2873" s="204"/>
    </row>
    <row r="2874">
      <c r="D2874" s="7"/>
      <c r="E2874" s="7"/>
      <c r="H2874" s="204"/>
    </row>
    <row r="2875">
      <c r="D2875" s="7"/>
      <c r="E2875" s="7"/>
      <c r="H2875" s="204"/>
    </row>
    <row r="2876">
      <c r="D2876" s="7"/>
      <c r="E2876" s="7"/>
      <c r="H2876" s="204"/>
    </row>
    <row r="2877">
      <c r="D2877" s="7"/>
      <c r="E2877" s="7"/>
      <c r="H2877" s="204"/>
    </row>
    <row r="2878">
      <c r="D2878" s="7"/>
      <c r="E2878" s="7"/>
      <c r="H2878" s="204"/>
    </row>
    <row r="2879">
      <c r="D2879" s="7"/>
      <c r="E2879" s="7"/>
      <c r="H2879" s="204"/>
    </row>
    <row r="2880">
      <c r="D2880" s="7"/>
      <c r="E2880" s="7"/>
      <c r="H2880" s="204"/>
    </row>
    <row r="2881">
      <c r="D2881" s="7"/>
      <c r="E2881" s="7"/>
      <c r="H2881" s="204"/>
    </row>
    <row r="2882">
      <c r="D2882" s="7"/>
      <c r="E2882" s="7"/>
      <c r="H2882" s="204"/>
    </row>
    <row r="2883">
      <c r="D2883" s="7"/>
      <c r="E2883" s="7"/>
      <c r="H2883" s="204"/>
    </row>
    <row r="2884">
      <c r="D2884" s="7"/>
      <c r="E2884" s="7"/>
      <c r="H2884" s="204"/>
    </row>
    <row r="2885">
      <c r="D2885" s="7"/>
      <c r="E2885" s="7"/>
      <c r="H2885" s="204"/>
    </row>
    <row r="2886">
      <c r="D2886" s="7"/>
      <c r="E2886" s="7"/>
      <c r="H2886" s="204"/>
    </row>
    <row r="2887">
      <c r="D2887" s="7"/>
      <c r="E2887" s="7"/>
      <c r="H2887" s="204"/>
    </row>
    <row r="2888">
      <c r="D2888" s="7"/>
      <c r="E2888" s="7"/>
      <c r="H2888" s="204"/>
    </row>
    <row r="2889">
      <c r="D2889" s="7"/>
      <c r="E2889" s="7"/>
      <c r="H2889" s="204"/>
    </row>
    <row r="2890">
      <c r="D2890" s="7"/>
      <c r="E2890" s="7"/>
      <c r="H2890" s="204"/>
    </row>
    <row r="2891">
      <c r="D2891" s="7"/>
      <c r="E2891" s="7"/>
      <c r="H2891" s="204"/>
    </row>
    <row r="2892">
      <c r="D2892" s="7"/>
      <c r="E2892" s="7"/>
      <c r="H2892" s="204"/>
    </row>
    <row r="2893">
      <c r="D2893" s="7"/>
      <c r="E2893" s="7"/>
      <c r="H2893" s="204"/>
    </row>
    <row r="2894">
      <c r="D2894" s="7"/>
      <c r="E2894" s="7"/>
      <c r="H2894" s="204"/>
    </row>
    <row r="2895">
      <c r="D2895" s="7"/>
      <c r="E2895" s="7"/>
      <c r="H2895" s="204"/>
    </row>
    <row r="2896">
      <c r="D2896" s="7"/>
      <c r="E2896" s="7"/>
      <c r="H2896" s="204"/>
    </row>
    <row r="2897">
      <c r="D2897" s="7"/>
      <c r="E2897" s="7"/>
      <c r="H2897" s="204"/>
    </row>
    <row r="2898">
      <c r="D2898" s="7"/>
      <c r="E2898" s="7"/>
      <c r="H2898" s="204"/>
    </row>
  </sheetData>
  <autoFilter ref="$A$31:$I$682"/>
  <mergeCells count="2">
    <mergeCell ref="A1:I2"/>
    <mergeCell ref="A21:B21"/>
  </mergeCells>
  <conditionalFormatting sqref="B343">
    <cfRule type="notContainsBlanks" dxfId="0" priority="1">
      <formula>LEN(TRIM(B343))&gt;0</formula>
    </cfRule>
  </conditionalFormatting>
  <conditionalFormatting sqref="B342:H402">
    <cfRule type="expression" dxfId="0" priority="2" operator="containsText">
      <formula>NOT(ISERROR(SEARCH(($C343="IMPRESSÃO"),(B342))))</formula>
    </cfRule>
  </conditionalFormatting>
  <conditionalFormatting sqref="B342:H402">
    <cfRule type="expression" dxfId="1" priority="3" operator="containsText">
      <formula>NOT(ISERROR(SEARCH(($C343="IMPRESSÃO"),(B342))))</formula>
    </cfRule>
  </conditionalFormatting>
  <dataValidations>
    <dataValidation type="list" allowBlank="1" showErrorMessage="1" sqref="I32:I693">
      <formula1>"AGUARDANDO APROVAÇÃO,AGUARDANDO FOTO,APROVADO,DIAGRAMADO,EM ABERTO,EM AJUSTE,EM DIAGRAMAÇÃO,IMPRESSÃO,NAO ESTA NA PLANILHA,PRONTO,COM A BABARA"</formula1>
    </dataValidation>
  </dataValidations>
  <hyperlinks>
    <hyperlink r:id="rId1" ref="F46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88"/>
    <col customWidth="1" min="2" max="2" width="24.75"/>
    <col customWidth="1" min="3" max="3" width="24.63"/>
    <col customWidth="1" min="4" max="4" width="6.88"/>
    <col customWidth="1" min="5" max="5" width="8.63"/>
    <col customWidth="1" min="6" max="6" width="6.13"/>
  </cols>
  <sheetData>
    <row r="1">
      <c r="A1" s="243" t="s">
        <v>2762</v>
      </c>
    </row>
    <row r="2">
      <c r="A2" s="244" t="s">
        <v>2762</v>
      </c>
    </row>
    <row r="3">
      <c r="A3" s="245" t="s">
        <v>2763</v>
      </c>
    </row>
    <row r="4">
      <c r="A4" s="245" t="s">
        <v>2764</v>
      </c>
    </row>
    <row r="5">
      <c r="A5" s="245" t="s">
        <v>2765</v>
      </c>
    </row>
    <row r="6">
      <c r="A6" s="245" t="s">
        <v>2766</v>
      </c>
      <c r="B6" s="246"/>
    </row>
    <row r="7">
      <c r="A7" s="245" t="s">
        <v>2767</v>
      </c>
      <c r="B7" s="246"/>
    </row>
    <row r="8">
      <c r="A8" s="245" t="s">
        <v>2768</v>
      </c>
      <c r="B8" s="246"/>
    </row>
    <row r="9">
      <c r="A9" s="245" t="s">
        <v>2769</v>
      </c>
      <c r="B9" s="246"/>
    </row>
    <row r="10">
      <c r="A10" s="245" t="s">
        <v>2770</v>
      </c>
      <c r="B10" s="246"/>
    </row>
    <row r="11">
      <c r="A11" s="245" t="s">
        <v>2771</v>
      </c>
      <c r="B11" s="246"/>
    </row>
    <row r="12">
      <c r="A12" s="245" t="s">
        <v>2772</v>
      </c>
      <c r="B12" s="246"/>
    </row>
    <row r="13">
      <c r="A13" s="245" t="s">
        <v>2773</v>
      </c>
      <c r="B13" s="246"/>
    </row>
    <row r="14">
      <c r="A14" s="245" t="s">
        <v>2774</v>
      </c>
      <c r="B14" s="246"/>
    </row>
    <row r="15">
      <c r="A15" s="245" t="s">
        <v>2775</v>
      </c>
      <c r="B15" s="246"/>
    </row>
    <row r="16">
      <c r="A16" s="245" t="s">
        <v>2776</v>
      </c>
      <c r="B16" s="246"/>
    </row>
    <row r="17">
      <c r="A17" s="245" t="s">
        <v>2777</v>
      </c>
      <c r="B17" s="246"/>
    </row>
    <row r="18">
      <c r="A18" s="245" t="s">
        <v>2778</v>
      </c>
      <c r="B18" s="246"/>
    </row>
    <row r="19">
      <c r="A19" s="245" t="s">
        <v>2779</v>
      </c>
      <c r="B19" s="246"/>
    </row>
    <row r="20">
      <c r="A20" s="245" t="s">
        <v>2780</v>
      </c>
      <c r="B20" s="246"/>
    </row>
    <row r="21">
      <c r="A21" s="245" t="s">
        <v>2781</v>
      </c>
      <c r="B21" s="246"/>
    </row>
    <row r="22">
      <c r="A22" s="245" t="s">
        <v>2782</v>
      </c>
      <c r="B22" s="246"/>
    </row>
    <row r="23">
      <c r="A23" s="245" t="s">
        <v>2783</v>
      </c>
      <c r="B23" s="246"/>
    </row>
    <row r="24">
      <c r="A24" s="245" t="s">
        <v>2784</v>
      </c>
      <c r="B24" s="246"/>
    </row>
    <row r="25">
      <c r="A25" s="245" t="s">
        <v>2785</v>
      </c>
      <c r="B25" s="246"/>
    </row>
    <row r="26">
      <c r="A26" s="245" t="s">
        <v>2786</v>
      </c>
      <c r="B26" s="246"/>
    </row>
    <row r="27">
      <c r="A27" s="245" t="s">
        <v>2787</v>
      </c>
      <c r="B27" s="246"/>
    </row>
    <row r="28">
      <c r="A28" s="245" t="s">
        <v>2788</v>
      </c>
      <c r="B28" s="246"/>
    </row>
    <row r="29">
      <c r="A29" s="245" t="s">
        <v>2789</v>
      </c>
      <c r="B29" s="246"/>
    </row>
    <row r="30">
      <c r="A30" s="245" t="s">
        <v>2790</v>
      </c>
      <c r="B30" s="246"/>
    </row>
    <row r="31">
      <c r="A31" s="245" t="s">
        <v>2791</v>
      </c>
      <c r="B31" s="246"/>
    </row>
    <row r="32">
      <c r="A32" s="245" t="s">
        <v>2792</v>
      </c>
      <c r="B32" s="246"/>
    </row>
    <row r="33">
      <c r="A33" s="245" t="s">
        <v>2793</v>
      </c>
      <c r="B33" s="246"/>
    </row>
    <row r="34">
      <c r="A34" s="245" t="s">
        <v>2794</v>
      </c>
      <c r="B34" s="246"/>
    </row>
    <row r="35">
      <c r="A35" s="245" t="s">
        <v>2795</v>
      </c>
      <c r="B35" s="246"/>
    </row>
    <row r="36">
      <c r="A36" s="245" t="s">
        <v>2796</v>
      </c>
      <c r="B36" s="246"/>
    </row>
    <row r="37">
      <c r="A37" s="245" t="s">
        <v>2797</v>
      </c>
      <c r="B37" s="246"/>
    </row>
    <row r="38">
      <c r="A38" s="245" t="s">
        <v>2798</v>
      </c>
      <c r="B38" s="246"/>
    </row>
    <row r="39">
      <c r="A39" s="245" t="s">
        <v>2799</v>
      </c>
      <c r="B39" s="246"/>
    </row>
    <row r="40">
      <c r="A40" s="245" t="s">
        <v>2800</v>
      </c>
      <c r="B40" s="246"/>
    </row>
    <row r="41">
      <c r="A41" s="245" t="s">
        <v>2801</v>
      </c>
      <c r="B41" s="246"/>
    </row>
    <row r="42">
      <c r="A42" s="245" t="s">
        <v>2802</v>
      </c>
      <c r="B42" s="246"/>
    </row>
    <row r="43">
      <c r="A43" s="245" t="s">
        <v>2803</v>
      </c>
      <c r="B43" s="246"/>
    </row>
    <row r="44">
      <c r="A44" s="245" t="s">
        <v>2804</v>
      </c>
      <c r="B44" s="246"/>
    </row>
    <row r="45">
      <c r="A45" s="245" t="s">
        <v>2805</v>
      </c>
      <c r="B45" s="246"/>
    </row>
    <row r="46">
      <c r="A46" s="245" t="s">
        <v>2806</v>
      </c>
      <c r="B46" s="246"/>
    </row>
    <row r="47">
      <c r="A47" s="245" t="s">
        <v>2807</v>
      </c>
      <c r="B47" s="246"/>
    </row>
    <row r="48">
      <c r="A48" s="245" t="s">
        <v>2808</v>
      </c>
      <c r="B48" s="246"/>
    </row>
    <row r="49">
      <c r="A49" s="245" t="s">
        <v>2809</v>
      </c>
      <c r="B49" s="246"/>
    </row>
    <row r="50">
      <c r="A50" s="245" t="s">
        <v>2810</v>
      </c>
      <c r="B50" s="246"/>
    </row>
    <row r="51">
      <c r="A51" s="245" t="s">
        <v>2811</v>
      </c>
      <c r="B51" s="246"/>
    </row>
    <row r="52">
      <c r="A52" s="245" t="s">
        <v>2812</v>
      </c>
      <c r="B52" s="246"/>
    </row>
    <row r="53">
      <c r="A53" s="245" t="s">
        <v>2813</v>
      </c>
      <c r="B53" s="246"/>
    </row>
    <row r="54">
      <c r="A54" s="245" t="s">
        <v>2814</v>
      </c>
      <c r="B54" s="247"/>
    </row>
    <row r="55">
      <c r="A55" s="245" t="s">
        <v>2815</v>
      </c>
      <c r="B55" s="247"/>
    </row>
    <row r="56">
      <c r="A56" s="245" t="s">
        <v>2816</v>
      </c>
      <c r="B56" s="247"/>
    </row>
    <row r="57">
      <c r="A57" s="245" t="s">
        <v>2817</v>
      </c>
      <c r="B57" s="247"/>
    </row>
    <row r="58">
      <c r="A58" s="245" t="s">
        <v>2818</v>
      </c>
      <c r="B58" s="247"/>
    </row>
    <row r="59">
      <c r="A59" s="245" t="s">
        <v>2819</v>
      </c>
      <c r="B59" s="247"/>
    </row>
    <row r="60">
      <c r="A60" s="245" t="s">
        <v>2820</v>
      </c>
      <c r="B60" s="247"/>
    </row>
    <row r="61">
      <c r="A61" s="245" t="s">
        <v>2821</v>
      </c>
      <c r="B61" s="247"/>
    </row>
    <row r="62">
      <c r="A62" s="245" t="s">
        <v>2822</v>
      </c>
      <c r="B62" s="247"/>
    </row>
    <row r="63">
      <c r="A63" s="245" t="s">
        <v>2823</v>
      </c>
      <c r="B63" s="247"/>
    </row>
    <row r="64">
      <c r="A64" s="245" t="s">
        <v>2824</v>
      </c>
      <c r="B64" s="247"/>
    </row>
    <row r="65">
      <c r="A65" s="245" t="s">
        <v>2825</v>
      </c>
      <c r="B65" s="247"/>
    </row>
    <row r="66">
      <c r="A66" s="245" t="s">
        <v>2826</v>
      </c>
      <c r="B66" s="247"/>
    </row>
    <row r="67">
      <c r="A67" s="245" t="s">
        <v>2827</v>
      </c>
      <c r="B67" s="247"/>
    </row>
    <row r="68">
      <c r="A68" s="245" t="s">
        <v>2828</v>
      </c>
      <c r="B68" s="247"/>
    </row>
    <row r="69">
      <c r="A69" s="245" t="s">
        <v>2829</v>
      </c>
      <c r="B69" s="247"/>
    </row>
    <row r="70">
      <c r="A70" s="245" t="s">
        <v>2830</v>
      </c>
      <c r="B70" s="247"/>
    </row>
    <row r="71">
      <c r="A71" s="245" t="s">
        <v>2831</v>
      </c>
      <c r="B71" s="247"/>
    </row>
    <row r="72">
      <c r="A72" s="245" t="s">
        <v>2832</v>
      </c>
      <c r="B72" s="247"/>
    </row>
    <row r="73">
      <c r="A73" s="245" t="s">
        <v>2833</v>
      </c>
      <c r="B73" s="247"/>
    </row>
    <row r="74">
      <c r="A74" s="245" t="s">
        <v>2834</v>
      </c>
      <c r="B74" s="247"/>
    </row>
    <row r="75">
      <c r="A75" s="245" t="s">
        <v>2835</v>
      </c>
      <c r="B75" s="247"/>
    </row>
    <row r="76">
      <c r="A76" s="245" t="s">
        <v>2836</v>
      </c>
      <c r="B76" s="247"/>
    </row>
    <row r="77">
      <c r="A77" s="245" t="s">
        <v>2837</v>
      </c>
      <c r="B77" s="247"/>
    </row>
    <row r="78">
      <c r="A78" s="245" t="s">
        <v>2838</v>
      </c>
      <c r="B78" s="247"/>
    </row>
    <row r="79">
      <c r="A79" s="245" t="s">
        <v>2839</v>
      </c>
      <c r="B79" s="247"/>
    </row>
    <row r="80">
      <c r="A80" s="245" t="s">
        <v>2840</v>
      </c>
      <c r="B80" s="247"/>
    </row>
    <row r="81">
      <c r="A81" s="245" t="s">
        <v>2841</v>
      </c>
      <c r="B81" s="247"/>
    </row>
    <row r="82">
      <c r="A82" s="245" t="s">
        <v>2842</v>
      </c>
      <c r="B82" s="247"/>
    </row>
    <row r="83">
      <c r="A83" s="245" t="s">
        <v>2843</v>
      </c>
      <c r="B83" s="247"/>
    </row>
    <row r="84">
      <c r="A84" s="245" t="s">
        <v>2844</v>
      </c>
      <c r="B84" s="247"/>
    </row>
    <row r="85">
      <c r="A85" s="245" t="s">
        <v>2845</v>
      </c>
      <c r="B85" s="247"/>
    </row>
    <row r="86">
      <c r="A86" s="245" t="s">
        <v>2846</v>
      </c>
      <c r="B86" s="247"/>
    </row>
    <row r="87">
      <c r="A87" s="245" t="s">
        <v>2847</v>
      </c>
      <c r="B87" s="247"/>
    </row>
    <row r="88">
      <c r="A88" s="245" t="s">
        <v>2848</v>
      </c>
      <c r="B88" s="247"/>
    </row>
    <row r="89">
      <c r="A89" s="245" t="s">
        <v>2849</v>
      </c>
      <c r="B89" s="247"/>
    </row>
    <row r="90">
      <c r="A90" s="245" t="s">
        <v>2850</v>
      </c>
      <c r="B90" s="247"/>
    </row>
    <row r="91">
      <c r="A91" s="245" t="s">
        <v>2851</v>
      </c>
      <c r="B91" s="247"/>
    </row>
    <row r="92">
      <c r="A92" s="245" t="s">
        <v>2852</v>
      </c>
      <c r="B92" s="247"/>
    </row>
    <row r="93">
      <c r="A93" s="245" t="s">
        <v>2853</v>
      </c>
      <c r="B93" s="247"/>
    </row>
    <row r="94">
      <c r="A94" s="245" t="s">
        <v>2854</v>
      </c>
      <c r="B94" s="247"/>
    </row>
    <row r="95">
      <c r="A95" s="245" t="s">
        <v>2855</v>
      </c>
      <c r="B95" s="247"/>
    </row>
    <row r="96">
      <c r="A96" s="245" t="s">
        <v>2856</v>
      </c>
      <c r="B96" s="247"/>
    </row>
    <row r="97">
      <c r="A97" s="245" t="s">
        <v>2857</v>
      </c>
      <c r="B97" s="247"/>
    </row>
    <row r="98">
      <c r="A98" s="245" t="s">
        <v>2858</v>
      </c>
      <c r="B98" s="247"/>
    </row>
    <row r="99">
      <c r="A99" s="245" t="s">
        <v>2859</v>
      </c>
      <c r="B99" s="247"/>
    </row>
    <row r="100">
      <c r="A100" s="245" t="s">
        <v>2860</v>
      </c>
      <c r="B100" s="247"/>
    </row>
    <row r="101">
      <c r="A101" s="245" t="s">
        <v>2861</v>
      </c>
      <c r="B101" s="247"/>
    </row>
    <row r="102">
      <c r="A102" s="245" t="s">
        <v>2862</v>
      </c>
      <c r="B102" s="246"/>
    </row>
    <row r="103">
      <c r="A103" s="245" t="s">
        <v>2863</v>
      </c>
      <c r="B103" s="246"/>
    </row>
    <row r="104">
      <c r="A104" s="245" t="s">
        <v>2864</v>
      </c>
      <c r="B104" s="246"/>
    </row>
    <row r="105">
      <c r="A105" s="245" t="s">
        <v>2865</v>
      </c>
      <c r="B105" s="246"/>
    </row>
    <row r="106">
      <c r="A106" s="245" t="s">
        <v>2866</v>
      </c>
      <c r="B106" s="246"/>
    </row>
    <row r="107">
      <c r="A107" s="245" t="s">
        <v>2867</v>
      </c>
      <c r="B107" s="246"/>
    </row>
    <row r="108">
      <c r="A108" s="245" t="s">
        <v>2868</v>
      </c>
      <c r="B108" s="246"/>
    </row>
    <row r="109">
      <c r="A109" s="245" t="s">
        <v>2869</v>
      </c>
      <c r="B109" s="246"/>
    </row>
    <row r="110">
      <c r="A110" s="245" t="s">
        <v>2870</v>
      </c>
      <c r="B110" s="246"/>
    </row>
    <row r="111">
      <c r="A111" s="245" t="s">
        <v>2871</v>
      </c>
      <c r="B111" s="246"/>
    </row>
    <row r="112">
      <c r="A112" s="245" t="s">
        <v>2872</v>
      </c>
      <c r="B112" s="246"/>
    </row>
    <row r="113">
      <c r="A113" s="246"/>
      <c r="B113" s="246"/>
    </row>
    <row r="114">
      <c r="A114" s="246"/>
      <c r="B114" s="246"/>
    </row>
    <row r="115">
      <c r="A115" s="243" t="s">
        <v>2873</v>
      </c>
      <c r="B115" s="243" t="s">
        <v>2874</v>
      </c>
    </row>
    <row r="116">
      <c r="A116" s="244" t="s">
        <v>2762</v>
      </c>
      <c r="B116" s="244" t="s">
        <v>2875</v>
      </c>
    </row>
    <row r="117">
      <c r="A117" s="248" t="s">
        <v>2876</v>
      </c>
      <c r="B117" s="248"/>
    </row>
    <row r="118">
      <c r="A118" s="248" t="s">
        <v>2877</v>
      </c>
      <c r="B118" s="245" t="s">
        <v>2878</v>
      </c>
    </row>
    <row r="119">
      <c r="A119" s="248" t="s">
        <v>2879</v>
      </c>
      <c r="B119" s="245" t="s">
        <v>2878</v>
      </c>
    </row>
    <row r="120">
      <c r="A120" s="248" t="s">
        <v>2880</v>
      </c>
      <c r="B120" s="245" t="s">
        <v>2878</v>
      </c>
    </row>
    <row r="121">
      <c r="A121" s="248" t="s">
        <v>2881</v>
      </c>
      <c r="B121" s="245" t="s">
        <v>2878</v>
      </c>
    </row>
    <row r="122">
      <c r="A122" s="248" t="s">
        <v>2882</v>
      </c>
      <c r="B122" s="245" t="s">
        <v>2878</v>
      </c>
    </row>
    <row r="123">
      <c r="A123" s="248" t="s">
        <v>2883</v>
      </c>
      <c r="B123" s="245" t="s">
        <v>2878</v>
      </c>
    </row>
    <row r="124">
      <c r="A124" s="248" t="s">
        <v>2884</v>
      </c>
      <c r="B124" s="245" t="s">
        <v>2878</v>
      </c>
    </row>
    <row r="125">
      <c r="A125" s="248" t="s">
        <v>2885</v>
      </c>
      <c r="B125" s="245" t="s">
        <v>2886</v>
      </c>
    </row>
    <row r="126">
      <c r="A126" s="248" t="s">
        <v>2887</v>
      </c>
      <c r="B126" s="245" t="s">
        <v>2878</v>
      </c>
    </row>
    <row r="127">
      <c r="A127" s="248" t="s">
        <v>2888</v>
      </c>
      <c r="B127" s="245" t="s">
        <v>2878</v>
      </c>
    </row>
    <row r="128">
      <c r="A128" s="248" t="s">
        <v>2889</v>
      </c>
      <c r="B128" s="245" t="s">
        <v>2878</v>
      </c>
    </row>
    <row r="129">
      <c r="A129" s="248" t="s">
        <v>2890</v>
      </c>
      <c r="B129" s="245" t="s">
        <v>2878</v>
      </c>
    </row>
    <row r="130">
      <c r="A130" s="248" t="s">
        <v>2891</v>
      </c>
      <c r="B130" s="245" t="s">
        <v>2878</v>
      </c>
    </row>
    <row r="131">
      <c r="A131" s="248" t="s">
        <v>2892</v>
      </c>
      <c r="B131" s="245" t="s">
        <v>2878</v>
      </c>
    </row>
    <row r="132">
      <c r="A132" s="248" t="s">
        <v>2893</v>
      </c>
      <c r="B132" s="245" t="s">
        <v>2878</v>
      </c>
    </row>
    <row r="133">
      <c r="A133" s="248" t="s">
        <v>2894</v>
      </c>
      <c r="B133" s="245" t="s">
        <v>2886</v>
      </c>
    </row>
    <row r="134">
      <c r="A134" s="248" t="s">
        <v>2895</v>
      </c>
      <c r="B134" s="245" t="s">
        <v>2896</v>
      </c>
    </row>
    <row r="135">
      <c r="A135" s="248" t="s">
        <v>2897</v>
      </c>
      <c r="B135" s="245" t="s">
        <v>2878</v>
      </c>
    </row>
    <row r="136">
      <c r="A136" s="248" t="s">
        <v>2898</v>
      </c>
      <c r="B136" s="245" t="s">
        <v>2878</v>
      </c>
    </row>
    <row r="137">
      <c r="A137" s="248" t="s">
        <v>2899</v>
      </c>
      <c r="B137" s="245" t="s">
        <v>2878</v>
      </c>
    </row>
    <row r="138">
      <c r="A138" s="248" t="s">
        <v>2900</v>
      </c>
      <c r="B138" s="245" t="s">
        <v>2878</v>
      </c>
    </row>
    <row r="139">
      <c r="A139" s="248" t="s">
        <v>2901</v>
      </c>
      <c r="B139" s="245" t="s">
        <v>2878</v>
      </c>
    </row>
    <row r="140">
      <c r="A140" s="248" t="s">
        <v>2902</v>
      </c>
      <c r="B140" s="245" t="s">
        <v>2878</v>
      </c>
    </row>
    <row r="141">
      <c r="A141" s="248" t="s">
        <v>2903</v>
      </c>
      <c r="B141" s="245" t="s">
        <v>2878</v>
      </c>
    </row>
    <row r="142">
      <c r="A142" s="248" t="s">
        <v>2904</v>
      </c>
      <c r="B142" s="245" t="s">
        <v>2878</v>
      </c>
    </row>
    <row r="143">
      <c r="A143" s="248" t="s">
        <v>2905</v>
      </c>
      <c r="B143" s="245" t="s">
        <v>2878</v>
      </c>
    </row>
    <row r="144">
      <c r="A144" s="248" t="s">
        <v>2906</v>
      </c>
      <c r="B144" s="245" t="s">
        <v>2878</v>
      </c>
    </row>
    <row r="145">
      <c r="A145" s="248" t="s">
        <v>2907</v>
      </c>
      <c r="B145" s="245" t="s">
        <v>2878</v>
      </c>
    </row>
    <row r="146">
      <c r="A146" s="248" t="s">
        <v>2908</v>
      </c>
      <c r="B146" s="245" t="s">
        <v>2878</v>
      </c>
    </row>
    <row r="147">
      <c r="A147" s="248" t="s">
        <v>2909</v>
      </c>
      <c r="B147" s="245" t="s">
        <v>2878</v>
      </c>
    </row>
    <row r="148">
      <c r="A148" s="248" t="s">
        <v>2910</v>
      </c>
      <c r="B148" s="245" t="s">
        <v>2878</v>
      </c>
    </row>
    <row r="149">
      <c r="A149" s="248" t="s">
        <v>2911</v>
      </c>
      <c r="B149" s="245" t="s">
        <v>2878</v>
      </c>
    </row>
    <row r="150">
      <c r="A150" s="248" t="s">
        <v>2912</v>
      </c>
      <c r="B150" s="245" t="s">
        <v>2878</v>
      </c>
    </row>
    <row r="151">
      <c r="A151" s="248" t="s">
        <v>2913</v>
      </c>
      <c r="B151" s="245" t="s">
        <v>2878</v>
      </c>
    </row>
    <row r="152">
      <c r="A152" s="248" t="s">
        <v>2914</v>
      </c>
      <c r="B152" s="245" t="s">
        <v>2878</v>
      </c>
    </row>
    <row r="153">
      <c r="A153" s="248" t="s">
        <v>2915</v>
      </c>
      <c r="B153" s="245" t="s">
        <v>2878</v>
      </c>
    </row>
    <row r="154">
      <c r="A154" s="248" t="s">
        <v>2916</v>
      </c>
      <c r="B154" s="245" t="s">
        <v>2878</v>
      </c>
      <c r="D154" s="166" t="s">
        <v>2917</v>
      </c>
    </row>
    <row r="155">
      <c r="A155" s="248" t="s">
        <v>2918</v>
      </c>
      <c r="B155" s="245" t="s">
        <v>2919</v>
      </c>
    </row>
    <row r="156">
      <c r="A156" s="248" t="s">
        <v>2920</v>
      </c>
      <c r="B156" s="245" t="s">
        <v>2878</v>
      </c>
    </row>
    <row r="157">
      <c r="A157" s="248" t="s">
        <v>2921</v>
      </c>
      <c r="B157" s="245" t="s">
        <v>2878</v>
      </c>
    </row>
    <row r="158">
      <c r="A158" s="248" t="s">
        <v>2922</v>
      </c>
      <c r="B158" s="245" t="s">
        <v>2878</v>
      </c>
    </row>
    <row r="159">
      <c r="A159" s="248" t="s">
        <v>2923</v>
      </c>
      <c r="B159" s="245" t="s">
        <v>2878</v>
      </c>
    </row>
    <row r="160">
      <c r="A160" s="248" t="s">
        <v>2924</v>
      </c>
      <c r="B160" s="245" t="s">
        <v>2878</v>
      </c>
    </row>
    <row r="161">
      <c r="A161" s="248" t="s">
        <v>2925</v>
      </c>
      <c r="B161" s="245" t="s">
        <v>2878</v>
      </c>
    </row>
    <row r="162">
      <c r="A162" s="248" t="s">
        <v>2926</v>
      </c>
      <c r="B162" s="245" t="s">
        <v>2878</v>
      </c>
      <c r="C162" s="166"/>
    </row>
    <row r="163">
      <c r="A163" s="246"/>
      <c r="B163" s="246"/>
      <c r="C163" s="246"/>
    </row>
    <row r="164">
      <c r="A164" s="244" t="s">
        <v>2927</v>
      </c>
      <c r="B164" s="244" t="s">
        <v>2928</v>
      </c>
      <c r="C164" s="246"/>
    </row>
    <row r="165">
      <c r="A165" s="249" t="s">
        <v>2929</v>
      </c>
      <c r="B165" s="133">
        <v>971.0</v>
      </c>
      <c r="C165" s="8" t="s">
        <v>2165</v>
      </c>
      <c r="D165" s="166" t="s">
        <v>2930</v>
      </c>
    </row>
    <row r="166">
      <c r="A166" s="250" t="s">
        <v>2931</v>
      </c>
      <c r="B166" s="250">
        <v>1084.0</v>
      </c>
      <c r="C166" s="8" t="s">
        <v>2930</v>
      </c>
    </row>
    <row r="167">
      <c r="A167" s="250" t="s">
        <v>2932</v>
      </c>
      <c r="B167" s="250">
        <v>1084.0</v>
      </c>
      <c r="C167" s="8" t="s">
        <v>2930</v>
      </c>
    </row>
    <row r="168">
      <c r="A168" s="250" t="s">
        <v>2933</v>
      </c>
      <c r="B168" s="250">
        <v>968.0</v>
      </c>
      <c r="C168" s="8" t="s">
        <v>2165</v>
      </c>
    </row>
    <row r="169">
      <c r="A169" s="250" t="s">
        <v>2934</v>
      </c>
      <c r="B169" s="250">
        <v>968.0</v>
      </c>
      <c r="C169" s="8" t="s">
        <v>2930</v>
      </c>
    </row>
    <row r="170">
      <c r="A170" s="250" t="s">
        <v>2935</v>
      </c>
      <c r="B170" s="250">
        <v>968.0</v>
      </c>
      <c r="C170" s="8" t="s">
        <v>2165</v>
      </c>
    </row>
    <row r="171">
      <c r="A171" s="250" t="s">
        <v>2936</v>
      </c>
      <c r="B171" s="250">
        <v>968.0</v>
      </c>
      <c r="C171" s="8" t="s">
        <v>2165</v>
      </c>
    </row>
    <row r="172">
      <c r="A172" s="250" t="s">
        <v>2937</v>
      </c>
      <c r="B172" s="250">
        <v>968.0</v>
      </c>
      <c r="C172" s="8" t="s">
        <v>2165</v>
      </c>
    </row>
    <row r="173">
      <c r="A173" s="250" t="s">
        <v>2938</v>
      </c>
      <c r="B173" s="250">
        <v>1070.0</v>
      </c>
      <c r="C173" s="8" t="s">
        <v>2165</v>
      </c>
      <c r="D173" s="166" t="s">
        <v>2930</v>
      </c>
    </row>
    <row r="174">
      <c r="A174" s="250" t="s">
        <v>2939</v>
      </c>
      <c r="B174" s="250">
        <v>971.0</v>
      </c>
      <c r="C174" s="8" t="s">
        <v>2165</v>
      </c>
    </row>
    <row r="175">
      <c r="A175" s="246"/>
      <c r="B175" s="246"/>
      <c r="C175" s="246"/>
    </row>
    <row r="176">
      <c r="A176" s="244" t="s">
        <v>2927</v>
      </c>
      <c r="B176" s="244" t="s">
        <v>2940</v>
      </c>
      <c r="C176" s="251" t="s">
        <v>0</v>
      </c>
    </row>
    <row r="177">
      <c r="A177" s="250" t="s">
        <v>2941</v>
      </c>
      <c r="B177" s="250"/>
      <c r="C177" s="252"/>
      <c r="D177" s="166" t="s">
        <v>2917</v>
      </c>
    </row>
    <row r="178">
      <c r="A178" s="250" t="s">
        <v>2942</v>
      </c>
      <c r="B178" s="250">
        <v>971.0</v>
      </c>
      <c r="C178" s="252"/>
      <c r="D178" s="166" t="s">
        <v>2165</v>
      </c>
    </row>
    <row r="179">
      <c r="A179" s="250" t="s">
        <v>2943</v>
      </c>
      <c r="B179" s="250">
        <v>971.0</v>
      </c>
      <c r="C179" s="252"/>
      <c r="D179" s="166" t="s">
        <v>2165</v>
      </c>
    </row>
    <row r="180">
      <c r="A180" s="250" t="s">
        <v>2944</v>
      </c>
      <c r="B180" s="250">
        <v>964.0</v>
      </c>
      <c r="C180" s="252"/>
      <c r="D180" s="166" t="s">
        <v>2917</v>
      </c>
    </row>
    <row r="181">
      <c r="A181" s="250" t="s">
        <v>2945</v>
      </c>
      <c r="B181" s="250">
        <v>971.0</v>
      </c>
      <c r="C181" s="252"/>
      <c r="D181" s="166" t="s">
        <v>2917</v>
      </c>
    </row>
    <row r="182">
      <c r="A182" s="250" t="s">
        <v>2946</v>
      </c>
      <c r="B182" s="250">
        <v>968.0</v>
      </c>
      <c r="C182" s="252"/>
      <c r="D182" s="166" t="s">
        <v>2165</v>
      </c>
    </row>
    <row r="183">
      <c r="A183" s="250" t="s">
        <v>2947</v>
      </c>
      <c r="B183" s="250">
        <v>971.0</v>
      </c>
      <c r="C183" s="252"/>
      <c r="D183" s="166" t="s">
        <v>2165</v>
      </c>
    </row>
    <row r="184">
      <c r="A184" s="250" t="s">
        <v>2948</v>
      </c>
      <c r="B184" s="250">
        <v>968.0</v>
      </c>
      <c r="C184" s="250"/>
      <c r="D184" s="166" t="s">
        <v>2165</v>
      </c>
    </row>
    <row r="185">
      <c r="A185" s="250" t="s">
        <v>2949</v>
      </c>
      <c r="B185" s="250">
        <v>968.0</v>
      </c>
      <c r="C185" s="250"/>
      <c r="D185" s="166" t="s">
        <v>2165</v>
      </c>
    </row>
    <row r="186">
      <c r="A186" s="250" t="s">
        <v>2950</v>
      </c>
      <c r="B186" s="250">
        <v>971.0</v>
      </c>
      <c r="C186" s="250"/>
      <c r="D186" s="166" t="s">
        <v>2165</v>
      </c>
      <c r="E186" s="166"/>
    </row>
    <row r="187">
      <c r="A187" s="250" t="s">
        <v>2951</v>
      </c>
      <c r="B187" s="250">
        <v>994.0</v>
      </c>
      <c r="C187" s="252"/>
      <c r="D187" s="166" t="s">
        <v>2165</v>
      </c>
    </row>
    <row r="188">
      <c r="A188" s="250" t="s">
        <v>2952</v>
      </c>
      <c r="B188" s="250">
        <v>968.0</v>
      </c>
      <c r="C188" s="252"/>
      <c r="D188" s="166" t="s">
        <v>2165</v>
      </c>
    </row>
    <row r="189">
      <c r="A189" s="250" t="s">
        <v>2953</v>
      </c>
      <c r="B189" s="250">
        <v>971.0</v>
      </c>
      <c r="C189" s="252"/>
      <c r="D189" s="253" t="s">
        <v>2165</v>
      </c>
    </row>
    <row r="190">
      <c r="A190" s="244" t="s">
        <v>2954</v>
      </c>
      <c r="B190" s="254"/>
      <c r="C190" s="254"/>
    </row>
    <row r="191">
      <c r="A191" s="250" t="s">
        <v>2955</v>
      </c>
      <c r="B191" s="250">
        <v>971.0</v>
      </c>
      <c r="C191" s="252" t="s">
        <v>2919</v>
      </c>
      <c r="D191" s="166" t="s">
        <v>2165</v>
      </c>
    </row>
    <row r="192">
      <c r="A192" s="250" t="s">
        <v>2956</v>
      </c>
      <c r="B192" s="250">
        <v>971.0</v>
      </c>
      <c r="C192" s="252" t="s">
        <v>2878</v>
      </c>
      <c r="D192" s="166" t="s">
        <v>2165</v>
      </c>
    </row>
    <row r="193">
      <c r="A193" s="250" t="s">
        <v>2957</v>
      </c>
      <c r="B193" s="250">
        <v>964.0</v>
      </c>
      <c r="C193" s="252" t="s">
        <v>2878</v>
      </c>
      <c r="D193" s="166" t="s">
        <v>2165</v>
      </c>
    </row>
    <row r="194">
      <c r="A194" s="250" t="s">
        <v>2958</v>
      </c>
      <c r="B194" s="250">
        <v>971.0</v>
      </c>
      <c r="C194" s="252" t="s">
        <v>2959</v>
      </c>
      <c r="D194" s="166" t="s">
        <v>2165</v>
      </c>
    </row>
    <row r="195">
      <c r="A195" s="250" t="s">
        <v>2960</v>
      </c>
      <c r="B195" s="133" t="s">
        <v>2961</v>
      </c>
      <c r="C195" s="255"/>
      <c r="D195" s="166" t="s">
        <v>2165</v>
      </c>
      <c r="E195" s="166" t="s">
        <v>2962</v>
      </c>
    </row>
    <row r="196">
      <c r="A196" s="250" t="s">
        <v>2963</v>
      </c>
      <c r="B196" s="133" t="s">
        <v>2961</v>
      </c>
      <c r="C196" s="255"/>
      <c r="D196" s="166" t="s">
        <v>2165</v>
      </c>
    </row>
    <row r="198">
      <c r="A198" s="244" t="s">
        <v>2964</v>
      </c>
      <c r="B198" s="244" t="s">
        <v>2875</v>
      </c>
    </row>
    <row r="199">
      <c r="A199" s="245" t="s">
        <v>2965</v>
      </c>
      <c r="B199" s="245" t="s">
        <v>2966</v>
      </c>
    </row>
    <row r="200">
      <c r="A200" s="245" t="s">
        <v>2967</v>
      </c>
      <c r="B200" s="245" t="s">
        <v>2878</v>
      </c>
    </row>
    <row r="201">
      <c r="A201" s="245" t="s">
        <v>2968</v>
      </c>
      <c r="B201" s="245" t="s">
        <v>2878</v>
      </c>
    </row>
    <row r="202">
      <c r="A202" s="245" t="s">
        <v>2969</v>
      </c>
      <c r="B202" s="256" t="s">
        <v>2919</v>
      </c>
    </row>
    <row r="203">
      <c r="A203" s="245" t="s">
        <v>2970</v>
      </c>
      <c r="B203" s="245" t="s">
        <v>2966</v>
      </c>
    </row>
    <row r="204">
      <c r="A204" s="245" t="s">
        <v>2971</v>
      </c>
      <c r="B204" s="245" t="s">
        <v>2878</v>
      </c>
    </row>
    <row r="205">
      <c r="A205" s="245" t="s">
        <v>2972</v>
      </c>
      <c r="B205" s="245" t="s">
        <v>2878</v>
      </c>
      <c r="D205" s="166" t="s">
        <v>2973</v>
      </c>
    </row>
    <row r="206">
      <c r="A206" s="245" t="s">
        <v>2974</v>
      </c>
      <c r="B206" s="245" t="s">
        <v>2878</v>
      </c>
      <c r="D206" s="166" t="s">
        <v>2975</v>
      </c>
    </row>
    <row r="207">
      <c r="A207" s="245" t="s">
        <v>2976</v>
      </c>
      <c r="B207" s="245" t="s">
        <v>2878</v>
      </c>
      <c r="D207" s="166" t="s">
        <v>2977</v>
      </c>
    </row>
    <row r="208">
      <c r="A208" s="245" t="s">
        <v>2978</v>
      </c>
      <c r="B208" s="245" t="s">
        <v>2878</v>
      </c>
      <c r="D208" s="166" t="s">
        <v>2979</v>
      </c>
    </row>
    <row r="209">
      <c r="A209" s="245" t="s">
        <v>2980</v>
      </c>
      <c r="B209" s="245" t="s">
        <v>2878</v>
      </c>
      <c r="D209" s="166" t="s">
        <v>2981</v>
      </c>
    </row>
    <row r="210">
      <c r="A210" s="245" t="s">
        <v>2982</v>
      </c>
      <c r="B210" s="245" t="s">
        <v>2878</v>
      </c>
    </row>
    <row r="211">
      <c r="A211" s="245" t="s">
        <v>2983</v>
      </c>
      <c r="B211" s="245" t="s">
        <v>2878</v>
      </c>
    </row>
    <row r="212">
      <c r="A212" s="245" t="s">
        <v>2984</v>
      </c>
      <c r="B212" s="245" t="s">
        <v>2878</v>
      </c>
    </row>
    <row r="213">
      <c r="A213" s="245" t="s">
        <v>2985</v>
      </c>
      <c r="B213" s="245" t="s">
        <v>2878</v>
      </c>
    </row>
    <row r="214">
      <c r="A214" s="245" t="s">
        <v>2986</v>
      </c>
      <c r="B214" s="245" t="s">
        <v>2878</v>
      </c>
    </row>
    <row r="215">
      <c r="A215" s="245" t="s">
        <v>2987</v>
      </c>
      <c r="B215" s="245" t="s">
        <v>2878</v>
      </c>
    </row>
    <row r="216">
      <c r="A216" s="245" t="s">
        <v>2988</v>
      </c>
      <c r="B216" s="245" t="s">
        <v>2878</v>
      </c>
    </row>
    <row r="217">
      <c r="A217" s="245" t="s">
        <v>2989</v>
      </c>
      <c r="B217" s="245" t="s">
        <v>2878</v>
      </c>
    </row>
    <row r="218">
      <c r="A218" s="245" t="s">
        <v>2990</v>
      </c>
      <c r="B218" s="245" t="s">
        <v>2878</v>
      </c>
    </row>
    <row r="219">
      <c r="A219" s="245" t="s">
        <v>2991</v>
      </c>
      <c r="B219" s="245" t="s">
        <v>2878</v>
      </c>
    </row>
    <row r="220">
      <c r="A220" s="245" t="s">
        <v>2992</v>
      </c>
      <c r="B220" s="245" t="s">
        <v>2878</v>
      </c>
    </row>
    <row r="221">
      <c r="A221" s="245" t="s">
        <v>2993</v>
      </c>
      <c r="B221" s="245" t="s">
        <v>2886</v>
      </c>
    </row>
    <row r="222">
      <c r="A222" s="245" t="s">
        <v>2994</v>
      </c>
      <c r="B222" s="245" t="s">
        <v>2966</v>
      </c>
    </row>
    <row r="223">
      <c r="A223" s="245" t="s">
        <v>2995</v>
      </c>
      <c r="B223" s="245" t="s">
        <v>2886</v>
      </c>
    </row>
    <row r="224">
      <c r="A224" s="245" t="s">
        <v>2996</v>
      </c>
      <c r="B224" s="245" t="s">
        <v>2966</v>
      </c>
    </row>
    <row r="225">
      <c r="A225" s="245" t="s">
        <v>2997</v>
      </c>
      <c r="B225" s="245" t="s">
        <v>2966</v>
      </c>
    </row>
    <row r="226">
      <c r="A226" s="245" t="s">
        <v>2998</v>
      </c>
      <c r="B226" s="245" t="s">
        <v>2966</v>
      </c>
    </row>
    <row r="227">
      <c r="A227" s="245" t="s">
        <v>2999</v>
      </c>
      <c r="B227" s="245" t="s">
        <v>2966</v>
      </c>
    </row>
    <row r="228">
      <c r="A228" s="245" t="s">
        <v>3000</v>
      </c>
      <c r="B228" s="245" t="s">
        <v>2966</v>
      </c>
    </row>
    <row r="229">
      <c r="A229" s="245" t="s">
        <v>3001</v>
      </c>
      <c r="B229" s="245" t="s">
        <v>2966</v>
      </c>
    </row>
    <row r="230">
      <c r="A230" s="245" t="s">
        <v>3002</v>
      </c>
      <c r="B230" s="245" t="s">
        <v>2966</v>
      </c>
    </row>
    <row r="231">
      <c r="A231" s="245" t="s">
        <v>3003</v>
      </c>
      <c r="B231" s="245" t="s">
        <v>2878</v>
      </c>
    </row>
    <row r="232">
      <c r="A232" s="245" t="s">
        <v>3004</v>
      </c>
      <c r="B232" s="245" t="s">
        <v>2878</v>
      </c>
    </row>
    <row r="233">
      <c r="A233" s="245" t="s">
        <v>3005</v>
      </c>
      <c r="B233" s="245" t="s">
        <v>2966</v>
      </c>
    </row>
    <row r="234">
      <c r="A234" s="245" t="s">
        <v>3006</v>
      </c>
      <c r="B234" s="245" t="s">
        <v>2878</v>
      </c>
    </row>
    <row r="235">
      <c r="A235" s="245" t="s">
        <v>3007</v>
      </c>
      <c r="B235" s="245" t="s">
        <v>2966</v>
      </c>
    </row>
    <row r="237">
      <c r="A237" s="257" t="s">
        <v>3008</v>
      </c>
      <c r="B237" s="258" t="s">
        <v>2875</v>
      </c>
      <c r="C237" s="259" t="s">
        <v>3009</v>
      </c>
      <c r="D237" s="260" t="s">
        <v>3010</v>
      </c>
      <c r="E237" s="261" t="s">
        <v>3011</v>
      </c>
      <c r="F237" s="53" t="s">
        <v>3012</v>
      </c>
      <c r="G237" s="262" t="s">
        <v>3013</v>
      </c>
      <c r="H237" s="59"/>
      <c r="I237" s="59"/>
      <c r="J237" s="59"/>
      <c r="K237" s="53" t="s">
        <v>3014</v>
      </c>
      <c r="L237" s="59"/>
      <c r="M237" s="59"/>
      <c r="N237" s="59"/>
      <c r="O237" s="59"/>
      <c r="P237" s="59"/>
      <c r="Q237" s="59"/>
    </row>
    <row r="238">
      <c r="A238" s="252" t="s">
        <v>3015</v>
      </c>
      <c r="B238" s="252" t="s">
        <v>2966</v>
      </c>
      <c r="C238" s="263" t="s">
        <v>2930</v>
      </c>
      <c r="D238" s="264" t="s">
        <v>2930</v>
      </c>
      <c r="E238" s="265"/>
    </row>
    <row r="239">
      <c r="A239" s="252" t="s">
        <v>3016</v>
      </c>
      <c r="B239" s="252" t="s">
        <v>2966</v>
      </c>
      <c r="C239" s="263" t="s">
        <v>3017</v>
      </c>
      <c r="D239" s="264" t="s">
        <v>2930</v>
      </c>
      <c r="E239" s="266" t="s">
        <v>2930</v>
      </c>
      <c r="G239" s="262" t="s">
        <v>3013</v>
      </c>
    </row>
    <row r="240">
      <c r="A240" s="252" t="s">
        <v>3018</v>
      </c>
      <c r="B240" s="252" t="s">
        <v>2886</v>
      </c>
      <c r="C240" s="263" t="s">
        <v>2930</v>
      </c>
      <c r="D240" s="264" t="s">
        <v>2930</v>
      </c>
      <c r="E240" s="265"/>
    </row>
    <row r="241">
      <c r="A241" s="252" t="s">
        <v>3019</v>
      </c>
      <c r="B241" s="252" t="s">
        <v>2886</v>
      </c>
      <c r="C241" s="263" t="s">
        <v>2930</v>
      </c>
      <c r="D241" s="267"/>
      <c r="E241" s="265"/>
    </row>
    <row r="242">
      <c r="A242" s="252" t="s">
        <v>3020</v>
      </c>
      <c r="B242" s="252" t="s">
        <v>2886</v>
      </c>
      <c r="C242" s="263" t="s">
        <v>2930</v>
      </c>
      <c r="D242" s="264" t="s">
        <v>2930</v>
      </c>
      <c r="E242" s="266" t="s">
        <v>2930</v>
      </c>
      <c r="G242" s="262" t="s">
        <v>3013</v>
      </c>
    </row>
    <row r="243">
      <c r="A243" s="252" t="s">
        <v>3021</v>
      </c>
      <c r="B243" s="252" t="s">
        <v>3022</v>
      </c>
      <c r="C243" s="263" t="s">
        <v>3017</v>
      </c>
      <c r="D243" s="264" t="s">
        <v>2930</v>
      </c>
      <c r="E243" s="265"/>
    </row>
    <row r="244">
      <c r="A244" s="252" t="s">
        <v>3023</v>
      </c>
      <c r="B244" s="252" t="s">
        <v>2966</v>
      </c>
      <c r="C244" s="263" t="s">
        <v>2930</v>
      </c>
      <c r="D244" s="267"/>
      <c r="E244" s="265"/>
    </row>
    <row r="245">
      <c r="A245" s="252" t="s">
        <v>913</v>
      </c>
      <c r="B245" s="252" t="s">
        <v>2966</v>
      </c>
      <c r="C245" s="268" t="s">
        <v>3024</v>
      </c>
      <c r="D245" s="264" t="s">
        <v>2930</v>
      </c>
      <c r="E245" s="266" t="s">
        <v>2917</v>
      </c>
      <c r="G245" s="262" t="s">
        <v>3013</v>
      </c>
      <c r="K245" s="166" t="s">
        <v>3014</v>
      </c>
    </row>
    <row r="246">
      <c r="A246" s="252" t="s">
        <v>3025</v>
      </c>
      <c r="B246" s="252" t="s">
        <v>2966</v>
      </c>
      <c r="C246" s="263" t="s">
        <v>2930</v>
      </c>
      <c r="D246" s="267"/>
      <c r="E246" s="265"/>
    </row>
    <row r="247">
      <c r="A247" s="252" t="s">
        <v>3026</v>
      </c>
      <c r="B247" s="252" t="s">
        <v>2966</v>
      </c>
      <c r="C247" s="263" t="s">
        <v>3027</v>
      </c>
      <c r="D247" s="264" t="s">
        <v>2930</v>
      </c>
      <c r="E247" s="266" t="s">
        <v>2930</v>
      </c>
      <c r="G247" s="262" t="s">
        <v>3013</v>
      </c>
    </row>
    <row r="248">
      <c r="A248" s="252" t="s">
        <v>3028</v>
      </c>
      <c r="B248" s="252" t="s">
        <v>2966</v>
      </c>
      <c r="C248" s="263" t="s">
        <v>2930</v>
      </c>
      <c r="D248" s="267"/>
      <c r="E248" s="265"/>
    </row>
    <row r="249">
      <c r="A249" s="252" t="s">
        <v>3029</v>
      </c>
      <c r="B249" s="252" t="s">
        <v>2966</v>
      </c>
      <c r="C249" s="263" t="s">
        <v>2930</v>
      </c>
      <c r="D249" s="267"/>
      <c r="E249" s="265"/>
    </row>
    <row r="250">
      <c r="A250" s="252" t="s">
        <v>3030</v>
      </c>
      <c r="B250" s="252" t="s">
        <v>2966</v>
      </c>
      <c r="C250" s="263" t="s">
        <v>2930</v>
      </c>
      <c r="D250" s="267"/>
      <c r="E250" s="265"/>
    </row>
    <row r="251">
      <c r="A251" s="252" t="s">
        <v>3031</v>
      </c>
      <c r="B251" s="252" t="s">
        <v>2966</v>
      </c>
      <c r="C251" s="263" t="s">
        <v>2930</v>
      </c>
      <c r="D251" s="267"/>
      <c r="E251" s="265"/>
    </row>
    <row r="252">
      <c r="A252" s="252" t="s">
        <v>3032</v>
      </c>
      <c r="B252" s="252" t="s">
        <v>2966</v>
      </c>
      <c r="C252" s="263" t="s">
        <v>3033</v>
      </c>
      <c r="D252" s="267"/>
      <c r="E252" s="265"/>
    </row>
    <row r="253">
      <c r="A253" s="252" t="s">
        <v>3034</v>
      </c>
      <c r="B253" s="252" t="s">
        <v>2966</v>
      </c>
      <c r="C253" s="263" t="s">
        <v>3033</v>
      </c>
      <c r="D253" s="267"/>
      <c r="E253" s="265"/>
    </row>
    <row r="254">
      <c r="A254" s="252" t="s">
        <v>3035</v>
      </c>
      <c r="B254" s="252" t="s">
        <v>2966</v>
      </c>
      <c r="C254" s="263" t="s">
        <v>3033</v>
      </c>
      <c r="D254" s="267"/>
      <c r="E254" s="265"/>
    </row>
    <row r="255">
      <c r="A255" s="252" t="s">
        <v>3036</v>
      </c>
      <c r="B255" s="252" t="s">
        <v>2966</v>
      </c>
      <c r="C255" s="263" t="s">
        <v>3033</v>
      </c>
      <c r="D255" s="267"/>
      <c r="E255" s="265"/>
    </row>
    <row r="256">
      <c r="A256" s="252" t="s">
        <v>3037</v>
      </c>
      <c r="B256" s="252" t="s">
        <v>2966</v>
      </c>
      <c r="C256" s="263" t="s">
        <v>2930</v>
      </c>
      <c r="D256" s="264" t="s">
        <v>2930</v>
      </c>
      <c r="E256" s="266" t="s">
        <v>2930</v>
      </c>
      <c r="G256" s="262" t="s">
        <v>3013</v>
      </c>
    </row>
    <row r="257">
      <c r="A257" s="252" t="s">
        <v>3038</v>
      </c>
      <c r="B257" s="252" t="s">
        <v>2966</v>
      </c>
      <c r="C257" s="263" t="s">
        <v>2930</v>
      </c>
      <c r="D257" s="267"/>
      <c r="E257" s="265"/>
    </row>
    <row r="258">
      <c r="A258" s="252" t="s">
        <v>3039</v>
      </c>
      <c r="B258" s="252" t="s">
        <v>2966</v>
      </c>
      <c r="C258" s="263" t="s">
        <v>2930</v>
      </c>
      <c r="D258" s="267"/>
      <c r="E258" s="265"/>
    </row>
    <row r="259">
      <c r="A259" s="252" t="s">
        <v>3040</v>
      </c>
      <c r="B259" s="252" t="s">
        <v>2966</v>
      </c>
      <c r="C259" s="263" t="s">
        <v>2930</v>
      </c>
      <c r="D259" s="267"/>
      <c r="E259" s="265"/>
    </row>
    <row r="260">
      <c r="A260" s="252" t="s">
        <v>3041</v>
      </c>
      <c r="B260" s="252" t="s">
        <v>2966</v>
      </c>
      <c r="C260" s="263" t="s">
        <v>2930</v>
      </c>
      <c r="D260" s="267"/>
      <c r="E260" s="265"/>
    </row>
    <row r="261">
      <c r="A261" s="252" t="s">
        <v>3042</v>
      </c>
      <c r="B261" s="252" t="s">
        <v>2966</v>
      </c>
      <c r="C261" s="263" t="s">
        <v>2930</v>
      </c>
      <c r="D261" s="267"/>
      <c r="E261" s="265"/>
    </row>
    <row r="262">
      <c r="A262" s="252" t="s">
        <v>3043</v>
      </c>
      <c r="B262" s="252" t="s">
        <v>2966</v>
      </c>
      <c r="C262" s="263" t="s">
        <v>3010</v>
      </c>
      <c r="D262" s="264" t="s">
        <v>2930</v>
      </c>
      <c r="E262" s="266" t="s">
        <v>2930</v>
      </c>
      <c r="G262" s="262" t="s">
        <v>3013</v>
      </c>
    </row>
    <row r="263">
      <c r="A263" s="252" t="s">
        <v>3044</v>
      </c>
      <c r="B263" s="252" t="s">
        <v>2966</v>
      </c>
      <c r="C263" s="263" t="s">
        <v>2930</v>
      </c>
      <c r="D263" s="267"/>
      <c r="E263" s="265"/>
    </row>
    <row r="264">
      <c r="A264" s="252" t="s">
        <v>3045</v>
      </c>
      <c r="B264" s="252" t="s">
        <v>2966</v>
      </c>
      <c r="C264" s="263" t="s">
        <v>2930</v>
      </c>
      <c r="D264" s="267"/>
      <c r="E264" s="265"/>
    </row>
    <row r="265">
      <c r="A265" s="252" t="s">
        <v>3046</v>
      </c>
      <c r="B265" s="252" t="s">
        <v>2966</v>
      </c>
      <c r="C265" s="263" t="s">
        <v>2930</v>
      </c>
      <c r="D265" s="267"/>
      <c r="E265" s="265"/>
    </row>
    <row r="266">
      <c r="A266" s="269" t="s">
        <v>3047</v>
      </c>
      <c r="B266" s="252" t="s">
        <v>2966</v>
      </c>
      <c r="C266" s="263" t="s">
        <v>2154</v>
      </c>
      <c r="D266" s="267"/>
      <c r="E266" s="265"/>
    </row>
    <row r="267">
      <c r="A267" s="269" t="s">
        <v>3048</v>
      </c>
      <c r="B267" s="252" t="s">
        <v>2966</v>
      </c>
      <c r="C267" s="263" t="s">
        <v>2154</v>
      </c>
      <c r="D267" s="267"/>
      <c r="E267" s="265"/>
    </row>
    <row r="268">
      <c r="A268" s="250" t="s">
        <v>3049</v>
      </c>
      <c r="B268" s="252"/>
      <c r="C268" s="263" t="s">
        <v>2930</v>
      </c>
      <c r="D268" s="267"/>
      <c r="E268" s="265"/>
    </row>
    <row r="270">
      <c r="A270" s="270" t="s">
        <v>3050</v>
      </c>
      <c r="B270" s="271"/>
      <c r="C270" s="272"/>
      <c r="D270" s="272"/>
      <c r="E270" s="272"/>
    </row>
    <row r="271">
      <c r="A271" s="273" t="s">
        <v>3010</v>
      </c>
      <c r="B271" s="274"/>
      <c r="C271" s="272"/>
      <c r="D271" s="272"/>
      <c r="E271" s="272"/>
    </row>
    <row r="272">
      <c r="A272" s="274" t="s">
        <v>90</v>
      </c>
      <c r="B272" s="274" t="s">
        <v>3051</v>
      </c>
      <c r="C272" s="275" t="s">
        <v>2930</v>
      </c>
      <c r="D272" s="272"/>
      <c r="E272" s="272"/>
    </row>
    <row r="273">
      <c r="A273" s="274" t="s">
        <v>136</v>
      </c>
      <c r="B273" s="274" t="s">
        <v>2966</v>
      </c>
      <c r="C273" s="275" t="s">
        <v>2930</v>
      </c>
      <c r="D273" s="272"/>
      <c r="E273" s="272"/>
    </row>
    <row r="274">
      <c r="A274" s="274" t="s">
        <v>170</v>
      </c>
      <c r="B274" s="274" t="s">
        <v>2966</v>
      </c>
      <c r="C274" s="275" t="s">
        <v>2930</v>
      </c>
      <c r="D274" s="272"/>
      <c r="E274" s="272"/>
    </row>
    <row r="275">
      <c r="A275" s="274" t="s">
        <v>400</v>
      </c>
      <c r="B275" s="274" t="s">
        <v>2966</v>
      </c>
      <c r="C275" s="275" t="s">
        <v>2930</v>
      </c>
      <c r="D275" s="272"/>
      <c r="E275" s="272"/>
    </row>
    <row r="276">
      <c r="A276" s="274" t="s">
        <v>3052</v>
      </c>
      <c r="B276" s="274" t="s">
        <v>2966</v>
      </c>
      <c r="C276" s="275" t="s">
        <v>2930</v>
      </c>
      <c r="D276" s="272"/>
      <c r="E276" s="272"/>
    </row>
    <row r="277">
      <c r="A277" s="274" t="s">
        <v>458</v>
      </c>
      <c r="B277" s="274"/>
      <c r="C277" s="275" t="s">
        <v>2930</v>
      </c>
      <c r="D277" s="276"/>
      <c r="E277" s="272"/>
    </row>
    <row r="278">
      <c r="A278" s="274" t="s">
        <v>460</v>
      </c>
      <c r="B278" s="274"/>
      <c r="C278" s="275" t="s">
        <v>2930</v>
      </c>
      <c r="D278" s="272"/>
      <c r="E278" s="272"/>
    </row>
    <row r="279">
      <c r="A279" s="274" t="s">
        <v>486</v>
      </c>
      <c r="B279" s="277"/>
      <c r="C279" s="275" t="s">
        <v>2930</v>
      </c>
      <c r="D279" s="272"/>
      <c r="E279" s="272"/>
    </row>
    <row r="280">
      <c r="A280" s="274" t="s">
        <v>512</v>
      </c>
      <c r="B280" s="277"/>
      <c r="C280" s="275" t="s">
        <v>2930</v>
      </c>
      <c r="D280" s="272"/>
      <c r="E280" s="272"/>
    </row>
    <row r="281">
      <c r="A281" s="274" t="s">
        <v>520</v>
      </c>
      <c r="B281" s="277"/>
      <c r="C281" s="275" t="s">
        <v>2930</v>
      </c>
      <c r="D281" s="272"/>
      <c r="E281" s="272"/>
    </row>
    <row r="282">
      <c r="A282" s="274" t="s">
        <v>776</v>
      </c>
      <c r="B282" s="277"/>
      <c r="C282" s="275" t="s">
        <v>2930</v>
      </c>
      <c r="D282" s="275"/>
      <c r="E282" s="272"/>
      <c r="G282" s="278"/>
    </row>
    <row r="283">
      <c r="A283" s="274" t="s">
        <v>802</v>
      </c>
      <c r="B283" s="277"/>
      <c r="C283" s="275" t="s">
        <v>2930</v>
      </c>
      <c r="D283" s="272"/>
      <c r="E283" s="272"/>
    </row>
    <row r="284">
      <c r="A284" s="274" t="s">
        <v>3053</v>
      </c>
      <c r="B284" s="279"/>
      <c r="C284" s="275" t="s">
        <v>2930</v>
      </c>
      <c r="D284" s="272"/>
      <c r="E284" s="272"/>
    </row>
    <row r="285">
      <c r="A285" s="273" t="s">
        <v>3054</v>
      </c>
      <c r="B285" s="277"/>
      <c r="C285" s="272"/>
      <c r="D285" s="272"/>
      <c r="E285" s="272"/>
    </row>
    <row r="286">
      <c r="A286" s="274" t="s">
        <v>90</v>
      </c>
      <c r="B286" s="277"/>
      <c r="C286" s="272"/>
      <c r="D286" s="275" t="s">
        <v>2930</v>
      </c>
      <c r="E286" s="275" t="s">
        <v>2930</v>
      </c>
    </row>
    <row r="287">
      <c r="A287" s="274" t="s">
        <v>136</v>
      </c>
      <c r="B287" s="277"/>
      <c r="C287" s="272"/>
      <c r="D287" s="275" t="s">
        <v>2930</v>
      </c>
      <c r="E287" s="275" t="s">
        <v>2930</v>
      </c>
    </row>
    <row r="288">
      <c r="A288" s="274" t="s">
        <v>170</v>
      </c>
      <c r="B288" s="274"/>
      <c r="C288" s="272"/>
      <c r="D288" s="275" t="s">
        <v>2930</v>
      </c>
      <c r="E288" s="275" t="s">
        <v>2930</v>
      </c>
    </row>
    <row r="289">
      <c r="A289" s="274" t="s">
        <v>400</v>
      </c>
      <c r="B289" s="274"/>
      <c r="C289" s="272"/>
      <c r="D289" s="275" t="s">
        <v>2930</v>
      </c>
      <c r="E289" s="275" t="s">
        <v>2930</v>
      </c>
    </row>
    <row r="290">
      <c r="A290" s="274" t="s">
        <v>3052</v>
      </c>
      <c r="B290" s="274"/>
      <c r="C290" s="272"/>
      <c r="D290" s="275" t="s">
        <v>2930</v>
      </c>
      <c r="E290" s="275" t="s">
        <v>2930</v>
      </c>
    </row>
    <row r="291">
      <c r="A291" s="274" t="s">
        <v>458</v>
      </c>
      <c r="B291" s="274"/>
      <c r="C291" s="272"/>
      <c r="D291" s="275" t="s">
        <v>2930</v>
      </c>
      <c r="E291" s="275" t="s">
        <v>2930</v>
      </c>
    </row>
    <row r="292">
      <c r="A292" s="274" t="s">
        <v>460</v>
      </c>
      <c r="B292" s="274"/>
      <c r="C292" s="272"/>
      <c r="D292" s="275" t="s">
        <v>2930</v>
      </c>
      <c r="E292" s="275" t="s">
        <v>2930</v>
      </c>
    </row>
    <row r="293">
      <c r="A293" s="274" t="s">
        <v>486</v>
      </c>
      <c r="B293" s="274"/>
      <c r="C293" s="272"/>
      <c r="D293" s="275" t="s">
        <v>2930</v>
      </c>
      <c r="E293" s="275" t="s">
        <v>2930</v>
      </c>
    </row>
    <row r="294">
      <c r="A294" s="274" t="s">
        <v>512</v>
      </c>
      <c r="B294" s="277"/>
      <c r="C294" s="272"/>
      <c r="D294" s="275" t="s">
        <v>2930</v>
      </c>
      <c r="E294" s="275" t="s">
        <v>2930</v>
      </c>
    </row>
    <row r="295">
      <c r="A295" s="274" t="s">
        <v>520</v>
      </c>
      <c r="B295" s="277"/>
      <c r="C295" s="272"/>
      <c r="D295" s="275" t="s">
        <v>2930</v>
      </c>
      <c r="E295" s="275" t="s">
        <v>2930</v>
      </c>
    </row>
    <row r="296">
      <c r="A296" s="274" t="s">
        <v>776</v>
      </c>
      <c r="B296" s="274"/>
      <c r="C296" s="272"/>
      <c r="D296" s="275" t="s">
        <v>2930</v>
      </c>
      <c r="E296" s="275" t="s">
        <v>2930</v>
      </c>
    </row>
    <row r="297">
      <c r="A297" s="274" t="s">
        <v>802</v>
      </c>
      <c r="B297" s="279"/>
      <c r="C297" s="272"/>
      <c r="D297" s="275" t="s">
        <v>2930</v>
      </c>
      <c r="E297" s="275" t="s">
        <v>2930</v>
      </c>
    </row>
    <row r="298">
      <c r="A298" s="274"/>
      <c r="B298" s="274"/>
      <c r="C298" s="272"/>
      <c r="D298" s="272"/>
      <c r="E298" s="272"/>
    </row>
    <row r="299">
      <c r="A299" s="280" t="s">
        <v>3055</v>
      </c>
      <c r="B299" s="277"/>
      <c r="C299" s="272"/>
      <c r="D299" s="272"/>
      <c r="E299" s="272"/>
    </row>
    <row r="300">
      <c r="A300" s="281" t="s">
        <v>249</v>
      </c>
      <c r="B300" s="277"/>
      <c r="C300" s="272"/>
      <c r="D300" s="272"/>
      <c r="E300" s="272"/>
    </row>
    <row r="301">
      <c r="A301" s="281" t="s">
        <v>282</v>
      </c>
      <c r="B301" s="277"/>
      <c r="C301" s="275" t="s">
        <v>2930</v>
      </c>
      <c r="D301" s="272"/>
      <c r="E301" s="272"/>
    </row>
    <row r="302">
      <c r="A302" s="281" t="s">
        <v>360</v>
      </c>
      <c r="B302" s="277"/>
      <c r="C302" s="275" t="s">
        <v>2930</v>
      </c>
      <c r="D302" s="272"/>
      <c r="E302" s="272"/>
    </row>
    <row r="303">
      <c r="A303" s="281" t="s">
        <v>366</v>
      </c>
      <c r="B303" s="277"/>
      <c r="C303" s="275" t="s">
        <v>2930</v>
      </c>
      <c r="D303" s="272"/>
      <c r="E303" s="275" t="s">
        <v>2930</v>
      </c>
    </row>
    <row r="304">
      <c r="A304" s="281" t="s">
        <v>368</v>
      </c>
      <c r="B304" s="277"/>
      <c r="C304" s="275" t="s">
        <v>2930</v>
      </c>
      <c r="D304" s="272"/>
      <c r="E304" s="272"/>
    </row>
    <row r="305">
      <c r="A305" s="281" t="s">
        <v>646</v>
      </c>
      <c r="B305" s="277"/>
      <c r="C305" s="275" t="s">
        <v>2930</v>
      </c>
      <c r="D305" s="272"/>
      <c r="E305" s="272"/>
    </row>
    <row r="306">
      <c r="A306" s="281" t="s">
        <v>652</v>
      </c>
      <c r="B306" s="277"/>
      <c r="C306" s="275" t="s">
        <v>2930</v>
      </c>
      <c r="D306" s="272"/>
      <c r="E306" s="272"/>
    </row>
    <row r="307">
      <c r="A307" s="281" t="s">
        <v>683</v>
      </c>
      <c r="B307" s="277"/>
      <c r="C307" s="275" t="s">
        <v>2930</v>
      </c>
      <c r="D307" s="272"/>
      <c r="E307" s="275" t="s">
        <v>2930</v>
      </c>
    </row>
    <row r="308">
      <c r="A308" s="281" t="s">
        <v>707</v>
      </c>
      <c r="B308" s="277"/>
      <c r="C308" s="275" t="s">
        <v>2930</v>
      </c>
      <c r="D308" s="272"/>
      <c r="E308" s="275" t="s">
        <v>2930</v>
      </c>
    </row>
    <row r="309">
      <c r="A309" s="281" t="s">
        <v>753</v>
      </c>
      <c r="B309" s="277"/>
      <c r="C309" s="275" t="s">
        <v>2930</v>
      </c>
      <c r="D309" s="272"/>
      <c r="E309" s="272"/>
    </row>
    <row r="310">
      <c r="A310" s="281" t="s">
        <v>3056</v>
      </c>
      <c r="B310" s="279"/>
      <c r="C310" s="275" t="s">
        <v>2930</v>
      </c>
      <c r="D310" s="272"/>
      <c r="E310" s="272"/>
    </row>
    <row r="311">
      <c r="A311" s="282"/>
      <c r="B311" s="277"/>
      <c r="C311" s="272"/>
      <c r="D311" s="272"/>
      <c r="E311" s="272"/>
    </row>
    <row r="312">
      <c r="A312" s="283" t="s">
        <v>3057</v>
      </c>
      <c r="B312" s="273"/>
      <c r="C312" s="272"/>
      <c r="D312" s="272"/>
      <c r="E312" s="272"/>
    </row>
    <row r="313">
      <c r="A313" s="283" t="s">
        <v>3058</v>
      </c>
      <c r="B313" s="277"/>
      <c r="C313" s="272"/>
      <c r="D313" s="272"/>
      <c r="E313" s="272"/>
    </row>
    <row r="314">
      <c r="A314" s="272"/>
      <c r="B314" s="272"/>
      <c r="C314" s="272"/>
      <c r="D314" s="272"/>
      <c r="E314" s="272"/>
    </row>
    <row r="315">
      <c r="A315" s="244" t="s">
        <v>3059</v>
      </c>
      <c r="B315" s="244" t="s">
        <v>2875</v>
      </c>
    </row>
    <row r="316">
      <c r="A316" s="256" t="s">
        <v>3010</v>
      </c>
      <c r="B316" s="245"/>
    </row>
    <row r="317">
      <c r="A317" s="245" t="s">
        <v>3060</v>
      </c>
      <c r="B317" s="245"/>
    </row>
    <row r="318">
      <c r="A318" s="245" t="s">
        <v>3061</v>
      </c>
      <c r="B318" s="245"/>
    </row>
    <row r="319">
      <c r="A319" s="245" t="s">
        <v>3062</v>
      </c>
      <c r="B319" s="245"/>
    </row>
    <row r="320">
      <c r="A320" s="245" t="s">
        <v>3063</v>
      </c>
      <c r="B320" s="256"/>
    </row>
    <row r="321">
      <c r="A321" s="245" t="s">
        <v>3064</v>
      </c>
      <c r="B321" s="245"/>
    </row>
    <row r="322">
      <c r="A322" s="245" t="s">
        <v>3065</v>
      </c>
      <c r="B322" s="245"/>
    </row>
    <row r="323">
      <c r="A323" s="245" t="s">
        <v>3066</v>
      </c>
      <c r="B323" s="245"/>
    </row>
    <row r="324">
      <c r="A324" s="245"/>
      <c r="B324" s="245"/>
    </row>
    <row r="325">
      <c r="A325" s="256" t="s">
        <v>3055</v>
      </c>
      <c r="B325" s="245"/>
    </row>
    <row r="326">
      <c r="A326" s="245" t="s">
        <v>3067</v>
      </c>
      <c r="B326" s="245"/>
    </row>
    <row r="327">
      <c r="A327" s="245" t="s">
        <v>3068</v>
      </c>
      <c r="B327" s="245"/>
    </row>
    <row r="328">
      <c r="A328" s="245" t="s">
        <v>3069</v>
      </c>
      <c r="B328" s="245"/>
    </row>
    <row r="329">
      <c r="A329" s="245" t="s">
        <v>3070</v>
      </c>
      <c r="B329" s="245"/>
    </row>
    <row r="330">
      <c r="A330" s="245" t="s">
        <v>3071</v>
      </c>
      <c r="B330" s="245"/>
    </row>
    <row r="331">
      <c r="A331" s="245" t="s">
        <v>3072</v>
      </c>
      <c r="B331" s="245"/>
    </row>
    <row r="332">
      <c r="A332" s="245" t="s">
        <v>3073</v>
      </c>
      <c r="B332" s="245"/>
    </row>
    <row r="333">
      <c r="A333" s="245" t="s">
        <v>3074</v>
      </c>
      <c r="B333" s="245"/>
    </row>
    <row r="335">
      <c r="A335" s="284" t="s">
        <v>3075</v>
      </c>
      <c r="B335" s="285" t="s">
        <v>2875</v>
      </c>
    </row>
    <row r="336">
      <c r="A336" s="252" t="s">
        <v>3015</v>
      </c>
      <c r="B336" s="252" t="s">
        <v>2966</v>
      </c>
      <c r="C336" s="166" t="s">
        <v>2930</v>
      </c>
      <c r="D336" s="166" t="s">
        <v>2930</v>
      </c>
    </row>
    <row r="337">
      <c r="A337" s="252" t="s">
        <v>3018</v>
      </c>
      <c r="B337" s="252" t="s">
        <v>2886</v>
      </c>
      <c r="C337" s="166" t="s">
        <v>2930</v>
      </c>
      <c r="D337" s="166" t="s">
        <v>2930</v>
      </c>
    </row>
    <row r="338">
      <c r="A338" s="252" t="s">
        <v>3019</v>
      </c>
      <c r="B338" s="252" t="s">
        <v>2886</v>
      </c>
      <c r="C338" s="166" t="s">
        <v>2930</v>
      </c>
      <c r="D338" s="166" t="s">
        <v>2930</v>
      </c>
    </row>
    <row r="339">
      <c r="A339" s="252" t="s">
        <v>3021</v>
      </c>
      <c r="B339" s="252" t="s">
        <v>3022</v>
      </c>
      <c r="C339" s="166" t="s">
        <v>2930</v>
      </c>
      <c r="D339" s="166" t="s">
        <v>2930</v>
      </c>
    </row>
    <row r="340">
      <c r="A340" s="252" t="s">
        <v>3023</v>
      </c>
      <c r="B340" s="252" t="s">
        <v>2966</v>
      </c>
      <c r="C340" s="166" t="s">
        <v>2930</v>
      </c>
      <c r="D340" s="166" t="s">
        <v>2930</v>
      </c>
    </row>
    <row r="341">
      <c r="A341" s="286" t="s">
        <v>3076</v>
      </c>
      <c r="B341" s="286" t="s">
        <v>2966</v>
      </c>
      <c r="C341" s="287" t="s">
        <v>2930</v>
      </c>
      <c r="D341" s="288" t="s">
        <v>2930</v>
      </c>
      <c r="E341" s="59"/>
      <c r="F341" s="59"/>
      <c r="G341" s="59"/>
      <c r="H341" s="59"/>
      <c r="I341" s="53" t="s">
        <v>3014</v>
      </c>
      <c r="J341" s="59"/>
      <c r="K341" s="59"/>
      <c r="L341" s="59"/>
      <c r="M341" s="59"/>
      <c r="N341" s="59"/>
      <c r="O341" s="59"/>
    </row>
    <row r="342">
      <c r="A342" s="252" t="s">
        <v>3028</v>
      </c>
      <c r="B342" s="252" t="s">
        <v>2966</v>
      </c>
      <c r="C342" s="166" t="s">
        <v>2930</v>
      </c>
      <c r="D342" s="166" t="s">
        <v>2930</v>
      </c>
    </row>
    <row r="343">
      <c r="A343" s="252" t="s">
        <v>3029</v>
      </c>
      <c r="B343" s="252" t="s">
        <v>2966</v>
      </c>
      <c r="C343" s="166" t="s">
        <v>2930</v>
      </c>
      <c r="D343" s="166" t="s">
        <v>2930</v>
      </c>
    </row>
    <row r="344">
      <c r="A344" s="252" t="s">
        <v>3030</v>
      </c>
      <c r="B344" s="252" t="s">
        <v>2966</v>
      </c>
      <c r="C344" s="166" t="s">
        <v>2930</v>
      </c>
      <c r="D344" s="166" t="s">
        <v>2930</v>
      </c>
    </row>
    <row r="345">
      <c r="A345" s="252" t="s">
        <v>3031</v>
      </c>
      <c r="B345" s="252" t="s">
        <v>2966</v>
      </c>
      <c r="C345" s="166"/>
    </row>
    <row r="346">
      <c r="A346" s="252" t="s">
        <v>3032</v>
      </c>
      <c r="B346" s="252" t="s">
        <v>2966</v>
      </c>
      <c r="C346" s="166" t="s">
        <v>2930</v>
      </c>
      <c r="D346" s="166" t="s">
        <v>2930</v>
      </c>
    </row>
    <row r="347">
      <c r="A347" s="252" t="s">
        <v>3034</v>
      </c>
      <c r="B347" s="252" t="s">
        <v>2966</v>
      </c>
      <c r="C347" s="166" t="s">
        <v>2930</v>
      </c>
      <c r="D347" s="166" t="s">
        <v>2930</v>
      </c>
    </row>
    <row r="348">
      <c r="A348" s="252" t="s">
        <v>3035</v>
      </c>
      <c r="B348" s="252" t="s">
        <v>2966</v>
      </c>
      <c r="C348" s="166" t="s">
        <v>2930</v>
      </c>
      <c r="D348" s="166" t="s">
        <v>2930</v>
      </c>
    </row>
    <row r="349">
      <c r="A349" s="252" t="s">
        <v>3036</v>
      </c>
      <c r="B349" s="252" t="s">
        <v>2966</v>
      </c>
      <c r="C349" s="166" t="s">
        <v>2930</v>
      </c>
      <c r="D349" s="166" t="s">
        <v>2930</v>
      </c>
    </row>
    <row r="350">
      <c r="A350" s="252" t="s">
        <v>3038</v>
      </c>
      <c r="B350" s="252" t="s">
        <v>2966</v>
      </c>
      <c r="C350" s="166" t="s">
        <v>2917</v>
      </c>
      <c r="D350" s="166" t="s">
        <v>2917</v>
      </c>
    </row>
    <row r="351">
      <c r="A351" s="252" t="s">
        <v>3039</v>
      </c>
      <c r="B351" s="252" t="s">
        <v>2966</v>
      </c>
      <c r="C351" s="166" t="s">
        <v>2930</v>
      </c>
      <c r="D351" s="166" t="s">
        <v>2930</v>
      </c>
    </row>
    <row r="352">
      <c r="A352" s="252" t="s">
        <v>3040</v>
      </c>
      <c r="B352" s="252" t="s">
        <v>2966</v>
      </c>
      <c r="C352" s="166" t="s">
        <v>2930</v>
      </c>
      <c r="D352" s="166" t="s">
        <v>3077</v>
      </c>
    </row>
    <row r="353">
      <c r="A353" s="252" t="s">
        <v>3041</v>
      </c>
      <c r="B353" s="252" t="s">
        <v>2966</v>
      </c>
      <c r="C353" s="166" t="s">
        <v>2930</v>
      </c>
      <c r="D353" s="166" t="s">
        <v>2930</v>
      </c>
    </row>
    <row r="354">
      <c r="A354" s="252" t="s">
        <v>3042</v>
      </c>
      <c r="B354" s="252" t="s">
        <v>2966</v>
      </c>
      <c r="C354" s="166" t="s">
        <v>2930</v>
      </c>
      <c r="D354" s="166" t="s">
        <v>2930</v>
      </c>
    </row>
    <row r="355">
      <c r="A355" s="252" t="s">
        <v>3044</v>
      </c>
      <c r="B355" s="252" t="s">
        <v>2966</v>
      </c>
      <c r="C355" s="166" t="s">
        <v>2930</v>
      </c>
      <c r="D355" s="166" t="s">
        <v>2930</v>
      </c>
    </row>
    <row r="356">
      <c r="A356" s="252" t="s">
        <v>3045</v>
      </c>
      <c r="B356" s="252" t="s">
        <v>2966</v>
      </c>
      <c r="C356" s="166" t="s">
        <v>2930</v>
      </c>
      <c r="D356" s="166" t="s">
        <v>2930</v>
      </c>
    </row>
    <row r="357">
      <c r="A357" s="252" t="s">
        <v>3046</v>
      </c>
      <c r="B357" s="252" t="s">
        <v>2966</v>
      </c>
      <c r="C357" s="166" t="s">
        <v>2930</v>
      </c>
      <c r="D357" s="166" t="s">
        <v>2930</v>
      </c>
    </row>
    <row r="358">
      <c r="A358" s="289" t="s">
        <v>3049</v>
      </c>
      <c r="B358" s="252" t="s">
        <v>2966</v>
      </c>
      <c r="C358" s="166" t="s">
        <v>2930</v>
      </c>
      <c r="D358" s="166" t="s">
        <v>2930</v>
      </c>
    </row>
    <row r="360">
      <c r="A360" s="284" t="s">
        <v>3078</v>
      </c>
      <c r="B360" s="285" t="s">
        <v>2875</v>
      </c>
    </row>
    <row r="361">
      <c r="A361" s="290" t="s">
        <v>3016</v>
      </c>
      <c r="B361" s="290" t="s">
        <v>2966</v>
      </c>
      <c r="C361" s="166" t="s">
        <v>2930</v>
      </c>
      <c r="D361" s="166" t="s">
        <v>2930</v>
      </c>
    </row>
    <row r="362">
      <c r="A362" s="290" t="s">
        <v>3079</v>
      </c>
      <c r="B362" s="290" t="s">
        <v>2966</v>
      </c>
      <c r="C362" s="166" t="s">
        <v>2930</v>
      </c>
      <c r="D362" s="166" t="s">
        <v>2930</v>
      </c>
    </row>
    <row r="363">
      <c r="A363" s="290" t="s">
        <v>3026</v>
      </c>
      <c r="B363" s="290" t="s">
        <v>2966</v>
      </c>
      <c r="C363" s="166" t="s">
        <v>2930</v>
      </c>
      <c r="D363" s="166" t="s">
        <v>2930</v>
      </c>
      <c r="E363" s="166" t="s">
        <v>2930</v>
      </c>
    </row>
    <row r="364">
      <c r="A364" s="290" t="s">
        <v>3037</v>
      </c>
      <c r="B364" s="290" t="s">
        <v>2966</v>
      </c>
      <c r="C364" s="166" t="s">
        <v>2930</v>
      </c>
      <c r="D364" s="166" t="s">
        <v>2930</v>
      </c>
    </row>
    <row r="365">
      <c r="A365" s="290" t="s">
        <v>3043</v>
      </c>
      <c r="B365" s="290" t="s">
        <v>2966</v>
      </c>
      <c r="C365" s="166" t="s">
        <v>2930</v>
      </c>
      <c r="D365" s="166" t="s">
        <v>2930</v>
      </c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</row>
    <row r="366">
      <c r="A366" s="291" t="s">
        <v>3020</v>
      </c>
      <c r="B366" s="291" t="s">
        <v>2966</v>
      </c>
      <c r="C366" s="166" t="s">
        <v>2930</v>
      </c>
      <c r="D366" s="166" t="s">
        <v>2930</v>
      </c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</row>
    <row r="367"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</row>
    <row r="368">
      <c r="A368" s="284" t="s">
        <v>3080</v>
      </c>
      <c r="B368" s="292" t="s">
        <v>3081</v>
      </c>
      <c r="C368" s="285" t="s">
        <v>2875</v>
      </c>
      <c r="D368" s="293" t="s">
        <v>3082</v>
      </c>
      <c r="E368" s="293" t="s">
        <v>3083</v>
      </c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</row>
    <row r="369">
      <c r="A369" s="294" t="s">
        <v>376</v>
      </c>
      <c r="B369" s="295" t="s">
        <v>3084</v>
      </c>
      <c r="C369" s="274" t="s">
        <v>2886</v>
      </c>
      <c r="D369" s="274" t="s">
        <v>2930</v>
      </c>
      <c r="E369" s="277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</row>
    <row r="370">
      <c r="A370" s="296" t="s">
        <v>194</v>
      </c>
      <c r="B370" s="297" t="s">
        <v>3085</v>
      </c>
      <c r="C370" s="298" t="s">
        <v>3086</v>
      </c>
      <c r="D370" s="274" t="s">
        <v>2930</v>
      </c>
      <c r="E370" s="298" t="s">
        <v>2930</v>
      </c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</row>
    <row r="371">
      <c r="A371" s="299" t="s">
        <v>187</v>
      </c>
      <c r="B371" s="295" t="s">
        <v>3085</v>
      </c>
      <c r="C371" s="300" t="s">
        <v>2886</v>
      </c>
      <c r="D371" s="274" t="s">
        <v>2930</v>
      </c>
      <c r="E371" s="300" t="s">
        <v>2930</v>
      </c>
    </row>
    <row r="372">
      <c r="A372" s="301" t="s">
        <v>865</v>
      </c>
      <c r="B372" s="295" t="s">
        <v>3085</v>
      </c>
      <c r="C372" s="300" t="s">
        <v>2886</v>
      </c>
      <c r="D372" s="274" t="s">
        <v>2930</v>
      </c>
      <c r="E372" s="300" t="s">
        <v>2930</v>
      </c>
    </row>
    <row r="373">
      <c r="A373" s="301" t="s">
        <v>701</v>
      </c>
      <c r="B373" s="295" t="s">
        <v>3085</v>
      </c>
      <c r="C373" s="300" t="s">
        <v>2886</v>
      </c>
      <c r="D373" s="274" t="s">
        <v>2930</v>
      </c>
      <c r="E373" s="300" t="s">
        <v>2930</v>
      </c>
    </row>
    <row r="374">
      <c r="A374" s="301" t="s">
        <v>409</v>
      </c>
      <c r="B374" s="295" t="s">
        <v>3085</v>
      </c>
      <c r="C374" s="300" t="s">
        <v>3087</v>
      </c>
      <c r="D374" s="274" t="s">
        <v>2930</v>
      </c>
      <c r="E374" s="300" t="s">
        <v>2930</v>
      </c>
    </row>
    <row r="375">
      <c r="A375" s="301" t="s">
        <v>239</v>
      </c>
      <c r="B375" s="295" t="s">
        <v>3085</v>
      </c>
      <c r="C375" s="300" t="s">
        <v>2886</v>
      </c>
      <c r="D375" s="274" t="s">
        <v>2930</v>
      </c>
      <c r="E375" s="300" t="s">
        <v>2930</v>
      </c>
    </row>
    <row r="376">
      <c r="A376" s="301" t="s">
        <v>931</v>
      </c>
      <c r="B376" s="295" t="s">
        <v>3085</v>
      </c>
      <c r="C376" s="300" t="s">
        <v>2886</v>
      </c>
      <c r="D376" s="274" t="s">
        <v>2930</v>
      </c>
      <c r="E376" s="300" t="s">
        <v>2930</v>
      </c>
    </row>
    <row r="377">
      <c r="A377" s="301" t="s">
        <v>429</v>
      </c>
      <c r="B377" s="295" t="s">
        <v>3085</v>
      </c>
      <c r="C377" s="300" t="s">
        <v>2886</v>
      </c>
      <c r="D377" s="274" t="s">
        <v>2930</v>
      </c>
      <c r="E377" s="300" t="s">
        <v>2930</v>
      </c>
    </row>
    <row r="378">
      <c r="A378" s="301" t="s">
        <v>177</v>
      </c>
      <c r="B378" s="295" t="s">
        <v>3085</v>
      </c>
      <c r="C378" s="300" t="s">
        <v>2886</v>
      </c>
      <c r="D378" s="274" t="s">
        <v>2930</v>
      </c>
      <c r="E378" s="300" t="s">
        <v>2930</v>
      </c>
    </row>
    <row r="379">
      <c r="A379" s="301" t="s">
        <v>119</v>
      </c>
      <c r="B379" s="295" t="s">
        <v>3085</v>
      </c>
      <c r="C379" s="300" t="s">
        <v>2886</v>
      </c>
      <c r="D379" s="274" t="s">
        <v>2930</v>
      </c>
      <c r="E379" s="300" t="s">
        <v>2930</v>
      </c>
    </row>
    <row r="380">
      <c r="A380" s="301" t="s">
        <v>967</v>
      </c>
      <c r="B380" s="295" t="s">
        <v>3085</v>
      </c>
      <c r="C380" s="300" t="s">
        <v>2886</v>
      </c>
      <c r="D380" s="274" t="s">
        <v>2930</v>
      </c>
      <c r="E380" s="300" t="s">
        <v>2930</v>
      </c>
    </row>
    <row r="381">
      <c r="A381" s="301" t="s">
        <v>677</v>
      </c>
      <c r="B381" s="295" t="s">
        <v>3085</v>
      </c>
      <c r="C381" s="300" t="s">
        <v>2886</v>
      </c>
      <c r="D381" s="274" t="s">
        <v>2930</v>
      </c>
      <c r="E381" s="300" t="s">
        <v>2930</v>
      </c>
    </row>
    <row r="382">
      <c r="A382" s="301" t="s">
        <v>810</v>
      </c>
      <c r="B382" s="295" t="s">
        <v>3085</v>
      </c>
      <c r="C382" s="300" t="s">
        <v>2886</v>
      </c>
      <c r="D382" s="274" t="s">
        <v>2930</v>
      </c>
      <c r="E382" s="300" t="s">
        <v>2930</v>
      </c>
    </row>
    <row r="383">
      <c r="A383" s="301" t="s">
        <v>693</v>
      </c>
      <c r="B383" s="295" t="s">
        <v>3085</v>
      </c>
      <c r="C383" s="300" t="s">
        <v>2886</v>
      </c>
      <c r="D383" s="274" t="s">
        <v>2930</v>
      </c>
      <c r="E383" s="300" t="s">
        <v>2930</v>
      </c>
    </row>
    <row r="384">
      <c r="A384" s="301" t="s">
        <v>392</v>
      </c>
      <c r="B384" s="295" t="s">
        <v>3088</v>
      </c>
      <c r="C384" s="300" t="s">
        <v>2886</v>
      </c>
      <c r="D384" s="274" t="s">
        <v>2930</v>
      </c>
      <c r="E384" s="302"/>
    </row>
    <row r="385">
      <c r="A385" s="301" t="s">
        <v>614</v>
      </c>
      <c r="B385" s="295" t="s">
        <v>3088</v>
      </c>
      <c r="C385" s="300" t="s">
        <v>2886</v>
      </c>
      <c r="D385" s="274" t="s">
        <v>2930</v>
      </c>
      <c r="E385" s="302"/>
    </row>
    <row r="386">
      <c r="A386" s="301" t="s">
        <v>851</v>
      </c>
      <c r="B386" s="295" t="s">
        <v>3088</v>
      </c>
      <c r="C386" s="300" t="s">
        <v>2886</v>
      </c>
      <c r="D386" s="274" t="s">
        <v>2930</v>
      </c>
      <c r="E386" s="302"/>
    </row>
    <row r="387">
      <c r="A387" s="301" t="s">
        <v>823</v>
      </c>
      <c r="B387" s="295" t="s">
        <v>3088</v>
      </c>
      <c r="C387" s="300" t="s">
        <v>2886</v>
      </c>
      <c r="D387" s="274" t="s">
        <v>2930</v>
      </c>
      <c r="E387" s="302"/>
    </row>
    <row r="388">
      <c r="A388" s="301" t="s">
        <v>179</v>
      </c>
      <c r="B388" s="295" t="s">
        <v>3088</v>
      </c>
      <c r="C388" s="300" t="s">
        <v>2886</v>
      </c>
      <c r="D388" s="274" t="s">
        <v>2930</v>
      </c>
      <c r="E388" s="302"/>
    </row>
    <row r="389">
      <c r="A389" s="301" t="s">
        <v>286</v>
      </c>
      <c r="B389" s="295" t="s">
        <v>3088</v>
      </c>
      <c r="C389" s="300" t="s">
        <v>2886</v>
      </c>
      <c r="D389" s="274" t="s">
        <v>2930</v>
      </c>
      <c r="E389" s="302"/>
    </row>
    <row r="390">
      <c r="A390" s="301" t="s">
        <v>181</v>
      </c>
      <c r="B390" s="295" t="s">
        <v>3088</v>
      </c>
      <c r="C390" s="300" t="s">
        <v>2886</v>
      </c>
      <c r="D390" s="274" t="s">
        <v>2930</v>
      </c>
      <c r="E390" s="302"/>
    </row>
    <row r="391">
      <c r="A391" s="301" t="s">
        <v>319</v>
      </c>
      <c r="B391" s="295" t="s">
        <v>3088</v>
      </c>
      <c r="C391" s="300" t="s">
        <v>2886</v>
      </c>
      <c r="D391" s="274" t="s">
        <v>2930</v>
      </c>
      <c r="E391" s="302"/>
    </row>
    <row r="392">
      <c r="A392" s="301" t="s">
        <v>705</v>
      </c>
      <c r="B392" s="295" t="s">
        <v>3088</v>
      </c>
      <c r="C392" s="300" t="s">
        <v>2886</v>
      </c>
      <c r="D392" s="274" t="s">
        <v>2930</v>
      </c>
      <c r="E392" s="302"/>
    </row>
    <row r="393">
      <c r="A393" s="301" t="s">
        <v>558</v>
      </c>
      <c r="B393" s="295" t="s">
        <v>3088</v>
      </c>
      <c r="C393" s="300" t="s">
        <v>3087</v>
      </c>
      <c r="D393" s="274" t="s">
        <v>2930</v>
      </c>
      <c r="E393" s="302"/>
    </row>
    <row r="394">
      <c r="A394" s="301" t="s">
        <v>993</v>
      </c>
      <c r="B394" s="295" t="s">
        <v>3088</v>
      </c>
      <c r="C394" s="300" t="s">
        <v>2886</v>
      </c>
      <c r="D394" s="274" t="s">
        <v>2930</v>
      </c>
      <c r="E394" s="302"/>
    </row>
    <row r="395">
      <c r="A395" s="301" t="s">
        <v>3089</v>
      </c>
      <c r="B395" s="295" t="s">
        <v>3088</v>
      </c>
      <c r="C395" s="300" t="s">
        <v>3087</v>
      </c>
      <c r="D395" s="274" t="s">
        <v>2930</v>
      </c>
      <c r="E395" s="302"/>
    </row>
    <row r="396">
      <c r="A396" s="301" t="s">
        <v>927</v>
      </c>
      <c r="B396" s="295" t="s">
        <v>3088</v>
      </c>
      <c r="C396" s="300" t="s">
        <v>2886</v>
      </c>
      <c r="D396" s="274" t="s">
        <v>2930</v>
      </c>
      <c r="E396" s="302"/>
    </row>
    <row r="397">
      <c r="A397" s="301" t="s">
        <v>739</v>
      </c>
      <c r="B397" s="295" t="s">
        <v>3088</v>
      </c>
      <c r="C397" s="300" t="s">
        <v>2886</v>
      </c>
      <c r="D397" s="274" t="s">
        <v>2930</v>
      </c>
      <c r="E397" s="302"/>
    </row>
    <row r="398">
      <c r="A398" s="301" t="s">
        <v>227</v>
      </c>
      <c r="B398" s="295" t="s">
        <v>3088</v>
      </c>
      <c r="C398" s="300" t="s">
        <v>2886</v>
      </c>
      <c r="D398" s="274" t="s">
        <v>2930</v>
      </c>
      <c r="E398" s="302"/>
    </row>
    <row r="399">
      <c r="A399" s="303" t="s">
        <v>817</v>
      </c>
      <c r="B399" s="304" t="s">
        <v>3090</v>
      </c>
      <c r="C399" s="305" t="s">
        <v>2886</v>
      </c>
      <c r="D399" s="274" t="s">
        <v>2930</v>
      </c>
      <c r="E399" s="306"/>
    </row>
    <row r="400">
      <c r="A400" s="166" t="s">
        <v>3091</v>
      </c>
      <c r="B400" s="166" t="s">
        <v>3092</v>
      </c>
      <c r="D400" s="166" t="s">
        <v>2917</v>
      </c>
    </row>
    <row r="403">
      <c r="A403" s="284" t="s">
        <v>3093</v>
      </c>
      <c r="B403" s="292" t="s">
        <v>3081</v>
      </c>
      <c r="C403" s="285" t="s">
        <v>2875</v>
      </c>
      <c r="D403" s="293" t="s">
        <v>3082</v>
      </c>
      <c r="E403" s="293" t="s">
        <v>3083</v>
      </c>
    </row>
    <row r="404">
      <c r="A404" s="307" t="s">
        <v>65</v>
      </c>
      <c r="B404" s="308" t="s">
        <v>3085</v>
      </c>
      <c r="C404" s="309"/>
      <c r="D404" s="274" t="s">
        <v>2917</v>
      </c>
      <c r="E404" s="274" t="s">
        <v>2930</v>
      </c>
    </row>
    <row r="405">
      <c r="A405" s="310" t="s">
        <v>942</v>
      </c>
      <c r="B405" s="311" t="s">
        <v>3088</v>
      </c>
      <c r="C405" s="302"/>
      <c r="D405" s="274" t="s">
        <v>3094</v>
      </c>
      <c r="E405" s="277"/>
    </row>
    <row r="406">
      <c r="A406" s="310" t="s">
        <v>312</v>
      </c>
      <c r="B406" s="311" t="s">
        <v>3095</v>
      </c>
      <c r="C406" s="302"/>
      <c r="D406" s="274" t="s">
        <v>3094</v>
      </c>
      <c r="E406" s="277"/>
    </row>
    <row r="407">
      <c r="A407" s="310" t="s">
        <v>578</v>
      </c>
      <c r="B407" s="312" t="s">
        <v>3085</v>
      </c>
      <c r="C407" s="302"/>
      <c r="D407" s="274" t="s">
        <v>2917</v>
      </c>
      <c r="E407" s="274" t="s">
        <v>2930</v>
      </c>
    </row>
    <row r="408">
      <c r="A408" s="310" t="s">
        <v>466</v>
      </c>
      <c r="B408" s="311" t="s">
        <v>3096</v>
      </c>
      <c r="C408" s="302"/>
      <c r="D408" s="274" t="s">
        <v>2917</v>
      </c>
      <c r="E408" s="277"/>
    </row>
    <row r="409">
      <c r="A409" s="310" t="s">
        <v>590</v>
      </c>
      <c r="B409" s="311" t="s">
        <v>3097</v>
      </c>
      <c r="C409" s="302"/>
      <c r="D409" s="274" t="s">
        <v>2917</v>
      </c>
      <c r="E409" s="277"/>
    </row>
    <row r="410">
      <c r="A410" s="310" t="s">
        <v>243</v>
      </c>
      <c r="B410" s="312" t="s">
        <v>3085</v>
      </c>
      <c r="C410" s="302"/>
      <c r="D410" s="274" t="s">
        <v>2917</v>
      </c>
      <c r="E410" s="274" t="s">
        <v>2930</v>
      </c>
    </row>
    <row r="411">
      <c r="A411" s="310" t="s">
        <v>526</v>
      </c>
      <c r="B411" s="311" t="s">
        <v>3098</v>
      </c>
      <c r="C411" s="302"/>
      <c r="D411" s="274" t="s">
        <v>2</v>
      </c>
      <c r="E411" s="277"/>
    </row>
    <row r="412">
      <c r="A412" s="310" t="s">
        <v>202</v>
      </c>
      <c r="B412" s="311" t="s">
        <v>3099</v>
      </c>
      <c r="C412" s="302"/>
      <c r="D412" s="274" t="s">
        <v>2917</v>
      </c>
      <c r="E412" s="277"/>
    </row>
    <row r="413">
      <c r="A413" s="310" t="s">
        <v>302</v>
      </c>
      <c r="B413" s="311" t="s">
        <v>3100</v>
      </c>
      <c r="C413" s="302"/>
      <c r="D413" s="274" t="s">
        <v>2165</v>
      </c>
      <c r="E413" s="277"/>
    </row>
    <row r="414">
      <c r="A414" s="310" t="s">
        <v>596</v>
      </c>
      <c r="B414" s="311" t="s">
        <v>3101</v>
      </c>
      <c r="C414" s="302"/>
      <c r="D414" s="274" t="s">
        <v>2917</v>
      </c>
      <c r="E414" s="277"/>
    </row>
    <row r="415">
      <c r="A415" s="310" t="s">
        <v>423</v>
      </c>
      <c r="B415" s="311" t="s">
        <v>3102</v>
      </c>
      <c r="C415" s="302"/>
      <c r="D415" s="274" t="s">
        <v>2917</v>
      </c>
      <c r="E415" s="277"/>
    </row>
    <row r="416">
      <c r="A416" s="313" t="s">
        <v>84</v>
      </c>
      <c r="B416" s="314" t="s">
        <v>3103</v>
      </c>
      <c r="C416" s="306"/>
      <c r="D416" s="274" t="s">
        <v>2917</v>
      </c>
      <c r="E416" s="277"/>
    </row>
    <row r="419">
      <c r="A419" s="284" t="s">
        <v>3104</v>
      </c>
      <c r="B419" s="292" t="s">
        <v>3081</v>
      </c>
      <c r="C419" s="285" t="s">
        <v>2875</v>
      </c>
      <c r="D419" s="293" t="s">
        <v>3082</v>
      </c>
      <c r="E419" s="293" t="s">
        <v>3083</v>
      </c>
    </row>
    <row r="420">
      <c r="A420" s="315" t="s">
        <v>1005</v>
      </c>
      <c r="B420" s="316" t="s">
        <v>66</v>
      </c>
      <c r="C420" s="309"/>
      <c r="D420" s="317"/>
      <c r="E420" s="298" t="s">
        <v>2930</v>
      </c>
    </row>
    <row r="421">
      <c r="A421" s="318" t="s">
        <v>415</v>
      </c>
      <c r="B421" s="319" t="s">
        <v>36</v>
      </c>
      <c r="C421" s="302"/>
      <c r="D421" s="320"/>
      <c r="E421" s="302"/>
    </row>
    <row r="422">
      <c r="A422" s="318" t="s">
        <v>269</v>
      </c>
      <c r="B422" s="319" t="s">
        <v>36</v>
      </c>
      <c r="C422" s="302"/>
      <c r="D422" s="320"/>
      <c r="E422" s="302"/>
    </row>
    <row r="423">
      <c r="A423" s="318" t="s">
        <v>398</v>
      </c>
      <c r="B423" s="319" t="s">
        <v>36</v>
      </c>
      <c r="C423" s="302"/>
      <c r="D423" s="320"/>
      <c r="E423" s="302"/>
    </row>
    <row r="424">
      <c r="A424" s="318" t="s">
        <v>723</v>
      </c>
      <c r="B424" s="319" t="s">
        <v>36</v>
      </c>
      <c r="C424" s="302"/>
      <c r="D424" s="320"/>
      <c r="E424" s="302"/>
    </row>
    <row r="425">
      <c r="A425" s="321" t="s">
        <v>163</v>
      </c>
      <c r="B425" s="319" t="s">
        <v>66</v>
      </c>
      <c r="C425" s="302"/>
      <c r="D425" s="320"/>
      <c r="E425" s="300" t="s">
        <v>2930</v>
      </c>
    </row>
    <row r="426">
      <c r="A426" s="321" t="s">
        <v>788</v>
      </c>
      <c r="B426" s="319" t="s">
        <v>36</v>
      </c>
      <c r="C426" s="302"/>
      <c r="D426" s="320"/>
      <c r="E426" s="302"/>
    </row>
    <row r="427">
      <c r="A427" s="321" t="s">
        <v>518</v>
      </c>
      <c r="B427" s="319" t="s">
        <v>36</v>
      </c>
      <c r="C427" s="302"/>
      <c r="D427" s="320"/>
      <c r="E427" s="302"/>
    </row>
    <row r="428">
      <c r="A428" s="321" t="s">
        <v>660</v>
      </c>
      <c r="B428" s="319" t="s">
        <v>66</v>
      </c>
      <c r="C428" s="302"/>
      <c r="D428" s="320"/>
      <c r="E428" s="300" t="s">
        <v>2930</v>
      </c>
    </row>
    <row r="429">
      <c r="A429" s="321" t="s">
        <v>899</v>
      </c>
      <c r="B429" s="319" t="s">
        <v>66</v>
      </c>
      <c r="C429" s="302"/>
      <c r="D429" s="320"/>
      <c r="E429" s="300" t="s">
        <v>2930</v>
      </c>
    </row>
    <row r="430">
      <c r="A430" s="321" t="s">
        <v>211</v>
      </c>
      <c r="B430" s="319" t="s">
        <v>36</v>
      </c>
      <c r="C430" s="302"/>
      <c r="D430" s="320"/>
      <c r="E430" s="302"/>
    </row>
    <row r="431">
      <c r="A431" s="321" t="s">
        <v>372</v>
      </c>
      <c r="B431" s="319" t="s">
        <v>36</v>
      </c>
      <c r="C431" s="302"/>
      <c r="D431" s="320"/>
      <c r="E431" s="302"/>
    </row>
    <row r="432">
      <c r="A432" s="321" t="s">
        <v>223</v>
      </c>
      <c r="B432" s="319" t="s">
        <v>36</v>
      </c>
      <c r="C432" s="302"/>
      <c r="D432" s="320"/>
      <c r="E432" s="302"/>
    </row>
    <row r="433">
      <c r="A433" s="321" t="s">
        <v>273</v>
      </c>
      <c r="B433" s="319" t="s">
        <v>36</v>
      </c>
      <c r="C433" s="302"/>
      <c r="D433" s="320"/>
      <c r="E433" s="302"/>
    </row>
    <row r="434">
      <c r="A434" s="321" t="s">
        <v>681</v>
      </c>
      <c r="B434" s="319" t="s">
        <v>66</v>
      </c>
      <c r="C434" s="302"/>
      <c r="D434" s="320"/>
      <c r="E434" s="300" t="s">
        <v>2930</v>
      </c>
    </row>
    <row r="435">
      <c r="A435" s="321" t="s">
        <v>721</v>
      </c>
      <c r="B435" s="319" t="s">
        <v>36</v>
      </c>
      <c r="C435" s="302"/>
      <c r="D435" s="320"/>
      <c r="E435" s="302"/>
    </row>
    <row r="436">
      <c r="A436" s="321" t="s">
        <v>772</v>
      </c>
      <c r="B436" s="319" t="s">
        <v>36</v>
      </c>
      <c r="C436" s="302"/>
      <c r="D436" s="320"/>
      <c r="E436" s="302"/>
    </row>
    <row r="437">
      <c r="A437" s="321" t="s">
        <v>841</v>
      </c>
      <c r="B437" s="319" t="s">
        <v>66</v>
      </c>
      <c r="C437" s="302"/>
      <c r="D437" s="320"/>
      <c r="E437" s="300" t="s">
        <v>2930</v>
      </c>
    </row>
    <row r="438">
      <c r="A438" s="318" t="s">
        <v>975</v>
      </c>
      <c r="B438" s="319" t="s">
        <v>66</v>
      </c>
      <c r="C438" s="302"/>
      <c r="D438" s="320"/>
      <c r="E438" s="300" t="s">
        <v>2930</v>
      </c>
    </row>
    <row r="439">
      <c r="A439" s="318" t="s">
        <v>808</v>
      </c>
      <c r="B439" s="319" t="s">
        <v>36</v>
      </c>
      <c r="C439" s="302"/>
      <c r="D439" s="320"/>
      <c r="E439" s="302"/>
    </row>
    <row r="440">
      <c r="A440" s="318" t="s">
        <v>956</v>
      </c>
      <c r="B440" s="319" t="s">
        <v>36</v>
      </c>
      <c r="C440" s="302"/>
      <c r="D440" s="320"/>
      <c r="E440" s="302"/>
    </row>
    <row r="441">
      <c r="A441" s="318" t="s">
        <v>43</v>
      </c>
      <c r="B441" s="319" t="s">
        <v>44</v>
      </c>
      <c r="C441" s="302"/>
      <c r="D441" s="320"/>
      <c r="E441" s="302"/>
    </row>
    <row r="442">
      <c r="A442" s="318" t="s">
        <v>586</v>
      </c>
      <c r="B442" s="319" t="s">
        <v>40</v>
      </c>
      <c r="C442" s="302"/>
      <c r="D442" s="320"/>
      <c r="E442" s="302"/>
    </row>
    <row r="443">
      <c r="A443" s="322" t="s">
        <v>604</v>
      </c>
      <c r="B443" s="323" t="s">
        <v>56</v>
      </c>
      <c r="C443" s="306"/>
      <c r="D443" s="324"/>
      <c r="E443" s="305" t="s">
        <v>2930</v>
      </c>
    </row>
    <row r="446">
      <c r="A446" s="284" t="s">
        <v>3105</v>
      </c>
      <c r="B446" s="292" t="s">
        <v>3081</v>
      </c>
      <c r="C446" s="285" t="s">
        <v>2875</v>
      </c>
      <c r="D446" s="293" t="s">
        <v>3082</v>
      </c>
      <c r="E446" s="293" t="s">
        <v>3083</v>
      </c>
    </row>
    <row r="447">
      <c r="A447" s="325" t="s">
        <v>891</v>
      </c>
      <c r="B447" s="326" t="s">
        <v>56</v>
      </c>
      <c r="C447" s="309"/>
      <c r="D447" s="317"/>
      <c r="E447" s="298" t="s">
        <v>2917</v>
      </c>
    </row>
    <row r="448">
      <c r="A448" s="327" t="s">
        <v>806</v>
      </c>
      <c r="B448" s="328" t="s">
        <v>44</v>
      </c>
      <c r="C448" s="302"/>
      <c r="D448" s="320"/>
      <c r="E448" s="302"/>
    </row>
    <row r="449">
      <c r="A449" s="327" t="s">
        <v>500</v>
      </c>
      <c r="B449" s="328" t="s">
        <v>44</v>
      </c>
      <c r="C449" s="302"/>
      <c r="D449" s="320"/>
      <c r="E449" s="302"/>
    </row>
    <row r="450">
      <c r="A450" s="327" t="s">
        <v>572</v>
      </c>
      <c r="B450" s="328" t="s">
        <v>44</v>
      </c>
      <c r="C450" s="302"/>
      <c r="D450" s="320"/>
      <c r="E450" s="302"/>
    </row>
    <row r="451">
      <c r="A451" s="327" t="s">
        <v>534</v>
      </c>
      <c r="B451" s="328" t="s">
        <v>66</v>
      </c>
      <c r="C451" s="302"/>
      <c r="D451" s="320"/>
      <c r="E451" s="300" t="s">
        <v>2930</v>
      </c>
    </row>
    <row r="452">
      <c r="A452" s="327" t="s">
        <v>925</v>
      </c>
      <c r="B452" s="328" t="s">
        <v>66</v>
      </c>
      <c r="C452" s="302"/>
      <c r="D452" s="320"/>
      <c r="E452" s="300" t="s">
        <v>2930</v>
      </c>
    </row>
    <row r="453">
      <c r="A453" s="327" t="s">
        <v>827</v>
      </c>
      <c r="B453" s="328" t="s">
        <v>66</v>
      </c>
      <c r="C453" s="302"/>
      <c r="D453" s="320"/>
      <c r="E453" s="300" t="s">
        <v>2930</v>
      </c>
    </row>
    <row r="454">
      <c r="A454" s="327" t="s">
        <v>727</v>
      </c>
      <c r="B454" s="328" t="s">
        <v>66</v>
      </c>
      <c r="C454" s="302"/>
      <c r="D454" s="320"/>
      <c r="E454" s="300" t="s">
        <v>2930</v>
      </c>
    </row>
    <row r="455">
      <c r="A455" s="327" t="s">
        <v>731</v>
      </c>
      <c r="B455" s="328" t="s">
        <v>66</v>
      </c>
      <c r="C455" s="302"/>
      <c r="D455" s="320"/>
      <c r="E455" s="300" t="s">
        <v>2930</v>
      </c>
    </row>
    <row r="456">
      <c r="A456" s="327" t="s">
        <v>540</v>
      </c>
      <c r="B456" s="328" t="s">
        <v>66</v>
      </c>
      <c r="C456" s="302"/>
      <c r="D456" s="320"/>
      <c r="E456" s="300" t="s">
        <v>2930</v>
      </c>
    </row>
    <row r="457">
      <c r="A457" s="327" t="s">
        <v>819</v>
      </c>
      <c r="B457" s="328" t="s">
        <v>66</v>
      </c>
      <c r="C457" s="302"/>
      <c r="D457" s="320"/>
      <c r="E457" s="300" t="s">
        <v>2930</v>
      </c>
    </row>
    <row r="458">
      <c r="A458" s="327" t="s">
        <v>504</v>
      </c>
      <c r="B458" s="328" t="s">
        <v>66</v>
      </c>
      <c r="C458" s="302"/>
      <c r="D458" s="320"/>
      <c r="E458" s="300" t="s">
        <v>2930</v>
      </c>
    </row>
    <row r="459">
      <c r="A459" s="327" t="s">
        <v>711</v>
      </c>
      <c r="B459" s="328" t="s">
        <v>36</v>
      </c>
      <c r="C459" s="302"/>
      <c r="D459" s="320"/>
      <c r="E459" s="302"/>
    </row>
    <row r="460">
      <c r="A460" s="327" t="s">
        <v>973</v>
      </c>
      <c r="B460" s="328" t="s">
        <v>36</v>
      </c>
      <c r="C460" s="302"/>
      <c r="D460" s="320"/>
      <c r="E460" s="302"/>
    </row>
    <row r="461">
      <c r="A461" s="327" t="s">
        <v>191</v>
      </c>
      <c r="B461" s="328" t="s">
        <v>36</v>
      </c>
      <c r="C461" s="302"/>
      <c r="D461" s="320"/>
      <c r="E461" s="302"/>
    </row>
    <row r="462">
      <c r="A462" s="327" t="s">
        <v>921</v>
      </c>
      <c r="B462" s="328" t="s">
        <v>36</v>
      </c>
      <c r="C462" s="302"/>
      <c r="D462" s="320"/>
      <c r="E462" s="302"/>
    </row>
    <row r="463">
      <c r="A463" s="327" t="s">
        <v>1003</v>
      </c>
      <c r="B463" s="328" t="s">
        <v>36</v>
      </c>
      <c r="C463" s="302"/>
      <c r="D463" s="320"/>
      <c r="E463" s="302"/>
    </row>
    <row r="464">
      <c r="A464" s="327" t="s">
        <v>3106</v>
      </c>
      <c r="B464" s="328" t="s">
        <v>36</v>
      </c>
      <c r="C464" s="302"/>
      <c r="D464" s="320"/>
      <c r="E464" s="302"/>
    </row>
    <row r="465">
      <c r="A465" s="327" t="s">
        <v>538</v>
      </c>
      <c r="B465" s="328" t="s">
        <v>36</v>
      </c>
      <c r="C465" s="302"/>
      <c r="D465" s="320"/>
      <c r="E465" s="302"/>
    </row>
    <row r="466">
      <c r="A466" s="327" t="s">
        <v>584</v>
      </c>
      <c r="B466" s="328" t="s">
        <v>36</v>
      </c>
      <c r="C466" s="302"/>
      <c r="D466" s="320"/>
      <c r="E466" s="302"/>
    </row>
    <row r="467">
      <c r="A467" s="329" t="s">
        <v>315</v>
      </c>
      <c r="B467" s="330" t="s">
        <v>36</v>
      </c>
      <c r="C467" s="306"/>
      <c r="D467" s="324"/>
      <c r="E467" s="306"/>
    </row>
    <row r="470">
      <c r="A470" s="284" t="s">
        <v>3107</v>
      </c>
      <c r="B470" s="292" t="s">
        <v>3081</v>
      </c>
      <c r="C470" s="285" t="s">
        <v>2875</v>
      </c>
      <c r="D470" s="293" t="s">
        <v>3082</v>
      </c>
      <c r="E470" s="293" t="s">
        <v>3083</v>
      </c>
    </row>
    <row r="471">
      <c r="A471" s="331" t="s">
        <v>216</v>
      </c>
      <c r="B471" s="21" t="s">
        <v>66</v>
      </c>
      <c r="C471" s="332"/>
      <c r="D471" s="317"/>
      <c r="E471" s="298" t="s">
        <v>2930</v>
      </c>
    </row>
    <row r="472">
      <c r="A472" s="333" t="s">
        <v>648</v>
      </c>
      <c r="B472" s="21" t="s">
        <v>66</v>
      </c>
      <c r="C472" s="334"/>
      <c r="D472" s="320"/>
      <c r="E472" s="300" t="s">
        <v>2930</v>
      </c>
    </row>
    <row r="473">
      <c r="A473" s="333" t="s">
        <v>427</v>
      </c>
      <c r="B473" s="21" t="s">
        <v>66</v>
      </c>
      <c r="C473" s="334"/>
      <c r="D473" s="320"/>
      <c r="E473" s="300" t="s">
        <v>2930</v>
      </c>
    </row>
    <row r="474">
      <c r="A474" s="333" t="s">
        <v>510</v>
      </c>
      <c r="B474" s="21" t="s">
        <v>66</v>
      </c>
      <c r="C474" s="334"/>
      <c r="D474" s="320"/>
      <c r="E474" s="300" t="s">
        <v>2930</v>
      </c>
    </row>
    <row r="475">
      <c r="A475" s="333" t="s">
        <v>343</v>
      </c>
      <c r="B475" s="21" t="s">
        <v>66</v>
      </c>
      <c r="C475" s="334"/>
      <c r="D475" s="320"/>
      <c r="E475" s="300" t="s">
        <v>2930</v>
      </c>
    </row>
    <row r="476">
      <c r="A476" s="333" t="s">
        <v>284</v>
      </c>
      <c r="B476" s="21" t="s">
        <v>66</v>
      </c>
      <c r="C476" s="334"/>
      <c r="D476" s="320"/>
      <c r="E476" s="300" t="s">
        <v>2930</v>
      </c>
    </row>
    <row r="477">
      <c r="A477" s="333" t="s">
        <v>3108</v>
      </c>
      <c r="B477" s="21" t="s">
        <v>66</v>
      </c>
      <c r="C477" s="334"/>
      <c r="D477" s="320"/>
      <c r="E477" s="300" t="s">
        <v>2930</v>
      </c>
    </row>
    <row r="478">
      <c r="A478" s="333" t="s">
        <v>849</v>
      </c>
      <c r="B478" s="21" t="s">
        <v>66</v>
      </c>
      <c r="C478" s="334"/>
      <c r="D478" s="320"/>
      <c r="E478" s="300" t="s">
        <v>2930</v>
      </c>
    </row>
    <row r="479">
      <c r="A479" s="333" t="s">
        <v>298</v>
      </c>
      <c r="B479" s="21" t="s">
        <v>66</v>
      </c>
      <c r="C479" s="334"/>
      <c r="D479" s="320"/>
      <c r="E479" s="300" t="s">
        <v>2930</v>
      </c>
    </row>
    <row r="480">
      <c r="A480" s="335" t="s">
        <v>606</v>
      </c>
      <c r="B480" s="21" t="s">
        <v>44</v>
      </c>
      <c r="C480" s="334"/>
      <c r="D480" s="320"/>
      <c r="E480" s="302"/>
    </row>
    <row r="481">
      <c r="A481" s="336" t="s">
        <v>308</v>
      </c>
      <c r="B481" s="21" t="s">
        <v>36</v>
      </c>
      <c r="C481" s="334"/>
      <c r="D481" s="320"/>
      <c r="E481" s="302"/>
    </row>
    <row r="482">
      <c r="A482" s="337" t="s">
        <v>443</v>
      </c>
      <c r="B482" s="21" t="s">
        <v>36</v>
      </c>
      <c r="C482" s="334"/>
      <c r="D482" s="320"/>
      <c r="E482" s="302"/>
    </row>
    <row r="483">
      <c r="A483" s="337" t="s">
        <v>616</v>
      </c>
      <c r="B483" s="21" t="s">
        <v>36</v>
      </c>
      <c r="C483" s="334"/>
      <c r="D483" s="320"/>
      <c r="E483" s="302"/>
    </row>
    <row r="484">
      <c r="A484" s="337" t="s">
        <v>770</v>
      </c>
      <c r="B484" s="21" t="s">
        <v>36</v>
      </c>
      <c r="C484" s="334"/>
      <c r="D484" s="320"/>
      <c r="E484" s="302"/>
    </row>
    <row r="485">
      <c r="A485" s="338" t="s">
        <v>843</v>
      </c>
      <c r="B485" s="21" t="s">
        <v>36</v>
      </c>
      <c r="C485" s="334"/>
      <c r="D485" s="320"/>
      <c r="E485" s="302"/>
    </row>
    <row r="486">
      <c r="A486" s="338" t="s">
        <v>598</v>
      </c>
      <c r="B486" s="21" t="s">
        <v>36</v>
      </c>
      <c r="C486" s="334"/>
      <c r="D486" s="320"/>
      <c r="E486" s="302"/>
    </row>
    <row r="487">
      <c r="A487" s="338" t="s">
        <v>362</v>
      </c>
      <c r="B487" s="21" t="s">
        <v>36</v>
      </c>
      <c r="C487" s="334"/>
      <c r="D487" s="320"/>
      <c r="E487" s="302"/>
    </row>
    <row r="488">
      <c r="A488" s="338" t="s">
        <v>480</v>
      </c>
      <c r="B488" s="21" t="s">
        <v>36</v>
      </c>
      <c r="C488" s="334"/>
      <c r="D488" s="320"/>
      <c r="E488" s="302"/>
    </row>
    <row r="489">
      <c r="A489" s="338" t="s">
        <v>1050</v>
      </c>
      <c r="B489" s="21" t="s">
        <v>36</v>
      </c>
      <c r="C489" s="334"/>
      <c r="D489" s="320"/>
      <c r="E489" s="302"/>
    </row>
    <row r="490">
      <c r="A490" s="338" t="s">
        <v>959</v>
      </c>
      <c r="B490" s="21" t="s">
        <v>36</v>
      </c>
      <c r="C490" s="334"/>
      <c r="D490" s="320"/>
      <c r="E490" s="302"/>
    </row>
    <row r="491">
      <c r="A491" s="338" t="s">
        <v>729</v>
      </c>
      <c r="B491" s="21" t="s">
        <v>36</v>
      </c>
      <c r="C491" s="334"/>
      <c r="D491" s="320"/>
      <c r="E491" s="302"/>
    </row>
    <row r="492">
      <c r="A492" s="338" t="s">
        <v>907</v>
      </c>
      <c r="B492" s="21" t="s">
        <v>36</v>
      </c>
      <c r="C492" s="334"/>
      <c r="D492" s="320"/>
      <c r="E492" s="302"/>
    </row>
    <row r="493">
      <c r="A493" s="339" t="s">
        <v>349</v>
      </c>
      <c r="B493" s="21" t="s">
        <v>36</v>
      </c>
      <c r="C493" s="334"/>
      <c r="D493" s="320"/>
      <c r="E493" s="302"/>
    </row>
    <row r="494">
      <c r="A494" s="340" t="s">
        <v>725</v>
      </c>
      <c r="B494" s="21" t="s">
        <v>36</v>
      </c>
      <c r="C494" s="334"/>
      <c r="D494" s="320"/>
      <c r="E494" s="302"/>
    </row>
    <row r="495">
      <c r="A495" s="341" t="s">
        <v>650</v>
      </c>
      <c r="B495" s="21" t="s">
        <v>36</v>
      </c>
      <c r="C495" s="342"/>
      <c r="D495" s="320"/>
      <c r="E495" s="302"/>
    </row>
    <row r="496">
      <c r="A496" s="343" t="s">
        <v>3109</v>
      </c>
      <c r="B496" s="344" t="s">
        <v>3110</v>
      </c>
      <c r="C496" s="342"/>
      <c r="D496" s="324"/>
      <c r="E496" s="306"/>
    </row>
    <row r="499">
      <c r="A499" s="284" t="s">
        <v>3111</v>
      </c>
      <c r="B499" s="292" t="s">
        <v>3081</v>
      </c>
      <c r="C499" s="285" t="s">
        <v>2875</v>
      </c>
      <c r="D499" s="293" t="s">
        <v>3082</v>
      </c>
      <c r="E499" s="293" t="s">
        <v>3083</v>
      </c>
    </row>
    <row r="500">
      <c r="A500" s="345" t="s">
        <v>265</v>
      </c>
      <c r="B500" s="346" t="s">
        <v>56</v>
      </c>
      <c r="C500" s="347">
        <v>89860.0</v>
      </c>
      <c r="D500" s="317"/>
      <c r="E500" s="309"/>
    </row>
    <row r="501">
      <c r="A501" s="348" t="s">
        <v>174</v>
      </c>
      <c r="B501" s="349" t="s">
        <v>44</v>
      </c>
      <c r="C501" s="350">
        <v>87546.0</v>
      </c>
      <c r="D501" s="320"/>
      <c r="E501" s="302"/>
    </row>
    <row r="502">
      <c r="A502" s="348" t="s">
        <v>396</v>
      </c>
      <c r="B502" s="349" t="s">
        <v>44</v>
      </c>
      <c r="C502" s="350">
        <v>88418.0</v>
      </c>
      <c r="D502" s="320"/>
      <c r="E502" s="302"/>
    </row>
    <row r="503">
      <c r="A503" s="348" t="s">
        <v>494</v>
      </c>
      <c r="B503" s="349" t="s">
        <v>44</v>
      </c>
      <c r="C503" s="350">
        <v>88825.0</v>
      </c>
      <c r="D503" s="320"/>
      <c r="E503" s="302"/>
    </row>
    <row r="504">
      <c r="A504" s="351" t="s">
        <v>857</v>
      </c>
      <c r="B504" s="349" t="s">
        <v>44</v>
      </c>
      <c r="C504" s="350">
        <v>86877.0</v>
      </c>
      <c r="D504" s="320"/>
      <c r="E504" s="302"/>
    </row>
    <row r="505">
      <c r="A505" s="351" t="s">
        <v>189</v>
      </c>
      <c r="B505" s="352" t="s">
        <v>66</v>
      </c>
      <c r="C505" s="350">
        <v>88585.0</v>
      </c>
      <c r="D505" s="320"/>
      <c r="E505" s="302"/>
    </row>
    <row r="506">
      <c r="A506" s="348" t="s">
        <v>703</v>
      </c>
      <c r="B506" s="352" t="s">
        <v>66</v>
      </c>
      <c r="C506" s="350">
        <v>87121.0</v>
      </c>
      <c r="D506" s="320"/>
      <c r="E506" s="302"/>
    </row>
    <row r="507">
      <c r="A507" s="348" t="s">
        <v>556</v>
      </c>
      <c r="B507" s="352" t="s">
        <v>66</v>
      </c>
      <c r="C507" s="350">
        <v>86865.0</v>
      </c>
      <c r="D507" s="320"/>
      <c r="E507" s="302"/>
    </row>
    <row r="508">
      <c r="A508" s="353" t="s">
        <v>983</v>
      </c>
      <c r="B508" s="352" t="s">
        <v>66</v>
      </c>
      <c r="C508" s="350">
        <v>90092.0</v>
      </c>
      <c r="D508" s="320"/>
      <c r="E508" s="302"/>
    </row>
    <row r="509">
      <c r="A509" s="348" t="s">
        <v>99</v>
      </c>
      <c r="B509" s="352" t="s">
        <v>66</v>
      </c>
      <c r="C509" s="350">
        <v>86996.0</v>
      </c>
      <c r="D509" s="320"/>
      <c r="E509" s="302"/>
    </row>
    <row r="510">
      <c r="A510" s="348" t="s">
        <v>638</v>
      </c>
      <c r="B510" s="352" t="s">
        <v>66</v>
      </c>
      <c r="C510" s="350">
        <v>86095.0</v>
      </c>
      <c r="D510" s="320"/>
      <c r="E510" s="302"/>
    </row>
    <row r="511">
      <c r="A511" s="348" t="s">
        <v>675</v>
      </c>
      <c r="B511" s="352" t="s">
        <v>66</v>
      </c>
      <c r="C511" s="350">
        <v>86882.0</v>
      </c>
      <c r="D511" s="320"/>
      <c r="E511" s="302"/>
    </row>
    <row r="512">
      <c r="A512" s="348" t="s">
        <v>419</v>
      </c>
      <c r="B512" s="352" t="s">
        <v>66</v>
      </c>
      <c r="C512" s="350">
        <v>88697.0</v>
      </c>
      <c r="D512" s="320"/>
      <c r="E512" s="302"/>
    </row>
    <row r="513">
      <c r="A513" s="348" t="s">
        <v>570</v>
      </c>
      <c r="B513" s="352" t="s">
        <v>66</v>
      </c>
      <c r="C513" s="350">
        <v>87078.0</v>
      </c>
      <c r="D513" s="320"/>
      <c r="E513" s="302"/>
    </row>
    <row r="514">
      <c r="A514" s="348" t="s">
        <v>751</v>
      </c>
      <c r="B514" s="352" t="s">
        <v>66</v>
      </c>
      <c r="C514" s="350">
        <v>77820.0</v>
      </c>
      <c r="D514" s="320"/>
      <c r="E514" s="302"/>
    </row>
    <row r="515">
      <c r="A515" s="351" t="s">
        <v>946</v>
      </c>
      <c r="B515" s="352" t="s">
        <v>66</v>
      </c>
      <c r="C515" s="350">
        <v>89220.0</v>
      </c>
      <c r="D515" s="320"/>
      <c r="E515" s="302"/>
    </row>
    <row r="516">
      <c r="A516" s="351" t="s">
        <v>245</v>
      </c>
      <c r="B516" s="354" t="s">
        <v>36</v>
      </c>
      <c r="C516" s="350">
        <v>86523.0</v>
      </c>
      <c r="D516" s="320"/>
      <c r="E516" s="302"/>
    </row>
    <row r="517">
      <c r="A517" s="348" t="s">
        <v>554</v>
      </c>
      <c r="B517" s="354" t="s">
        <v>36</v>
      </c>
      <c r="C517" s="350">
        <v>87611.0</v>
      </c>
      <c r="D517" s="320"/>
      <c r="E517" s="302"/>
    </row>
    <row r="518">
      <c r="A518" s="348" t="s">
        <v>341</v>
      </c>
      <c r="B518" s="354" t="s">
        <v>36</v>
      </c>
      <c r="C518" s="350">
        <v>59348.0</v>
      </c>
      <c r="D518" s="320"/>
      <c r="E518" s="302"/>
    </row>
    <row r="519">
      <c r="A519" s="348" t="s">
        <v>219</v>
      </c>
      <c r="B519" s="354" t="s">
        <v>36</v>
      </c>
      <c r="C519" s="350">
        <v>85573.0</v>
      </c>
      <c r="D519" s="320"/>
      <c r="E519" s="302"/>
    </row>
    <row r="520">
      <c r="A520" s="348" t="s">
        <v>600</v>
      </c>
      <c r="B520" s="354" t="s">
        <v>36</v>
      </c>
      <c r="C520" s="350">
        <v>87051.0</v>
      </c>
      <c r="D520" s="320"/>
      <c r="E520" s="302"/>
    </row>
    <row r="521">
      <c r="A521" s="348" t="s">
        <v>624</v>
      </c>
      <c r="B521" s="354" t="s">
        <v>36</v>
      </c>
      <c r="C521" s="350">
        <v>87001.0</v>
      </c>
      <c r="D521" s="320"/>
      <c r="E521" s="302"/>
    </row>
    <row r="522">
      <c r="A522" s="348" t="s">
        <v>774</v>
      </c>
      <c r="B522" s="354" t="s">
        <v>36</v>
      </c>
      <c r="C522" s="350">
        <v>59224.0</v>
      </c>
      <c r="D522" s="320"/>
      <c r="E522" s="302"/>
    </row>
    <row r="523">
      <c r="A523" s="353" t="s">
        <v>837</v>
      </c>
      <c r="B523" s="354" t="s">
        <v>36</v>
      </c>
      <c r="C523" s="350">
        <v>83151.0</v>
      </c>
      <c r="D523" s="320"/>
      <c r="E523" s="302"/>
    </row>
    <row r="524">
      <c r="A524" s="348" t="s">
        <v>492</v>
      </c>
      <c r="B524" s="354" t="s">
        <v>36</v>
      </c>
      <c r="C524" s="350">
        <v>84562.0</v>
      </c>
      <c r="D524" s="320"/>
      <c r="E524" s="302"/>
    </row>
    <row r="525">
      <c r="A525" s="348" t="s">
        <v>869</v>
      </c>
      <c r="B525" s="354" t="s">
        <v>36</v>
      </c>
      <c r="C525" s="350">
        <v>85325.0</v>
      </c>
      <c r="D525" s="320"/>
      <c r="E525" s="302"/>
    </row>
    <row r="526">
      <c r="A526" s="348" t="s">
        <v>997</v>
      </c>
      <c r="B526" s="354" t="s">
        <v>36</v>
      </c>
      <c r="C526" s="350">
        <v>87046.0</v>
      </c>
      <c r="D526" s="320"/>
      <c r="E526" s="302"/>
    </row>
    <row r="527">
      <c r="A527" s="348" t="s">
        <v>911</v>
      </c>
      <c r="B527" s="354" t="s">
        <v>36</v>
      </c>
      <c r="C527" s="350">
        <v>88288.0</v>
      </c>
      <c r="D527" s="320"/>
      <c r="E527" s="302"/>
    </row>
    <row r="528">
      <c r="A528" s="348" t="s">
        <v>829</v>
      </c>
      <c r="B528" s="354" t="s">
        <v>36</v>
      </c>
      <c r="C528" s="350">
        <v>83008.0</v>
      </c>
      <c r="D528" s="320"/>
      <c r="E528" s="302"/>
    </row>
    <row r="529">
      <c r="A529" s="348" t="s">
        <v>745</v>
      </c>
      <c r="B529" s="354" t="s">
        <v>36</v>
      </c>
      <c r="C529" s="350">
        <v>78465.0</v>
      </c>
      <c r="D529" s="320"/>
      <c r="E529" s="302"/>
    </row>
    <row r="530">
      <c r="A530" s="348" t="s">
        <v>961</v>
      </c>
      <c r="B530" s="354" t="s">
        <v>36</v>
      </c>
      <c r="C530" s="350">
        <v>87113.0</v>
      </c>
      <c r="D530" s="320"/>
      <c r="E530" s="302"/>
    </row>
    <row r="531">
      <c r="A531" s="348" t="s">
        <v>165</v>
      </c>
      <c r="B531" s="354" t="s">
        <v>36</v>
      </c>
      <c r="C531" s="350">
        <v>88090.0</v>
      </c>
      <c r="D531" s="320"/>
      <c r="E531" s="302"/>
    </row>
    <row r="532">
      <c r="A532" s="348" t="s">
        <v>963</v>
      </c>
      <c r="B532" s="354" t="s">
        <v>36</v>
      </c>
      <c r="C532" s="350">
        <v>86584.0</v>
      </c>
      <c r="D532" s="320"/>
      <c r="E532" s="302"/>
    </row>
    <row r="533">
      <c r="A533" s="348" t="s">
        <v>971</v>
      </c>
      <c r="B533" s="354" t="s">
        <v>36</v>
      </c>
      <c r="C533" s="350">
        <v>86294.0</v>
      </c>
      <c r="D533" s="320"/>
      <c r="E533" s="302"/>
    </row>
    <row r="534">
      <c r="A534" s="355" t="s">
        <v>276</v>
      </c>
      <c r="B534" s="356" t="s">
        <v>36</v>
      </c>
      <c r="C534" s="357">
        <v>86543.0</v>
      </c>
      <c r="D534" s="324"/>
      <c r="E534" s="306"/>
    </row>
    <row r="537">
      <c r="A537" s="284" t="s">
        <v>3112</v>
      </c>
      <c r="B537" s="292" t="s">
        <v>3081</v>
      </c>
      <c r="C537" s="285" t="s">
        <v>2875</v>
      </c>
      <c r="D537" s="293" t="s">
        <v>3082</v>
      </c>
      <c r="E537" s="293" t="s">
        <v>3083</v>
      </c>
    </row>
    <row r="538">
      <c r="A538" s="345" t="s">
        <v>909</v>
      </c>
      <c r="B538" s="358" t="s">
        <v>44</v>
      </c>
      <c r="C538" s="347">
        <v>89825.0</v>
      </c>
      <c r="D538" s="317"/>
      <c r="E538" s="309"/>
    </row>
    <row r="539">
      <c r="A539" s="348" t="s">
        <v>252</v>
      </c>
      <c r="B539" s="359" t="s">
        <v>44</v>
      </c>
      <c r="C539" s="350">
        <v>86055.0</v>
      </c>
      <c r="D539" s="320"/>
      <c r="E539" s="302"/>
    </row>
    <row r="540">
      <c r="A540" s="348" t="s">
        <v>642</v>
      </c>
      <c r="B540" s="359" t="s">
        <v>44</v>
      </c>
      <c r="C540" s="350">
        <v>87075.0</v>
      </c>
      <c r="D540" s="320"/>
      <c r="E540" s="302"/>
    </row>
    <row r="541">
      <c r="A541" s="360" t="s">
        <v>999</v>
      </c>
      <c r="B541" s="359" t="s">
        <v>44</v>
      </c>
      <c r="C541" s="350">
        <v>73637.0</v>
      </c>
      <c r="D541" s="320"/>
      <c r="E541" s="302"/>
    </row>
    <row r="542">
      <c r="A542" s="361" t="s">
        <v>374</v>
      </c>
      <c r="B542" s="359" t="s">
        <v>44</v>
      </c>
      <c r="C542" s="350">
        <v>94530.0</v>
      </c>
      <c r="D542" s="320"/>
      <c r="E542" s="302"/>
    </row>
    <row r="543">
      <c r="A543" s="362" t="s">
        <v>449</v>
      </c>
      <c r="B543" s="359" t="s">
        <v>44</v>
      </c>
      <c r="C543" s="350">
        <v>90018.0</v>
      </c>
      <c r="D543" s="320"/>
      <c r="E543" s="302"/>
    </row>
    <row r="544">
      <c r="A544" s="348" t="s">
        <v>394</v>
      </c>
      <c r="B544" s="363" t="s">
        <v>66</v>
      </c>
      <c r="C544" s="350">
        <v>87935.0</v>
      </c>
      <c r="D544" s="320"/>
      <c r="E544" s="302"/>
    </row>
    <row r="545">
      <c r="A545" s="348" t="s">
        <v>950</v>
      </c>
      <c r="B545" s="363" t="s">
        <v>66</v>
      </c>
      <c r="C545" s="350">
        <v>85691.0</v>
      </c>
      <c r="D545" s="320"/>
      <c r="E545" s="302"/>
    </row>
    <row r="546">
      <c r="A546" s="348" t="s">
        <v>879</v>
      </c>
      <c r="B546" s="363" t="s">
        <v>66</v>
      </c>
      <c r="C546" s="350">
        <v>88486.0</v>
      </c>
      <c r="D546" s="320"/>
      <c r="E546" s="302"/>
    </row>
    <row r="547">
      <c r="A547" s="348" t="s">
        <v>691</v>
      </c>
      <c r="B547" s="363" t="s">
        <v>66</v>
      </c>
      <c r="C547" s="350">
        <v>85330.0</v>
      </c>
      <c r="D547" s="320"/>
      <c r="E547" s="302"/>
    </row>
    <row r="548">
      <c r="A548" s="360" t="s">
        <v>76</v>
      </c>
      <c r="B548" s="363" t="s">
        <v>66</v>
      </c>
      <c r="C548" s="350">
        <v>88172.0</v>
      </c>
      <c r="D548" s="320"/>
      <c r="E548" s="302"/>
    </row>
    <row r="549">
      <c r="A549" s="361" t="s">
        <v>112</v>
      </c>
      <c r="B549" s="364" t="s">
        <v>40</v>
      </c>
      <c r="C549" s="350">
        <v>57512.0</v>
      </c>
      <c r="D549" s="320"/>
      <c r="E549" s="302"/>
    </row>
    <row r="550">
      <c r="A550" s="365" t="s">
        <v>741</v>
      </c>
      <c r="B550" s="364" t="s">
        <v>36</v>
      </c>
      <c r="C550" s="350">
        <v>86768.0</v>
      </c>
      <c r="D550" s="320"/>
      <c r="E550" s="302"/>
    </row>
    <row r="551">
      <c r="A551" s="348" t="s">
        <v>233</v>
      </c>
      <c r="B551" s="364" t="s">
        <v>36</v>
      </c>
      <c r="C551" s="350">
        <v>85753.0</v>
      </c>
      <c r="D551" s="320"/>
      <c r="E551" s="302"/>
    </row>
    <row r="552">
      <c r="A552" s="348" t="s">
        <v>815</v>
      </c>
      <c r="B552" s="364" t="s">
        <v>36</v>
      </c>
      <c r="C552" s="350">
        <v>87415.0</v>
      </c>
      <c r="D552" s="320"/>
      <c r="E552" s="302"/>
    </row>
    <row r="553">
      <c r="A553" s="348" t="s">
        <v>794</v>
      </c>
      <c r="B553" s="364" t="s">
        <v>36</v>
      </c>
      <c r="C553" s="350">
        <v>89079.0</v>
      </c>
      <c r="D553" s="320"/>
      <c r="E553" s="302"/>
    </row>
    <row r="554">
      <c r="A554" s="362" t="s">
        <v>954</v>
      </c>
      <c r="B554" s="364" t="s">
        <v>36</v>
      </c>
      <c r="C554" s="350">
        <v>86864.0</v>
      </c>
      <c r="D554" s="320"/>
      <c r="E554" s="302"/>
    </row>
    <row r="555">
      <c r="A555" s="348" t="s">
        <v>333</v>
      </c>
      <c r="B555" s="364" t="s">
        <v>36</v>
      </c>
      <c r="C555" s="350">
        <v>85331.0</v>
      </c>
      <c r="D555" s="320"/>
      <c r="E555" s="302"/>
    </row>
    <row r="556">
      <c r="A556" s="348" t="s">
        <v>831</v>
      </c>
      <c r="B556" s="364" t="s">
        <v>36</v>
      </c>
      <c r="C556" s="350">
        <v>86671.0</v>
      </c>
      <c r="D556" s="320"/>
      <c r="E556" s="302"/>
    </row>
    <row r="557">
      <c r="A557" s="348" t="s">
        <v>608</v>
      </c>
      <c r="B557" s="364" t="s">
        <v>36</v>
      </c>
      <c r="C557" s="350">
        <v>87133.0</v>
      </c>
      <c r="D557" s="320"/>
      <c r="E557" s="302"/>
    </row>
    <row r="558">
      <c r="A558" s="348" t="s">
        <v>685</v>
      </c>
      <c r="B558" s="364" t="s">
        <v>36</v>
      </c>
      <c r="C558" s="350">
        <v>73805.0</v>
      </c>
      <c r="D558" s="320"/>
      <c r="E558" s="302"/>
    </row>
    <row r="559">
      <c r="A559" s="348" t="s">
        <v>825</v>
      </c>
      <c r="B559" s="364" t="s">
        <v>36</v>
      </c>
      <c r="C559" s="350">
        <v>87759.0</v>
      </c>
      <c r="D559" s="320"/>
      <c r="E559" s="302"/>
    </row>
    <row r="560">
      <c r="A560" s="360" t="s">
        <v>522</v>
      </c>
      <c r="B560" s="364" t="s">
        <v>36</v>
      </c>
      <c r="C560" s="350">
        <v>85498.0</v>
      </c>
      <c r="D560" s="320"/>
      <c r="E560" s="302"/>
    </row>
    <row r="561">
      <c r="A561" s="366" t="s">
        <v>612</v>
      </c>
      <c r="B561" s="364" t="s">
        <v>36</v>
      </c>
      <c r="C561" s="350">
        <v>87709.0</v>
      </c>
      <c r="D561" s="320"/>
      <c r="E561" s="302"/>
    </row>
    <row r="562">
      <c r="A562" s="361" t="s">
        <v>172</v>
      </c>
      <c r="B562" s="364" t="s">
        <v>36</v>
      </c>
      <c r="C562" s="350">
        <v>86969.0</v>
      </c>
      <c r="D562" s="320"/>
      <c r="E562" s="302"/>
    </row>
    <row r="563">
      <c r="A563" s="367" t="s">
        <v>468</v>
      </c>
      <c r="B563" s="368" t="s">
        <v>36</v>
      </c>
      <c r="C563" s="357">
        <v>90297.0</v>
      </c>
      <c r="D563" s="324"/>
      <c r="E563" s="306"/>
    </row>
    <row r="565">
      <c r="A565" s="284" t="s">
        <v>3113</v>
      </c>
      <c r="B565" s="292" t="s">
        <v>3081</v>
      </c>
      <c r="C565" s="285" t="s">
        <v>2875</v>
      </c>
      <c r="D565" s="293" t="s">
        <v>3082</v>
      </c>
      <c r="E565" s="293" t="s">
        <v>3083</v>
      </c>
    </row>
    <row r="566">
      <c r="A566" s="369" t="s">
        <v>582</v>
      </c>
      <c r="B566" s="370" t="s">
        <v>56</v>
      </c>
      <c r="C566" s="370">
        <v>92698.0</v>
      </c>
      <c r="D566" s="317"/>
      <c r="E566" s="309"/>
    </row>
    <row r="567">
      <c r="A567" s="369" t="s">
        <v>502</v>
      </c>
      <c r="B567" s="370" t="s">
        <v>56</v>
      </c>
      <c r="C567" s="370">
        <v>90094.0</v>
      </c>
      <c r="D567" s="320"/>
      <c r="E567" s="302"/>
    </row>
    <row r="568">
      <c r="A568" s="371" t="s">
        <v>550</v>
      </c>
      <c r="B568" s="370" t="s">
        <v>44</v>
      </c>
      <c r="C568" s="370">
        <v>90023.0</v>
      </c>
      <c r="D568" s="320"/>
      <c r="E568" s="302"/>
    </row>
    <row r="569">
      <c r="A569" s="371" t="s">
        <v>183</v>
      </c>
      <c r="B569" s="370" t="s">
        <v>44</v>
      </c>
      <c r="C569" s="370">
        <v>95017.0</v>
      </c>
      <c r="D569" s="320"/>
      <c r="E569" s="302"/>
    </row>
    <row r="570">
      <c r="A570" s="372" t="s">
        <v>782</v>
      </c>
      <c r="B570" s="370" t="s">
        <v>44</v>
      </c>
      <c r="C570" s="370">
        <v>92323.0</v>
      </c>
      <c r="D570" s="320"/>
      <c r="E570" s="302"/>
    </row>
    <row r="571">
      <c r="A571" s="372" t="s">
        <v>640</v>
      </c>
      <c r="B571" s="370" t="s">
        <v>44</v>
      </c>
      <c r="C571" s="370">
        <v>92338.0</v>
      </c>
      <c r="D571" s="320"/>
      <c r="E571" s="302"/>
    </row>
    <row r="572">
      <c r="A572" s="373" t="s">
        <v>901</v>
      </c>
      <c r="B572" s="370" t="s">
        <v>44</v>
      </c>
      <c r="C572" s="370">
        <v>96150.0</v>
      </c>
      <c r="D572" s="320"/>
      <c r="E572" s="302"/>
    </row>
    <row r="573">
      <c r="A573" s="374" t="s">
        <v>508</v>
      </c>
      <c r="B573" s="370" t="s">
        <v>66</v>
      </c>
      <c r="C573" s="370">
        <v>88059.0</v>
      </c>
      <c r="D573" s="320"/>
      <c r="E573" s="302"/>
    </row>
    <row r="574">
      <c r="A574" s="374" t="s">
        <v>405</v>
      </c>
      <c r="B574" s="370" t="s">
        <v>66</v>
      </c>
      <c r="C574" s="370">
        <v>87042.0</v>
      </c>
      <c r="D574" s="320"/>
      <c r="E574" s="302"/>
    </row>
    <row r="575">
      <c r="A575" s="369" t="s">
        <v>516</v>
      </c>
      <c r="B575" s="370" t="s">
        <v>66</v>
      </c>
      <c r="C575" s="370">
        <v>89232.0</v>
      </c>
      <c r="D575" s="320"/>
      <c r="E575" s="302"/>
    </row>
    <row r="576">
      <c r="A576" s="375" t="s">
        <v>873</v>
      </c>
      <c r="B576" s="370" t="s">
        <v>36</v>
      </c>
      <c r="C576" s="376">
        <v>88863.0</v>
      </c>
      <c r="D576" s="320"/>
      <c r="E576" s="302"/>
    </row>
    <row r="577">
      <c r="A577" s="375" t="s">
        <v>895</v>
      </c>
      <c r="B577" s="370" t="s">
        <v>36</v>
      </c>
      <c r="C577" s="376">
        <v>85771.0</v>
      </c>
      <c r="D577" s="320"/>
      <c r="E577" s="302"/>
    </row>
    <row r="578">
      <c r="A578" s="375" t="s">
        <v>306</v>
      </c>
      <c r="B578" s="370" t="s">
        <v>36</v>
      </c>
      <c r="C578" s="376">
        <v>86720.0</v>
      </c>
      <c r="D578" s="320"/>
      <c r="E578" s="302"/>
    </row>
    <row r="579">
      <c r="A579" s="375" t="s">
        <v>580</v>
      </c>
      <c r="B579" s="370" t="s">
        <v>36</v>
      </c>
      <c r="C579" s="376">
        <v>86998.0</v>
      </c>
      <c r="D579" s="320"/>
      <c r="E579" s="302"/>
    </row>
    <row r="580">
      <c r="A580" s="375" t="s">
        <v>3114</v>
      </c>
      <c r="B580" s="370" t="s">
        <v>36</v>
      </c>
      <c r="C580" s="370">
        <v>85279.0</v>
      </c>
      <c r="D580" s="320"/>
      <c r="E580" s="302"/>
    </row>
    <row r="581">
      <c r="A581" s="377" t="s">
        <v>768</v>
      </c>
      <c r="B581" s="370" t="s">
        <v>36</v>
      </c>
      <c r="C581" s="370">
        <v>88795.0</v>
      </c>
      <c r="D581" s="320"/>
      <c r="E581" s="302"/>
    </row>
    <row r="582">
      <c r="A582" s="377" t="s">
        <v>697</v>
      </c>
      <c r="B582" s="370" t="s">
        <v>36</v>
      </c>
      <c r="C582" s="370">
        <v>86978.0</v>
      </c>
      <c r="D582" s="320"/>
      <c r="E582" s="302"/>
    </row>
    <row r="583">
      <c r="A583" s="375" t="s">
        <v>669</v>
      </c>
      <c r="B583" s="370" t="s">
        <v>36</v>
      </c>
      <c r="C583" s="370">
        <v>87123.0</v>
      </c>
      <c r="D583" s="320"/>
      <c r="E583" s="302"/>
    </row>
    <row r="584">
      <c r="A584" s="375" t="s">
        <v>447</v>
      </c>
      <c r="B584" s="370" t="s">
        <v>36</v>
      </c>
      <c r="C584" s="370">
        <v>87129.0</v>
      </c>
      <c r="D584" s="320"/>
      <c r="E584" s="302"/>
    </row>
    <row r="585">
      <c r="A585" s="376" t="s">
        <v>130</v>
      </c>
      <c r="B585" s="370" t="s">
        <v>40</v>
      </c>
      <c r="C585" s="370">
        <v>77138.0</v>
      </c>
      <c r="D585" s="324"/>
      <c r="E585" s="306"/>
    </row>
  </sheetData>
  <dataValidations>
    <dataValidation type="list" allowBlank="1" showErrorMessage="1" sqref="B471:B496">
      <formula1>"Studio Day Moscou 30x20,Studio Day Berlim 24x34,Essencial Book 20x20,Family Day Moscou 30X20,Family Day Berlim 20X20,Bali 20X20,Prime Book 30X20,Diamond Book 24X34,A Definir,30X22"</formula1>
    </dataValidation>
    <dataValidation type="list" allowBlank="1" showErrorMessage="1" sqref="B447:B467">
      <formula1>"Studio Day Moscou 30x20,Studio Day Berlim 24x34,Essencial Book 20x20,Family Day Moscou 30X20,Family Day Berlim 20X20,Bali 20X20,Prime Book 30X20,Diamond Book 24X34,A Definir"</formula1>
    </dataValidation>
    <dataValidation type="list" allowBlank="1" showErrorMessage="1" sqref="B420:B443">
      <formula1>"Studio Day Moscou 30x20,Studio Day Berlim 24x34,Essencial Book 20x20,Family Day Moscou 30X20,Family Day Berlim 20X20,Bali 20X20,Prime Book 30X20,Diamond Book 24X34"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7.13"/>
    <col customWidth="1" min="3" max="4" width="17.13"/>
    <col customWidth="1" min="5" max="5" width="19.38"/>
    <col customWidth="1" min="6" max="6" width="16.63"/>
    <col customWidth="1" min="7" max="7" width="16.38"/>
    <col customWidth="1" min="8" max="8" width="21.0"/>
    <col customWidth="1" min="9" max="9" width="12.63"/>
    <col customWidth="1" min="10" max="10" width="28.75"/>
    <col customWidth="1" min="11" max="11" width="10.75"/>
    <col customWidth="1" min="12" max="12" width="18.5"/>
    <col customWidth="1" min="13" max="13" width="24.88"/>
    <col customWidth="1" min="14" max="15" width="25.88"/>
    <col customWidth="1" min="16" max="16" width="16.5"/>
    <col customWidth="1" min="18" max="18" width="15.88"/>
    <col customWidth="1" min="19" max="19" width="41.63"/>
    <col customWidth="1" min="20" max="20" width="20.13"/>
    <col customWidth="1" min="21" max="21" width="27.75"/>
  </cols>
  <sheetData>
    <row r="2">
      <c r="A2" s="378" t="s">
        <v>3115</v>
      </c>
      <c r="M2" s="379" t="s">
        <v>3116</v>
      </c>
    </row>
    <row r="3" ht="22.5" customHeight="1">
      <c r="A3" s="380" t="s">
        <v>3117</v>
      </c>
      <c r="B3" s="380" t="s">
        <v>3118</v>
      </c>
      <c r="C3" s="380" t="s">
        <v>3119</v>
      </c>
      <c r="D3" s="380" t="s">
        <v>3120</v>
      </c>
      <c r="E3" s="380" t="s">
        <v>3121</v>
      </c>
      <c r="F3" s="380" t="s">
        <v>3122</v>
      </c>
      <c r="G3" s="380" t="s">
        <v>3123</v>
      </c>
      <c r="H3" s="380" t="s">
        <v>3124</v>
      </c>
      <c r="I3" s="380" t="s">
        <v>3125</v>
      </c>
      <c r="J3" s="380" t="s">
        <v>3126</v>
      </c>
      <c r="K3" s="380" t="s">
        <v>3127</v>
      </c>
      <c r="L3" s="381" t="s">
        <v>3128</v>
      </c>
      <c r="M3" s="382" t="s">
        <v>3129</v>
      </c>
      <c r="N3" s="382" t="s">
        <v>3130</v>
      </c>
      <c r="O3" s="382" t="s">
        <v>3131</v>
      </c>
      <c r="P3" s="382" t="s">
        <v>3132</v>
      </c>
      <c r="Q3" s="382" t="s">
        <v>3133</v>
      </c>
      <c r="R3" s="382" t="s">
        <v>3134</v>
      </c>
      <c r="S3" s="382" t="s">
        <v>3135</v>
      </c>
      <c r="U3" s="383" t="s">
        <v>3136</v>
      </c>
    </row>
    <row r="4" ht="22.5" customHeight="1">
      <c r="A4" s="384" t="s">
        <v>2154</v>
      </c>
      <c r="B4" s="384" t="s">
        <v>3137</v>
      </c>
      <c r="C4" s="384"/>
      <c r="D4" s="385"/>
      <c r="E4" s="384">
        <v>42.0</v>
      </c>
      <c r="F4" s="384">
        <v>68.0</v>
      </c>
      <c r="G4" s="384"/>
      <c r="H4" s="384">
        <f t="shared" ref="H4:H25" si="1">SUM(C4:G4)</f>
        <v>110</v>
      </c>
      <c r="I4" s="384" t="s">
        <v>3136</v>
      </c>
      <c r="J4" s="386">
        <v>46174.0</v>
      </c>
      <c r="K4" s="386">
        <v>46236.0</v>
      </c>
      <c r="L4" s="387"/>
      <c r="M4" s="388">
        <f t="shared" ref="M4:M17" si="2">C4*37</f>
        <v>0</v>
      </c>
      <c r="N4" s="388">
        <f t="shared" ref="N4:N17" si="3">D4*75</f>
        <v>0</v>
      </c>
      <c r="O4" s="388">
        <f t="shared" ref="O4:O25" si="4">E4*141.35</f>
        <v>5936.7</v>
      </c>
      <c r="P4" s="388">
        <f t="shared" ref="P4:P25" si="5">F4*59.4</f>
        <v>4039.2</v>
      </c>
      <c r="Q4" s="388">
        <f t="shared" ref="Q4:Q25" si="6">G4*165</f>
        <v>0</v>
      </c>
      <c r="R4" s="388">
        <f t="shared" ref="R4:R25" si="7">SUM(M4:Q4)</f>
        <v>9975.9</v>
      </c>
      <c r="S4" s="389" t="s">
        <v>3138</v>
      </c>
      <c r="T4" s="390"/>
      <c r="U4" s="391" t="s">
        <v>3139</v>
      </c>
      <c r="V4" s="392"/>
      <c r="W4" s="392"/>
      <c r="X4" s="392"/>
      <c r="Y4" s="392"/>
      <c r="Z4" s="392"/>
      <c r="AA4" s="392"/>
    </row>
    <row r="5" ht="22.5" customHeight="1">
      <c r="A5" s="384" t="s">
        <v>2154</v>
      </c>
      <c r="B5" s="384" t="s">
        <v>3140</v>
      </c>
      <c r="C5" s="384"/>
      <c r="D5" s="385"/>
      <c r="E5" s="384">
        <v>9.0</v>
      </c>
      <c r="F5" s="384">
        <v>2.0</v>
      </c>
      <c r="G5" s="384"/>
      <c r="H5" s="384">
        <f t="shared" si="1"/>
        <v>11</v>
      </c>
      <c r="I5" s="384" t="s">
        <v>3136</v>
      </c>
      <c r="J5" s="386">
        <v>46175.0</v>
      </c>
      <c r="K5" s="386">
        <v>46237.0</v>
      </c>
      <c r="L5" s="387"/>
      <c r="M5" s="388">
        <f t="shared" si="2"/>
        <v>0</v>
      </c>
      <c r="N5" s="388">
        <f t="shared" si="3"/>
        <v>0</v>
      </c>
      <c r="O5" s="388">
        <f t="shared" si="4"/>
        <v>1272.15</v>
      </c>
      <c r="P5" s="388">
        <f t="shared" si="5"/>
        <v>118.8</v>
      </c>
      <c r="Q5" s="388">
        <f t="shared" si="6"/>
        <v>0</v>
      </c>
      <c r="R5" s="388">
        <f t="shared" si="7"/>
        <v>1390.95</v>
      </c>
      <c r="S5" s="389" t="s">
        <v>3141</v>
      </c>
      <c r="T5" s="392"/>
      <c r="U5" s="391" t="s">
        <v>3142</v>
      </c>
      <c r="V5" s="392"/>
      <c r="W5" s="392"/>
      <c r="X5" s="390"/>
      <c r="Y5" s="392"/>
      <c r="Z5" s="392"/>
      <c r="AA5" s="392"/>
    </row>
    <row r="6" ht="22.5" customHeight="1">
      <c r="A6" s="384" t="s">
        <v>2154</v>
      </c>
      <c r="B6" s="384" t="s">
        <v>3143</v>
      </c>
      <c r="C6" s="384"/>
      <c r="D6" s="385"/>
      <c r="E6" s="384">
        <v>29.0</v>
      </c>
      <c r="F6" s="384">
        <v>29.0</v>
      </c>
      <c r="G6" s="384"/>
      <c r="H6" s="384">
        <f t="shared" si="1"/>
        <v>58</v>
      </c>
      <c r="I6" s="384" t="s">
        <v>3136</v>
      </c>
      <c r="J6" s="386">
        <v>46176.0</v>
      </c>
      <c r="K6" s="386">
        <v>46238.0</v>
      </c>
      <c r="L6" s="387"/>
      <c r="M6" s="388">
        <f t="shared" si="2"/>
        <v>0</v>
      </c>
      <c r="N6" s="388">
        <f t="shared" si="3"/>
        <v>0</v>
      </c>
      <c r="O6" s="388">
        <f t="shared" si="4"/>
        <v>4099.15</v>
      </c>
      <c r="P6" s="388">
        <f t="shared" si="5"/>
        <v>1722.6</v>
      </c>
      <c r="Q6" s="388">
        <f t="shared" si="6"/>
        <v>0</v>
      </c>
      <c r="R6" s="388">
        <f t="shared" si="7"/>
        <v>5821.75</v>
      </c>
      <c r="S6" s="389" t="s">
        <v>3144</v>
      </c>
      <c r="T6" s="392"/>
      <c r="U6" s="389"/>
      <c r="V6" s="392"/>
      <c r="W6" s="392"/>
      <c r="X6" s="392"/>
      <c r="Y6" s="392"/>
      <c r="Z6" s="392"/>
      <c r="AA6" s="392"/>
    </row>
    <row r="7" ht="22.5" customHeight="1">
      <c r="A7" s="384" t="s">
        <v>2154</v>
      </c>
      <c r="B7" s="384" t="s">
        <v>3145</v>
      </c>
      <c r="C7" s="384"/>
      <c r="D7" s="393">
        <v>6.0</v>
      </c>
      <c r="E7" s="384"/>
      <c r="F7" s="384"/>
      <c r="G7" s="384">
        <v>4.0</v>
      </c>
      <c r="H7" s="384">
        <f t="shared" si="1"/>
        <v>10</v>
      </c>
      <c r="I7" s="384" t="s">
        <v>2954</v>
      </c>
      <c r="J7" s="386">
        <v>46177.0</v>
      </c>
      <c r="K7" s="386">
        <v>46239.0</v>
      </c>
      <c r="L7" s="387"/>
      <c r="M7" s="388">
        <f t="shared" si="2"/>
        <v>0</v>
      </c>
      <c r="N7" s="388">
        <f t="shared" si="3"/>
        <v>450</v>
      </c>
      <c r="O7" s="388">
        <f t="shared" si="4"/>
        <v>0</v>
      </c>
      <c r="P7" s="388">
        <f t="shared" si="5"/>
        <v>0</v>
      </c>
      <c r="Q7" s="388">
        <f t="shared" si="6"/>
        <v>660</v>
      </c>
      <c r="R7" s="388">
        <f t="shared" si="7"/>
        <v>1110</v>
      </c>
      <c r="S7" s="389" t="s">
        <v>3146</v>
      </c>
      <c r="T7" s="392"/>
      <c r="U7" s="394" t="s">
        <v>2954</v>
      </c>
      <c r="V7" s="392"/>
      <c r="W7" s="392"/>
      <c r="X7" s="392"/>
      <c r="Y7" s="392"/>
      <c r="Z7" s="392"/>
      <c r="AA7" s="392"/>
    </row>
    <row r="8" ht="22.5" customHeight="1">
      <c r="A8" s="384" t="s">
        <v>2154</v>
      </c>
      <c r="B8" s="384" t="s">
        <v>3147</v>
      </c>
      <c r="C8" s="384">
        <v>39.0</v>
      </c>
      <c r="D8" s="385"/>
      <c r="E8" s="384"/>
      <c r="F8" s="384"/>
      <c r="G8" s="384"/>
      <c r="H8" s="384">
        <f t="shared" si="1"/>
        <v>39</v>
      </c>
      <c r="I8" s="384" t="s">
        <v>3148</v>
      </c>
      <c r="J8" s="386">
        <v>46178.0</v>
      </c>
      <c r="K8" s="386">
        <v>46240.0</v>
      </c>
      <c r="L8" s="387"/>
      <c r="M8" s="388">
        <f t="shared" si="2"/>
        <v>1443</v>
      </c>
      <c r="N8" s="388">
        <f t="shared" si="3"/>
        <v>0</v>
      </c>
      <c r="O8" s="388">
        <f t="shared" si="4"/>
        <v>0</v>
      </c>
      <c r="P8" s="388">
        <f t="shared" si="5"/>
        <v>0</v>
      </c>
      <c r="Q8" s="388">
        <f t="shared" si="6"/>
        <v>0</v>
      </c>
      <c r="R8" s="388">
        <f t="shared" si="7"/>
        <v>1443</v>
      </c>
      <c r="S8" s="395"/>
      <c r="T8" s="392"/>
      <c r="U8" s="391" t="s">
        <v>3149</v>
      </c>
      <c r="V8" s="392"/>
      <c r="W8" s="392"/>
      <c r="X8" s="392"/>
      <c r="Y8" s="392"/>
      <c r="Z8" s="392"/>
      <c r="AA8" s="392"/>
    </row>
    <row r="9" ht="22.5" customHeight="1">
      <c r="A9" s="384" t="s">
        <v>2154</v>
      </c>
      <c r="B9" s="384" t="s">
        <v>3150</v>
      </c>
      <c r="C9" s="384"/>
      <c r="D9" s="385"/>
      <c r="E9" s="384">
        <v>45.0</v>
      </c>
      <c r="F9" s="384">
        <v>31.0</v>
      </c>
      <c r="G9" s="384"/>
      <c r="H9" s="384">
        <f t="shared" si="1"/>
        <v>76</v>
      </c>
      <c r="I9" s="384" t="s">
        <v>3136</v>
      </c>
      <c r="J9" s="386">
        <v>46179.0</v>
      </c>
      <c r="K9" s="386">
        <v>46241.0</v>
      </c>
      <c r="L9" s="387"/>
      <c r="M9" s="388">
        <f t="shared" si="2"/>
        <v>0</v>
      </c>
      <c r="N9" s="388">
        <f t="shared" si="3"/>
        <v>0</v>
      </c>
      <c r="O9" s="388">
        <f t="shared" si="4"/>
        <v>6360.75</v>
      </c>
      <c r="P9" s="388">
        <f t="shared" si="5"/>
        <v>1841.4</v>
      </c>
      <c r="Q9" s="388">
        <f t="shared" si="6"/>
        <v>0</v>
      </c>
      <c r="R9" s="388">
        <f t="shared" si="7"/>
        <v>8202.15</v>
      </c>
      <c r="S9" s="389" t="s">
        <v>3151</v>
      </c>
      <c r="T9" s="392"/>
      <c r="U9" s="391" t="s">
        <v>3152</v>
      </c>
      <c r="V9" s="392"/>
      <c r="W9" s="392"/>
      <c r="X9" s="392"/>
      <c r="Y9" s="392"/>
      <c r="Z9" s="392"/>
      <c r="AA9" s="392"/>
    </row>
    <row r="10" ht="22.5" customHeight="1">
      <c r="A10" s="384" t="s">
        <v>2154</v>
      </c>
      <c r="B10" s="384" t="s">
        <v>3153</v>
      </c>
      <c r="C10" s="384"/>
      <c r="D10" s="385"/>
      <c r="E10" s="384">
        <v>11.0</v>
      </c>
      <c r="F10" s="384">
        <v>13.0</v>
      </c>
      <c r="G10" s="384">
        <v>12.0</v>
      </c>
      <c r="H10" s="384">
        <f t="shared" si="1"/>
        <v>36</v>
      </c>
      <c r="I10" s="384" t="s">
        <v>2954</v>
      </c>
      <c r="J10" s="386">
        <v>46180.0</v>
      </c>
      <c r="K10" s="386">
        <v>46242.0</v>
      </c>
      <c r="L10" s="387"/>
      <c r="M10" s="388">
        <f t="shared" si="2"/>
        <v>0</v>
      </c>
      <c r="N10" s="388">
        <f t="shared" si="3"/>
        <v>0</v>
      </c>
      <c r="O10" s="388">
        <f t="shared" si="4"/>
        <v>1554.85</v>
      </c>
      <c r="P10" s="388">
        <f t="shared" si="5"/>
        <v>772.2</v>
      </c>
      <c r="Q10" s="388">
        <f t="shared" si="6"/>
        <v>1980</v>
      </c>
      <c r="R10" s="388">
        <f t="shared" si="7"/>
        <v>4307.05</v>
      </c>
      <c r="S10" s="395"/>
      <c r="T10" s="392"/>
      <c r="U10" s="391" t="s">
        <v>3154</v>
      </c>
      <c r="V10" s="392"/>
      <c r="W10" s="392"/>
      <c r="X10" s="392"/>
      <c r="Y10" s="392"/>
      <c r="Z10" s="392"/>
      <c r="AA10" s="392"/>
    </row>
    <row r="11" ht="22.5" customHeight="1">
      <c r="A11" s="384" t="s">
        <v>2154</v>
      </c>
      <c r="B11" s="384" t="s">
        <v>3155</v>
      </c>
      <c r="C11" s="384"/>
      <c r="D11" s="384"/>
      <c r="E11" s="384">
        <v>23.0</v>
      </c>
      <c r="F11" s="384"/>
      <c r="G11" s="384"/>
      <c r="H11" s="384">
        <f t="shared" si="1"/>
        <v>23</v>
      </c>
      <c r="I11" s="384" t="s">
        <v>2954</v>
      </c>
      <c r="J11" s="386">
        <v>46210.0</v>
      </c>
      <c r="K11" s="386">
        <v>46240.0</v>
      </c>
      <c r="L11" s="387"/>
      <c r="M11" s="388">
        <f t="shared" si="2"/>
        <v>0</v>
      </c>
      <c r="N11" s="388">
        <f t="shared" si="3"/>
        <v>0</v>
      </c>
      <c r="O11" s="388">
        <f t="shared" si="4"/>
        <v>3251.05</v>
      </c>
      <c r="P11" s="388">
        <f t="shared" si="5"/>
        <v>0</v>
      </c>
      <c r="Q11" s="388">
        <f t="shared" si="6"/>
        <v>0</v>
      </c>
      <c r="R11" s="388">
        <f t="shared" si="7"/>
        <v>3251.05</v>
      </c>
      <c r="S11" s="395"/>
      <c r="T11" s="392"/>
      <c r="U11" s="391" t="s">
        <v>3156</v>
      </c>
      <c r="V11" s="392"/>
      <c r="W11" s="392"/>
      <c r="X11" s="392"/>
      <c r="Y11" s="392"/>
      <c r="Z11" s="392"/>
      <c r="AA11" s="392"/>
    </row>
    <row r="12" ht="22.5" customHeight="1">
      <c r="A12" s="384" t="s">
        <v>2154</v>
      </c>
      <c r="B12" s="384" t="s">
        <v>3157</v>
      </c>
      <c r="C12" s="384">
        <v>23.0</v>
      </c>
      <c r="D12" s="384"/>
      <c r="E12" s="384"/>
      <c r="F12" s="384"/>
      <c r="G12" s="384"/>
      <c r="H12" s="384">
        <f t="shared" si="1"/>
        <v>23</v>
      </c>
      <c r="I12" s="384" t="s">
        <v>2954</v>
      </c>
      <c r="J12" s="386">
        <v>46211.0</v>
      </c>
      <c r="K12" s="386">
        <v>46241.0</v>
      </c>
      <c r="L12" s="387"/>
      <c r="M12" s="388">
        <f t="shared" si="2"/>
        <v>851</v>
      </c>
      <c r="N12" s="388">
        <f t="shared" si="3"/>
        <v>0</v>
      </c>
      <c r="O12" s="388">
        <f t="shared" si="4"/>
        <v>0</v>
      </c>
      <c r="P12" s="388">
        <f t="shared" si="5"/>
        <v>0</v>
      </c>
      <c r="Q12" s="388">
        <f t="shared" si="6"/>
        <v>0</v>
      </c>
      <c r="R12" s="388">
        <f t="shared" si="7"/>
        <v>851</v>
      </c>
      <c r="S12" s="395"/>
      <c r="T12" s="392"/>
      <c r="U12" s="391" t="s">
        <v>3158</v>
      </c>
      <c r="V12" s="392"/>
      <c r="W12" s="392"/>
      <c r="X12" s="392"/>
      <c r="Y12" s="392"/>
      <c r="Z12" s="392"/>
      <c r="AA12" s="392"/>
    </row>
    <row r="13" ht="22.5" customHeight="1">
      <c r="A13" s="384" t="s">
        <v>2154</v>
      </c>
      <c r="B13" s="384" t="s">
        <v>3159</v>
      </c>
      <c r="C13" s="384">
        <v>17.0</v>
      </c>
      <c r="D13" s="384">
        <v>14.0</v>
      </c>
      <c r="E13" s="384">
        <v>17.0</v>
      </c>
      <c r="F13" s="384">
        <v>15.0</v>
      </c>
      <c r="G13" s="384">
        <v>14.0</v>
      </c>
      <c r="H13" s="384">
        <f t="shared" si="1"/>
        <v>77</v>
      </c>
      <c r="I13" s="384" t="s">
        <v>2954</v>
      </c>
      <c r="J13" s="386">
        <v>46212.0</v>
      </c>
      <c r="K13" s="386">
        <f t="shared" ref="K13:K15" si="8">J13+45</f>
        <v>46257</v>
      </c>
      <c r="L13" s="387"/>
      <c r="M13" s="388">
        <f t="shared" si="2"/>
        <v>629</v>
      </c>
      <c r="N13" s="388">
        <f t="shared" si="3"/>
        <v>1050</v>
      </c>
      <c r="O13" s="388">
        <f t="shared" si="4"/>
        <v>2402.95</v>
      </c>
      <c r="P13" s="388">
        <f t="shared" si="5"/>
        <v>891</v>
      </c>
      <c r="Q13" s="388">
        <f t="shared" si="6"/>
        <v>2310</v>
      </c>
      <c r="R13" s="388">
        <f t="shared" si="7"/>
        <v>7282.95</v>
      </c>
      <c r="S13" s="395"/>
      <c r="T13" s="392"/>
      <c r="U13" s="392"/>
      <c r="V13" s="392"/>
      <c r="W13" s="392"/>
      <c r="X13" s="392"/>
      <c r="Y13" s="392"/>
      <c r="Z13" s="392"/>
      <c r="AA13" s="392"/>
    </row>
    <row r="14" ht="22.5" customHeight="1">
      <c r="A14" s="384" t="s">
        <v>2154</v>
      </c>
      <c r="B14" s="384" t="s">
        <v>3160</v>
      </c>
      <c r="C14" s="384">
        <v>9.0</v>
      </c>
      <c r="D14" s="384">
        <v>3.0</v>
      </c>
      <c r="E14" s="384">
        <v>9.0</v>
      </c>
      <c r="F14" s="384">
        <v>4.0</v>
      </c>
      <c r="G14" s="384">
        <v>3.0</v>
      </c>
      <c r="H14" s="384">
        <f t="shared" si="1"/>
        <v>28</v>
      </c>
      <c r="I14" s="384" t="s">
        <v>2954</v>
      </c>
      <c r="J14" s="386">
        <v>46212.0</v>
      </c>
      <c r="K14" s="386">
        <f t="shared" si="8"/>
        <v>46257</v>
      </c>
      <c r="L14" s="396" t="s">
        <v>3161</v>
      </c>
      <c r="M14" s="388">
        <f t="shared" si="2"/>
        <v>333</v>
      </c>
      <c r="N14" s="388">
        <f t="shared" si="3"/>
        <v>225</v>
      </c>
      <c r="O14" s="388">
        <f t="shared" si="4"/>
        <v>1272.15</v>
      </c>
      <c r="P14" s="388">
        <f t="shared" si="5"/>
        <v>237.6</v>
      </c>
      <c r="Q14" s="388">
        <f t="shared" si="6"/>
        <v>495</v>
      </c>
      <c r="R14" s="388">
        <f t="shared" si="7"/>
        <v>2562.75</v>
      </c>
      <c r="S14" s="395"/>
      <c r="T14" s="392"/>
      <c r="U14" s="392"/>
      <c r="V14" s="392"/>
      <c r="W14" s="392"/>
      <c r="X14" s="392"/>
      <c r="Y14" s="392"/>
      <c r="Z14" s="392"/>
      <c r="AA14" s="392"/>
    </row>
    <row r="15" ht="22.5" customHeight="1">
      <c r="A15" s="384" t="s">
        <v>2154</v>
      </c>
      <c r="B15" s="384" t="s">
        <v>3162</v>
      </c>
      <c r="C15" s="384">
        <v>15.0</v>
      </c>
      <c r="D15" s="384">
        <v>8.0</v>
      </c>
      <c r="E15" s="384">
        <v>15.0</v>
      </c>
      <c r="F15" s="384">
        <v>9.0</v>
      </c>
      <c r="G15" s="384">
        <v>8.0</v>
      </c>
      <c r="H15" s="384">
        <f t="shared" si="1"/>
        <v>55</v>
      </c>
      <c r="I15" s="384" t="s">
        <v>2954</v>
      </c>
      <c r="J15" s="386">
        <v>46224.0</v>
      </c>
      <c r="K15" s="386">
        <f t="shared" si="8"/>
        <v>46269</v>
      </c>
      <c r="L15" s="387"/>
      <c r="M15" s="388">
        <f t="shared" si="2"/>
        <v>555</v>
      </c>
      <c r="N15" s="388">
        <f t="shared" si="3"/>
        <v>600</v>
      </c>
      <c r="O15" s="388">
        <f t="shared" si="4"/>
        <v>2120.25</v>
      </c>
      <c r="P15" s="388">
        <f t="shared" si="5"/>
        <v>534.6</v>
      </c>
      <c r="Q15" s="388">
        <f t="shared" si="6"/>
        <v>1320</v>
      </c>
      <c r="R15" s="388">
        <f t="shared" si="7"/>
        <v>5129.85</v>
      </c>
      <c r="S15" s="395"/>
      <c r="T15" s="392"/>
      <c r="U15" s="392"/>
      <c r="V15" s="392"/>
      <c r="W15" s="392"/>
      <c r="X15" s="392"/>
      <c r="Y15" s="392"/>
      <c r="Z15" s="392"/>
      <c r="AA15" s="392"/>
    </row>
    <row r="16" ht="22.5" customHeight="1">
      <c r="A16" s="397" t="s">
        <v>7</v>
      </c>
      <c r="B16" s="397" t="s">
        <v>3163</v>
      </c>
      <c r="C16" s="397">
        <v>8.0</v>
      </c>
      <c r="D16" s="397"/>
      <c r="E16" s="397">
        <v>8.0</v>
      </c>
      <c r="F16" s="397">
        <v>7.0</v>
      </c>
      <c r="G16" s="397"/>
      <c r="H16" s="397">
        <f t="shared" si="1"/>
        <v>23</v>
      </c>
      <c r="I16" s="397" t="s">
        <v>3136</v>
      </c>
      <c r="J16" s="398">
        <v>46225.0</v>
      </c>
      <c r="K16" s="398">
        <v>46243.0</v>
      </c>
      <c r="L16" s="399"/>
      <c r="M16" s="388">
        <f t="shared" si="2"/>
        <v>296</v>
      </c>
      <c r="N16" s="388">
        <f t="shared" si="3"/>
        <v>0</v>
      </c>
      <c r="O16" s="388">
        <f t="shared" si="4"/>
        <v>1130.8</v>
      </c>
      <c r="P16" s="388">
        <f t="shared" si="5"/>
        <v>415.8</v>
      </c>
      <c r="Q16" s="388">
        <f t="shared" si="6"/>
        <v>0</v>
      </c>
      <c r="R16" s="388">
        <f t="shared" si="7"/>
        <v>1842.6</v>
      </c>
      <c r="S16" s="400"/>
      <c r="T16" s="401"/>
      <c r="U16" s="401"/>
      <c r="V16" s="401"/>
      <c r="W16" s="401"/>
      <c r="X16" s="401"/>
      <c r="Y16" s="401"/>
      <c r="Z16" s="401"/>
      <c r="AA16" s="401"/>
    </row>
    <row r="17" ht="22.5" customHeight="1">
      <c r="A17" s="397" t="s">
        <v>7</v>
      </c>
      <c r="B17" s="397" t="s">
        <v>3164</v>
      </c>
      <c r="C17" s="397"/>
      <c r="D17" s="397"/>
      <c r="E17" s="397">
        <v>8.0</v>
      </c>
      <c r="F17" s="397">
        <v>18.0</v>
      </c>
      <c r="G17" s="397"/>
      <c r="H17" s="397">
        <f t="shared" si="1"/>
        <v>26</v>
      </c>
      <c r="I17" s="397" t="s">
        <v>3136</v>
      </c>
      <c r="J17" s="398">
        <v>46241.0</v>
      </c>
      <c r="K17" s="398">
        <v>46256.0</v>
      </c>
      <c r="L17" s="399"/>
      <c r="M17" s="388">
        <f t="shared" si="2"/>
        <v>0</v>
      </c>
      <c r="N17" s="388">
        <f t="shared" si="3"/>
        <v>0</v>
      </c>
      <c r="O17" s="388">
        <f t="shared" si="4"/>
        <v>1130.8</v>
      </c>
      <c r="P17" s="388">
        <f t="shared" si="5"/>
        <v>1069.2</v>
      </c>
      <c r="Q17" s="388">
        <f t="shared" si="6"/>
        <v>0</v>
      </c>
      <c r="R17" s="388">
        <f t="shared" si="7"/>
        <v>2200</v>
      </c>
      <c r="S17" s="402" t="s">
        <v>3165</v>
      </c>
      <c r="T17" s="401"/>
      <c r="U17" s="401"/>
      <c r="V17" s="401"/>
      <c r="W17" s="401"/>
      <c r="X17" s="401"/>
      <c r="Y17" s="401"/>
      <c r="Z17" s="401"/>
      <c r="AA17" s="401"/>
    </row>
    <row r="18" ht="22.5" customHeight="1">
      <c r="A18" s="384" t="s">
        <v>2154</v>
      </c>
      <c r="B18" s="403" t="s">
        <v>3166</v>
      </c>
      <c r="C18" s="404" t="s">
        <v>3167</v>
      </c>
      <c r="D18" s="403">
        <v>10.0</v>
      </c>
      <c r="E18" s="403">
        <v>9.0</v>
      </c>
      <c r="F18" s="403">
        <v>13.0</v>
      </c>
      <c r="G18" s="403">
        <v>10.0</v>
      </c>
      <c r="H18" s="405">
        <f t="shared" si="1"/>
        <v>42</v>
      </c>
      <c r="I18" s="403" t="s">
        <v>2954</v>
      </c>
      <c r="J18" s="406">
        <v>46235.0</v>
      </c>
      <c r="K18" s="407">
        <f t="shared" ref="K18:K25" si="9">J18+45</f>
        <v>46280</v>
      </c>
      <c r="L18" s="408"/>
      <c r="M18" s="409">
        <f>C18*37</f>
        <v>333</v>
      </c>
      <c r="N18" s="409">
        <f>D18*75</f>
        <v>750</v>
      </c>
      <c r="O18" s="409">
        <f t="shared" si="4"/>
        <v>1272.15</v>
      </c>
      <c r="P18" s="388">
        <f t="shared" si="5"/>
        <v>772.2</v>
      </c>
      <c r="Q18" s="388">
        <f t="shared" si="6"/>
        <v>1650</v>
      </c>
      <c r="R18" s="388">
        <f t="shared" si="7"/>
        <v>4777.35</v>
      </c>
      <c r="S18" s="395"/>
      <c r="T18" s="392"/>
      <c r="U18" s="392"/>
      <c r="V18" s="392"/>
      <c r="W18" s="392"/>
      <c r="X18" s="392"/>
      <c r="Y18" s="392"/>
      <c r="Z18" s="392"/>
      <c r="AA18" s="392"/>
    </row>
    <row r="19">
      <c r="A19" s="410" t="s">
        <v>2154</v>
      </c>
      <c r="B19" s="411" t="s">
        <v>3168</v>
      </c>
      <c r="C19" s="412">
        <v>15.0</v>
      </c>
      <c r="D19" s="411">
        <v>9.0</v>
      </c>
      <c r="E19" s="412">
        <v>15.0</v>
      </c>
      <c r="F19" s="411">
        <v>10.0</v>
      </c>
      <c r="G19" s="411">
        <v>9.0</v>
      </c>
      <c r="H19" s="412">
        <f t="shared" si="1"/>
        <v>58</v>
      </c>
      <c r="I19" s="412" t="s">
        <v>2954</v>
      </c>
      <c r="J19" s="413">
        <v>46253.0</v>
      </c>
      <c r="K19" s="414">
        <f t="shared" si="9"/>
        <v>46298</v>
      </c>
      <c r="L19" s="415"/>
      <c r="M19" s="416">
        <f t="shared" ref="M19:M25" si="10">C19*37</f>
        <v>555</v>
      </c>
      <c r="N19" s="416">
        <f t="shared" ref="N19:N25" si="11">D19*75</f>
        <v>675</v>
      </c>
      <c r="O19" s="416">
        <f t="shared" si="4"/>
        <v>2120.25</v>
      </c>
      <c r="P19" s="416">
        <f t="shared" si="5"/>
        <v>594</v>
      </c>
      <c r="Q19" s="416">
        <f t="shared" si="6"/>
        <v>1485</v>
      </c>
      <c r="R19" s="416">
        <f t="shared" si="7"/>
        <v>5429.25</v>
      </c>
      <c r="S19" s="417"/>
      <c r="T19" s="418"/>
      <c r="U19" s="418"/>
      <c r="V19" s="418"/>
      <c r="W19" s="418"/>
      <c r="X19" s="418"/>
      <c r="Y19" s="418"/>
      <c r="Z19" s="418"/>
      <c r="AA19" s="418"/>
    </row>
    <row r="20">
      <c r="A20" s="419" t="s">
        <v>7</v>
      </c>
      <c r="B20" s="411" t="s">
        <v>3169</v>
      </c>
      <c r="C20" s="411">
        <v>19.0</v>
      </c>
      <c r="D20" s="411">
        <v>12.0</v>
      </c>
      <c r="E20" s="411">
        <v>19.0</v>
      </c>
      <c r="F20" s="411">
        <v>16.0</v>
      </c>
      <c r="G20" s="411">
        <v>12.0</v>
      </c>
      <c r="H20" s="412">
        <f t="shared" si="1"/>
        <v>78</v>
      </c>
      <c r="I20" s="412" t="s">
        <v>2954</v>
      </c>
      <c r="J20" s="413">
        <v>46272.0</v>
      </c>
      <c r="K20" s="414">
        <f t="shared" si="9"/>
        <v>46317</v>
      </c>
      <c r="L20" s="415"/>
      <c r="M20" s="416">
        <f t="shared" si="10"/>
        <v>703</v>
      </c>
      <c r="N20" s="416">
        <f t="shared" si="11"/>
        <v>900</v>
      </c>
      <c r="O20" s="416">
        <f t="shared" si="4"/>
        <v>2685.65</v>
      </c>
      <c r="P20" s="416">
        <f t="shared" si="5"/>
        <v>950.4</v>
      </c>
      <c r="Q20" s="416">
        <f t="shared" si="6"/>
        <v>1980</v>
      </c>
      <c r="R20" s="416">
        <f t="shared" si="7"/>
        <v>7219.05</v>
      </c>
      <c r="S20" s="417"/>
      <c r="T20" s="392"/>
      <c r="U20" s="392"/>
      <c r="V20" s="392"/>
      <c r="W20" s="392"/>
      <c r="X20" s="392"/>
      <c r="Y20" s="392"/>
      <c r="Z20" s="392"/>
      <c r="AA20" s="392"/>
    </row>
    <row r="21">
      <c r="A21" s="419" t="s">
        <v>7</v>
      </c>
      <c r="B21" s="411" t="s">
        <v>3170</v>
      </c>
      <c r="C21" s="411">
        <v>15.0</v>
      </c>
      <c r="D21" s="411">
        <v>5.0</v>
      </c>
      <c r="E21" s="411">
        <v>15.0</v>
      </c>
      <c r="F21" s="411">
        <v>11.0</v>
      </c>
      <c r="G21" s="411">
        <v>5.0</v>
      </c>
      <c r="H21" s="412">
        <f t="shared" si="1"/>
        <v>51</v>
      </c>
      <c r="I21" s="412" t="s">
        <v>2954</v>
      </c>
      <c r="J21" s="413">
        <v>46274.0</v>
      </c>
      <c r="K21" s="414">
        <f t="shared" si="9"/>
        <v>46319</v>
      </c>
      <c r="L21" s="415"/>
      <c r="M21" s="416">
        <f t="shared" si="10"/>
        <v>555</v>
      </c>
      <c r="N21" s="416">
        <f t="shared" si="11"/>
        <v>375</v>
      </c>
      <c r="O21" s="416">
        <f t="shared" si="4"/>
        <v>2120.25</v>
      </c>
      <c r="P21" s="416">
        <f t="shared" si="5"/>
        <v>653.4</v>
      </c>
      <c r="Q21" s="416">
        <f t="shared" si="6"/>
        <v>825</v>
      </c>
      <c r="R21" s="416">
        <f t="shared" si="7"/>
        <v>4528.65</v>
      </c>
      <c r="S21" s="417"/>
      <c r="T21" s="392"/>
      <c r="U21" s="392"/>
      <c r="V21" s="392"/>
      <c r="W21" s="392"/>
      <c r="X21" s="392"/>
      <c r="Y21" s="392"/>
      <c r="Z21" s="392"/>
      <c r="AA21" s="392"/>
    </row>
    <row r="22">
      <c r="A22" s="419" t="s">
        <v>7</v>
      </c>
      <c r="B22" s="411" t="s">
        <v>3171</v>
      </c>
      <c r="C22" s="411"/>
      <c r="D22" s="411"/>
      <c r="E22" s="411"/>
      <c r="F22" s="411"/>
      <c r="G22" s="411"/>
      <c r="H22" s="412">
        <f t="shared" si="1"/>
        <v>0</v>
      </c>
      <c r="I22" s="412" t="s">
        <v>2954</v>
      </c>
      <c r="J22" s="413">
        <v>46275.0</v>
      </c>
      <c r="K22" s="414">
        <f t="shared" si="9"/>
        <v>46320</v>
      </c>
      <c r="L22" s="415"/>
      <c r="M22" s="416">
        <f t="shared" si="10"/>
        <v>0</v>
      </c>
      <c r="N22" s="416">
        <f t="shared" si="11"/>
        <v>0</v>
      </c>
      <c r="O22" s="416">
        <f t="shared" si="4"/>
        <v>0</v>
      </c>
      <c r="P22" s="416">
        <f t="shared" si="5"/>
        <v>0</v>
      </c>
      <c r="Q22" s="416">
        <f t="shared" si="6"/>
        <v>0</v>
      </c>
      <c r="R22" s="416">
        <f t="shared" si="7"/>
        <v>0</v>
      </c>
      <c r="S22" s="417"/>
    </row>
    <row r="23">
      <c r="A23" s="419" t="s">
        <v>7</v>
      </c>
      <c r="B23" s="411" t="s">
        <v>3172</v>
      </c>
      <c r="C23" s="411"/>
      <c r="D23" s="411"/>
      <c r="E23" s="411"/>
      <c r="F23" s="411"/>
      <c r="G23" s="411"/>
      <c r="H23" s="412">
        <f t="shared" si="1"/>
        <v>0</v>
      </c>
      <c r="I23" s="412" t="s">
        <v>2954</v>
      </c>
      <c r="J23" s="413">
        <v>46276.0</v>
      </c>
      <c r="K23" s="414">
        <f t="shared" si="9"/>
        <v>46321</v>
      </c>
      <c r="L23" s="415"/>
      <c r="M23" s="416">
        <f t="shared" si="10"/>
        <v>0</v>
      </c>
      <c r="N23" s="416">
        <f t="shared" si="11"/>
        <v>0</v>
      </c>
      <c r="O23" s="416">
        <f t="shared" si="4"/>
        <v>0</v>
      </c>
      <c r="P23" s="416">
        <f t="shared" si="5"/>
        <v>0</v>
      </c>
      <c r="Q23" s="416">
        <f t="shared" si="6"/>
        <v>0</v>
      </c>
      <c r="R23" s="416">
        <f t="shared" si="7"/>
        <v>0</v>
      </c>
      <c r="S23" s="417"/>
    </row>
    <row r="24">
      <c r="A24" s="419" t="s">
        <v>7</v>
      </c>
      <c r="B24" s="411" t="s">
        <v>3173</v>
      </c>
      <c r="C24" s="411"/>
      <c r="D24" s="411"/>
      <c r="E24" s="411"/>
      <c r="F24" s="411"/>
      <c r="G24" s="411"/>
      <c r="H24" s="412">
        <f t="shared" si="1"/>
        <v>0</v>
      </c>
      <c r="I24" s="412" t="s">
        <v>2954</v>
      </c>
      <c r="J24" s="413">
        <v>46277.0</v>
      </c>
      <c r="K24" s="414">
        <f t="shared" si="9"/>
        <v>46322</v>
      </c>
      <c r="L24" s="415"/>
      <c r="M24" s="416">
        <f t="shared" si="10"/>
        <v>0</v>
      </c>
      <c r="N24" s="416">
        <f t="shared" si="11"/>
        <v>0</v>
      </c>
      <c r="O24" s="416">
        <f t="shared" si="4"/>
        <v>0</v>
      </c>
      <c r="P24" s="416">
        <f t="shared" si="5"/>
        <v>0</v>
      </c>
      <c r="Q24" s="416">
        <f t="shared" si="6"/>
        <v>0</v>
      </c>
      <c r="R24" s="416">
        <f t="shared" si="7"/>
        <v>0</v>
      </c>
      <c r="S24" s="417"/>
    </row>
    <row r="25">
      <c r="A25" s="419" t="s">
        <v>7</v>
      </c>
      <c r="B25" s="411" t="s">
        <v>3174</v>
      </c>
      <c r="C25" s="411"/>
      <c r="D25" s="411"/>
      <c r="E25" s="411"/>
      <c r="F25" s="411"/>
      <c r="G25" s="411"/>
      <c r="H25" s="412">
        <f t="shared" si="1"/>
        <v>0</v>
      </c>
      <c r="I25" s="412" t="s">
        <v>2954</v>
      </c>
      <c r="J25" s="413">
        <v>46278.0</v>
      </c>
      <c r="K25" s="414">
        <f t="shared" si="9"/>
        <v>46323</v>
      </c>
      <c r="L25" s="415"/>
      <c r="M25" s="416">
        <f t="shared" si="10"/>
        <v>0</v>
      </c>
      <c r="N25" s="416">
        <f t="shared" si="11"/>
        <v>0</v>
      </c>
      <c r="O25" s="416">
        <f t="shared" si="4"/>
        <v>0</v>
      </c>
      <c r="P25" s="416">
        <f t="shared" si="5"/>
        <v>0</v>
      </c>
      <c r="Q25" s="416">
        <f t="shared" si="6"/>
        <v>0</v>
      </c>
      <c r="R25" s="416">
        <f t="shared" si="7"/>
        <v>0</v>
      </c>
      <c r="S25" s="417"/>
    </row>
    <row r="32">
      <c r="A32" s="420" t="s">
        <v>3175</v>
      </c>
      <c r="B32" s="420" t="s">
        <v>3118</v>
      </c>
      <c r="C32" s="420" t="s">
        <v>3176</v>
      </c>
      <c r="D32" s="420" t="s">
        <v>3009</v>
      </c>
      <c r="E32" s="421" t="s">
        <v>3055</v>
      </c>
      <c r="F32" s="422" t="s">
        <v>3177</v>
      </c>
      <c r="G32" s="423" t="s">
        <v>3178</v>
      </c>
      <c r="H32" s="166" t="s">
        <v>3179</v>
      </c>
      <c r="J32" s="420" t="s">
        <v>3180</v>
      </c>
      <c r="K32" s="420" t="s">
        <v>3181</v>
      </c>
      <c r="L32" s="420" t="s">
        <v>3182</v>
      </c>
      <c r="M32" s="421" t="s">
        <v>3126</v>
      </c>
      <c r="N32" s="421" t="s">
        <v>11</v>
      </c>
    </row>
    <row r="33">
      <c r="A33" s="424" t="s">
        <v>2154</v>
      </c>
      <c r="B33" s="424" t="s">
        <v>2928</v>
      </c>
      <c r="C33" s="424">
        <v>5.0</v>
      </c>
      <c r="D33" s="424">
        <v>5.0</v>
      </c>
      <c r="E33" s="425">
        <v>11.0</v>
      </c>
      <c r="F33" s="425" t="s">
        <v>3183</v>
      </c>
      <c r="G33" s="426" t="s">
        <v>3184</v>
      </c>
      <c r="H33" s="166" t="s">
        <v>3010</v>
      </c>
      <c r="I33" s="427">
        <v>15.0</v>
      </c>
      <c r="J33" s="424" t="s">
        <v>3185</v>
      </c>
      <c r="K33" s="424">
        <v>100.0</v>
      </c>
      <c r="L33" s="424">
        <v>40.0</v>
      </c>
      <c r="M33" s="428">
        <v>46178.0</v>
      </c>
      <c r="N33" s="429" t="s">
        <v>3186</v>
      </c>
    </row>
    <row r="34">
      <c r="A34" s="424" t="s">
        <v>2154</v>
      </c>
      <c r="B34" s="424" t="s">
        <v>2940</v>
      </c>
      <c r="C34" s="424">
        <v>0.0</v>
      </c>
      <c r="D34" s="424">
        <v>1.0</v>
      </c>
      <c r="E34" s="425">
        <v>29.0</v>
      </c>
      <c r="F34" s="425" t="s">
        <v>3187</v>
      </c>
      <c r="G34" s="426" t="s">
        <v>3184</v>
      </c>
      <c r="H34" s="166" t="s">
        <v>3009</v>
      </c>
      <c r="I34" s="427">
        <v>20.0</v>
      </c>
      <c r="J34" s="424"/>
      <c r="K34" s="424"/>
      <c r="L34" s="424"/>
      <c r="M34" s="430"/>
      <c r="N34" s="430"/>
    </row>
    <row r="35">
      <c r="A35" s="424" t="s">
        <v>2154</v>
      </c>
      <c r="B35" s="424" t="s">
        <v>3188</v>
      </c>
      <c r="C35" s="424">
        <v>5.0</v>
      </c>
      <c r="D35" s="424">
        <v>11.0</v>
      </c>
      <c r="E35" s="425">
        <v>6.0</v>
      </c>
      <c r="F35" s="425" t="s">
        <v>3189</v>
      </c>
      <c r="G35" s="426" t="s">
        <v>3190</v>
      </c>
      <c r="H35" s="166" t="s">
        <v>3191</v>
      </c>
      <c r="I35" s="427">
        <v>20.0</v>
      </c>
      <c r="J35" s="424"/>
      <c r="K35" s="424"/>
      <c r="L35" s="424"/>
      <c r="M35" s="430"/>
      <c r="N35" s="430"/>
    </row>
    <row r="36">
      <c r="A36" s="424" t="s">
        <v>2154</v>
      </c>
      <c r="B36" s="424" t="s">
        <v>3192</v>
      </c>
      <c r="C36" s="424">
        <v>16.0</v>
      </c>
      <c r="D36" s="424">
        <v>17.0</v>
      </c>
      <c r="E36" s="431">
        <v>17.0</v>
      </c>
      <c r="F36" s="431" t="s">
        <v>3193</v>
      </c>
      <c r="G36" s="7"/>
      <c r="J36" s="424"/>
      <c r="K36" s="424"/>
      <c r="L36" s="424"/>
      <c r="M36" s="432"/>
      <c r="N36" s="432"/>
    </row>
    <row r="37">
      <c r="A37" s="424" t="s">
        <v>2154</v>
      </c>
      <c r="B37" s="424" t="s">
        <v>2874</v>
      </c>
      <c r="C37" s="424">
        <v>8.0</v>
      </c>
      <c r="D37" s="424">
        <v>11.0</v>
      </c>
      <c r="E37" s="431">
        <v>5.0</v>
      </c>
      <c r="F37" s="433">
        <f>C37*I33+D37*I34+E37*I35</f>
        <v>440</v>
      </c>
      <c r="G37" s="7"/>
      <c r="J37" s="434"/>
      <c r="K37" s="424"/>
      <c r="L37" s="424"/>
      <c r="M37" s="432"/>
      <c r="N37" s="432"/>
    </row>
    <row r="38">
      <c r="A38" s="424" t="s">
        <v>2154</v>
      </c>
      <c r="B38" s="424" t="s">
        <v>3194</v>
      </c>
      <c r="C38" s="424">
        <v>10.0</v>
      </c>
      <c r="D38" s="424">
        <v>10.0</v>
      </c>
      <c r="E38" s="431">
        <v>10.0</v>
      </c>
      <c r="F38" s="433">
        <f t="shared" ref="F38:F49" si="12">C38*15+D38*20+E38*20</f>
        <v>550</v>
      </c>
      <c r="G38" s="7"/>
    </row>
    <row r="39">
      <c r="A39" s="424" t="s">
        <v>2154</v>
      </c>
      <c r="B39" s="424" t="s">
        <v>3195</v>
      </c>
      <c r="C39" s="424">
        <v>7.0</v>
      </c>
      <c r="D39" s="424">
        <v>9.0</v>
      </c>
      <c r="E39" s="431">
        <v>4.0</v>
      </c>
      <c r="F39" s="433">
        <f t="shared" si="12"/>
        <v>365</v>
      </c>
    </row>
    <row r="40">
      <c r="A40" s="424" t="s">
        <v>2154</v>
      </c>
      <c r="B40" s="424" t="s">
        <v>3196</v>
      </c>
      <c r="C40" s="424">
        <v>16.0</v>
      </c>
      <c r="D40" s="424">
        <v>12.0</v>
      </c>
      <c r="E40" s="431">
        <v>7.0</v>
      </c>
      <c r="F40" s="433">
        <f t="shared" si="12"/>
        <v>620</v>
      </c>
    </row>
    <row r="41">
      <c r="A41" s="424" t="s">
        <v>2154</v>
      </c>
      <c r="B41" s="424" t="s">
        <v>3197</v>
      </c>
      <c r="C41" s="424">
        <v>4.0</v>
      </c>
      <c r="D41" s="424">
        <v>13.0</v>
      </c>
      <c r="E41" s="431">
        <v>4.0</v>
      </c>
      <c r="F41" s="433">
        <f t="shared" si="12"/>
        <v>400</v>
      </c>
    </row>
    <row r="42">
      <c r="A42" s="424" t="s">
        <v>2154</v>
      </c>
      <c r="B42" s="435">
        <v>46304.0</v>
      </c>
      <c r="C42" s="424">
        <v>0.0</v>
      </c>
      <c r="D42" s="424">
        <v>0.0</v>
      </c>
      <c r="E42" s="431">
        <v>7.0</v>
      </c>
      <c r="F42" s="433">
        <f t="shared" si="12"/>
        <v>140</v>
      </c>
    </row>
    <row r="43">
      <c r="A43" s="424" t="s">
        <v>3198</v>
      </c>
      <c r="B43" s="436">
        <v>46311.0</v>
      </c>
      <c r="C43" s="424">
        <v>1.0</v>
      </c>
      <c r="D43" s="424">
        <v>1.0</v>
      </c>
      <c r="E43" s="431">
        <v>3.0</v>
      </c>
      <c r="F43" s="433">
        <f t="shared" si="12"/>
        <v>95</v>
      </c>
    </row>
    <row r="44">
      <c r="A44" s="424" t="s">
        <v>3198</v>
      </c>
      <c r="B44" s="424"/>
      <c r="C44" s="424"/>
      <c r="D44" s="424"/>
      <c r="E44" s="431"/>
      <c r="F44" s="433">
        <f t="shared" si="12"/>
        <v>0</v>
      </c>
    </row>
    <row r="45">
      <c r="A45" s="424" t="s">
        <v>3198</v>
      </c>
      <c r="B45" s="424"/>
      <c r="C45" s="424"/>
      <c r="D45" s="424"/>
      <c r="E45" s="431"/>
      <c r="F45" s="433">
        <f t="shared" si="12"/>
        <v>0</v>
      </c>
    </row>
    <row r="46">
      <c r="A46" s="424" t="s">
        <v>3198</v>
      </c>
      <c r="B46" s="424"/>
      <c r="C46" s="424"/>
      <c r="D46" s="424"/>
      <c r="E46" s="431"/>
      <c r="F46" s="433">
        <f t="shared" si="12"/>
        <v>0</v>
      </c>
    </row>
    <row r="47">
      <c r="A47" s="424" t="s">
        <v>3198</v>
      </c>
      <c r="B47" s="424"/>
      <c r="C47" s="424"/>
      <c r="D47" s="424"/>
      <c r="E47" s="431"/>
      <c r="F47" s="433">
        <f t="shared" si="12"/>
        <v>0</v>
      </c>
    </row>
    <row r="48">
      <c r="A48" s="424" t="s">
        <v>3198</v>
      </c>
      <c r="B48" s="424"/>
      <c r="C48" s="424"/>
      <c r="D48" s="424"/>
      <c r="E48" s="431"/>
      <c r="F48" s="433">
        <f t="shared" si="12"/>
        <v>0</v>
      </c>
    </row>
    <row r="49">
      <c r="A49" s="424" t="s">
        <v>3198</v>
      </c>
      <c r="B49" s="424"/>
      <c r="C49" s="424"/>
      <c r="D49" s="424"/>
      <c r="E49" s="431"/>
      <c r="F49" s="433">
        <f t="shared" si="12"/>
        <v>0</v>
      </c>
    </row>
  </sheetData>
  <mergeCells count="2">
    <mergeCell ref="A2:K2"/>
    <mergeCell ref="M2:R2"/>
  </mergeCells>
  <dataValidations>
    <dataValidation type="custom" allowBlank="1" showDropDown="1" sqref="J4:J18">
      <formula1>OR(NOT(ISERROR(DATEVALUE(J4))), AND(ISNUMBER(J4), LEFT(CELL("format", J4))="D"))</formula1>
    </dataValidation>
  </dataValidations>
  <drawing r:id="rId1"/>
  <tableParts count="2">
    <tablePart r:id="rId4"/>
    <tablePart r:id="rId5"/>
  </tableParts>
</worksheet>
</file>